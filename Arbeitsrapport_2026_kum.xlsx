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C43DF09A-A8F0-4DFF-81DD-B6C4EEE3160F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i" sheetId="5" r:id="rId5"/>
    <sheet name="Jun" sheetId="6" r:id="rId6"/>
    <sheet name="Jul" sheetId="7" r:id="rId7"/>
    <sheet name="Aug" sheetId="8" r:id="rId8"/>
    <sheet name="Sep" sheetId="9" r:id="rId9"/>
    <sheet name="Okt" sheetId="10" r:id="rId10"/>
    <sheet name="Nov" sheetId="11" r:id="rId11"/>
    <sheet name="Dez" sheetId="12" r:id="rId12"/>
    <sheet name="Summen" sheetId="13" r:id="rId13"/>
    <sheet name="Feiertage" sheetId="14" r:id="rId14"/>
  </sheets>
  <calcPr calcId="191029"/>
  <fileRecoveryPr repairLoad="1"/>
  <extLst>
    <ext uri="GoogleSheetsCustomDataVersion2">
      <go:sheetsCustomData xmlns:go="http://customooxmlschemas.google.com/" r:id="rId18" roundtripDataChecksum="nkGUrC6uSK168lfZJhe3+kPnG5JTQ7H8RHzwACiiEq8="/>
    </ext>
  </extLst>
</workbook>
</file>

<file path=xl/calcChain.xml><?xml version="1.0" encoding="utf-8"?>
<calcChain xmlns="http://schemas.openxmlformats.org/spreadsheetml/2006/main">
  <c r="B16" i="13" l="1"/>
  <c r="B5" i="3"/>
  <c r="B6" i="3"/>
  <c r="B7" i="3"/>
  <c r="B8" i="3"/>
  <c r="B9" i="3"/>
  <c r="B10" i="3"/>
  <c r="U2" i="1"/>
  <c r="H21" i="14" l="1"/>
  <c r="B18" i="13"/>
  <c r="E2" i="12" s="1"/>
  <c r="C10" i="13"/>
  <c r="B9" i="13"/>
  <c r="C9" i="13" s="1"/>
  <c r="W35" i="12"/>
  <c r="C59" i="13" s="1"/>
  <c r="V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G34" i="12"/>
  <c r="X34" i="12"/>
  <c r="S34" i="12"/>
  <c r="AI33" i="12"/>
  <c r="AG33" i="12"/>
  <c r="AH33" i="12" s="1"/>
  <c r="AJ33" i="12" s="1"/>
  <c r="AL33" i="12" s="1"/>
  <c r="X33" i="12"/>
  <c r="S33" i="12"/>
  <c r="AG32" i="12"/>
  <c r="X32" i="12"/>
  <c r="S32" i="12"/>
  <c r="AI31" i="12"/>
  <c r="AG31" i="12"/>
  <c r="AH31" i="12" s="1"/>
  <c r="AJ31" i="12" s="1"/>
  <c r="AL31" i="12" s="1"/>
  <c r="X31" i="12"/>
  <c r="S31" i="12"/>
  <c r="AG30" i="12"/>
  <c r="X30" i="12"/>
  <c r="S30" i="12"/>
  <c r="AI29" i="12"/>
  <c r="AG29" i="12"/>
  <c r="AH29" i="12" s="1"/>
  <c r="X29" i="12"/>
  <c r="S29" i="12"/>
  <c r="AG28" i="12"/>
  <c r="X28" i="12"/>
  <c r="S28" i="12"/>
  <c r="AJ27" i="12"/>
  <c r="AL27" i="12" s="1"/>
  <c r="AI27" i="12"/>
  <c r="AG27" i="12"/>
  <c r="AH27" i="12" s="1"/>
  <c r="X27" i="12"/>
  <c r="S27" i="12"/>
  <c r="AG26" i="12"/>
  <c r="X26" i="12"/>
  <c r="S26" i="12"/>
  <c r="AI25" i="12"/>
  <c r="AG25" i="12"/>
  <c r="AH25" i="12" s="1"/>
  <c r="AJ25" i="12" s="1"/>
  <c r="AL25" i="12" s="1"/>
  <c r="X25" i="12"/>
  <c r="S25" i="12"/>
  <c r="AG24" i="12"/>
  <c r="X24" i="12"/>
  <c r="S24" i="12"/>
  <c r="AI23" i="12"/>
  <c r="AG23" i="12"/>
  <c r="AH23" i="12" s="1"/>
  <c r="AJ23" i="12" s="1"/>
  <c r="AL23" i="12" s="1"/>
  <c r="X23" i="12"/>
  <c r="S23" i="12"/>
  <c r="AG22" i="12"/>
  <c r="X22" i="12"/>
  <c r="S22" i="12"/>
  <c r="AI21" i="12"/>
  <c r="AG21" i="12"/>
  <c r="AH21" i="12" s="1"/>
  <c r="X21" i="12"/>
  <c r="S21" i="12"/>
  <c r="AG20" i="12"/>
  <c r="X20" i="12"/>
  <c r="S20" i="12"/>
  <c r="AG19" i="12"/>
  <c r="AH19" i="12" s="1"/>
  <c r="X19" i="12"/>
  <c r="S19" i="12"/>
  <c r="AG18" i="12"/>
  <c r="X18" i="12"/>
  <c r="S18" i="12"/>
  <c r="AG17" i="12"/>
  <c r="AH17" i="12" s="1"/>
  <c r="X17" i="12"/>
  <c r="S17" i="12"/>
  <c r="AG16" i="12"/>
  <c r="X16" i="12"/>
  <c r="S16" i="12"/>
  <c r="AG15" i="12"/>
  <c r="AH15" i="12" s="1"/>
  <c r="X15" i="12"/>
  <c r="S15" i="12"/>
  <c r="AG14" i="12"/>
  <c r="X14" i="12"/>
  <c r="S14" i="12"/>
  <c r="AG13" i="12"/>
  <c r="AH13" i="12" s="1"/>
  <c r="X13" i="12"/>
  <c r="S13" i="12"/>
  <c r="AG12" i="12"/>
  <c r="X12" i="12"/>
  <c r="S12" i="12"/>
  <c r="AI11" i="12"/>
  <c r="AG11" i="12"/>
  <c r="AH11" i="12" s="1"/>
  <c r="X11" i="12"/>
  <c r="S11" i="12"/>
  <c r="AG10" i="12"/>
  <c r="X10" i="12"/>
  <c r="S10" i="12"/>
  <c r="AG9" i="12"/>
  <c r="X9" i="12"/>
  <c r="S9" i="12"/>
  <c r="AG8" i="12"/>
  <c r="X8" i="12"/>
  <c r="S8" i="12"/>
  <c r="AG7" i="12"/>
  <c r="AH7" i="12" s="1"/>
  <c r="X7" i="12"/>
  <c r="S7" i="12"/>
  <c r="AG6" i="12"/>
  <c r="X6" i="12"/>
  <c r="S6" i="12"/>
  <c r="AI5" i="12"/>
  <c r="AG5" i="12"/>
  <c r="AH5" i="12" s="1"/>
  <c r="X5" i="12"/>
  <c r="S5" i="12"/>
  <c r="AG4" i="12"/>
  <c r="X4" i="12"/>
  <c r="S4" i="12"/>
  <c r="U1" i="12"/>
  <c r="J1" i="12"/>
  <c r="A1" i="12"/>
  <c r="W34" i="11"/>
  <c r="C58" i="13" s="1"/>
  <c r="V34" i="11"/>
  <c r="B58" i="13" s="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AG33" i="11"/>
  <c r="AI33" i="11" s="1"/>
  <c r="X33" i="11"/>
  <c r="S33" i="11"/>
  <c r="AH32" i="11"/>
  <c r="AJ32" i="11" s="1"/>
  <c r="AL32" i="11" s="1"/>
  <c r="AG32" i="11"/>
  <c r="AI32" i="11" s="1"/>
  <c r="X32" i="11"/>
  <c r="S32" i="11"/>
  <c r="AG31" i="11"/>
  <c r="X31" i="11"/>
  <c r="S31" i="11"/>
  <c r="AG30" i="11"/>
  <c r="AI30" i="11" s="1"/>
  <c r="X30" i="11"/>
  <c r="S30" i="11"/>
  <c r="AI29" i="11"/>
  <c r="AG29" i="11"/>
  <c r="AH29" i="11" s="1"/>
  <c r="AJ29" i="11" s="1"/>
  <c r="AL29" i="11" s="1"/>
  <c r="X29" i="11"/>
  <c r="S29" i="11"/>
  <c r="AG28" i="11"/>
  <c r="AI28" i="11" s="1"/>
  <c r="X28" i="11"/>
  <c r="S28" i="11"/>
  <c r="AG27" i="11"/>
  <c r="AI27" i="11" s="1"/>
  <c r="X27" i="11"/>
  <c r="S27" i="11"/>
  <c r="AG26" i="11"/>
  <c r="AI26" i="11" s="1"/>
  <c r="X26" i="11"/>
  <c r="S26" i="11"/>
  <c r="AG25" i="11"/>
  <c r="AI25" i="11" s="1"/>
  <c r="X25" i="11"/>
  <c r="S25" i="11"/>
  <c r="AG24" i="11"/>
  <c r="AI24" i="11" s="1"/>
  <c r="X24" i="11"/>
  <c r="S24" i="11"/>
  <c r="AG23" i="11"/>
  <c r="AI23" i="11" s="1"/>
  <c r="X23" i="11"/>
  <c r="S23" i="11"/>
  <c r="AH22" i="11"/>
  <c r="AJ22" i="11" s="1"/>
  <c r="AL22" i="11" s="1"/>
  <c r="AG22" i="11"/>
  <c r="AI22" i="11" s="1"/>
  <c r="X22" i="11"/>
  <c r="S22" i="11"/>
  <c r="AG21" i="11"/>
  <c r="AI21" i="11" s="1"/>
  <c r="X21" i="11"/>
  <c r="S21" i="11"/>
  <c r="AG20" i="11"/>
  <c r="AI20" i="11" s="1"/>
  <c r="X20" i="11"/>
  <c r="S20" i="11"/>
  <c r="AI19" i="11"/>
  <c r="AG19" i="11"/>
  <c r="AH19" i="11" s="1"/>
  <c r="X19" i="11"/>
  <c r="S19" i="11"/>
  <c r="AG18" i="11"/>
  <c r="AI18" i="11" s="1"/>
  <c r="X18" i="11"/>
  <c r="S18" i="11"/>
  <c r="AG17" i="11"/>
  <c r="X17" i="11"/>
  <c r="S17" i="11"/>
  <c r="AH16" i="11"/>
  <c r="AG16" i="11"/>
  <c r="AI16" i="11" s="1"/>
  <c r="X16" i="11"/>
  <c r="S16" i="11"/>
  <c r="AG15" i="11"/>
  <c r="AI15" i="11" s="1"/>
  <c r="X15" i="11"/>
  <c r="S15" i="11"/>
  <c r="AG14" i="11"/>
  <c r="AI14" i="11" s="1"/>
  <c r="X14" i="11"/>
  <c r="S14" i="11"/>
  <c r="AG13" i="11"/>
  <c r="AI13" i="11" s="1"/>
  <c r="X13" i="11"/>
  <c r="S13" i="11"/>
  <c r="AG12" i="11"/>
  <c r="AI12" i="11" s="1"/>
  <c r="X12" i="11"/>
  <c r="S12" i="11"/>
  <c r="AI11" i="11"/>
  <c r="AG11" i="11"/>
  <c r="AH11" i="11" s="1"/>
  <c r="X11" i="11"/>
  <c r="S11" i="11"/>
  <c r="AG10" i="11"/>
  <c r="X10" i="11"/>
  <c r="S10" i="11"/>
  <c r="AG9" i="11"/>
  <c r="AH9" i="11" s="1"/>
  <c r="X9" i="11"/>
  <c r="S9" i="11"/>
  <c r="AG8" i="11"/>
  <c r="X8" i="11"/>
  <c r="S8" i="11"/>
  <c r="AI7" i="11"/>
  <c r="AG7" i="11"/>
  <c r="AH7" i="11" s="1"/>
  <c r="X7" i="11"/>
  <c r="S7" i="11"/>
  <c r="AH6" i="11"/>
  <c r="AJ6" i="11" s="1"/>
  <c r="AL6" i="11" s="1"/>
  <c r="AG6" i="11"/>
  <c r="AI6" i="11" s="1"/>
  <c r="X6" i="11"/>
  <c r="S6" i="11"/>
  <c r="AG5" i="11"/>
  <c r="AH5" i="11" s="1"/>
  <c r="X5" i="11"/>
  <c r="S5" i="11"/>
  <c r="AH4" i="11"/>
  <c r="AJ4" i="11" s="1"/>
  <c r="AG4" i="11"/>
  <c r="AI4" i="11" s="1"/>
  <c r="X4" i="11"/>
  <c r="S4" i="11"/>
  <c r="U1" i="11"/>
  <c r="J1" i="11"/>
  <c r="A1" i="11"/>
  <c r="W35" i="10"/>
  <c r="C57" i="13" s="1"/>
  <c r="V35" i="10"/>
  <c r="X35" i="10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AG34" i="10"/>
  <c r="AI34" i="10" s="1"/>
  <c r="X34" i="10"/>
  <c r="S34" i="10"/>
  <c r="AG33" i="10"/>
  <c r="AI33" i="10" s="1"/>
  <c r="X33" i="10"/>
  <c r="S33" i="10"/>
  <c r="AG32" i="10"/>
  <c r="AI32" i="10" s="1"/>
  <c r="X32" i="10"/>
  <c r="S32" i="10"/>
  <c r="AI31" i="10"/>
  <c r="AH31" i="10"/>
  <c r="AG31" i="10"/>
  <c r="X31" i="10"/>
  <c r="S31" i="10"/>
  <c r="AH30" i="10"/>
  <c r="AJ30" i="10" s="1"/>
  <c r="AL30" i="10" s="1"/>
  <c r="AG30" i="10"/>
  <c r="AI30" i="10" s="1"/>
  <c r="X30" i="10"/>
  <c r="S30" i="10"/>
  <c r="AG29" i="10"/>
  <c r="AI29" i="10" s="1"/>
  <c r="X29" i="10"/>
  <c r="S29" i="10"/>
  <c r="AG28" i="10"/>
  <c r="AI28" i="10" s="1"/>
  <c r="X28" i="10"/>
  <c r="S28" i="10"/>
  <c r="AG27" i="10"/>
  <c r="AH27" i="10" s="1"/>
  <c r="X27" i="10"/>
  <c r="S27" i="10"/>
  <c r="AG26" i="10"/>
  <c r="AI26" i="10" s="1"/>
  <c r="X26" i="10"/>
  <c r="S26" i="10"/>
  <c r="AI25" i="10"/>
  <c r="AH25" i="10"/>
  <c r="AJ25" i="10" s="1"/>
  <c r="AL25" i="10" s="1"/>
  <c r="AG25" i="10"/>
  <c r="X25" i="10"/>
  <c r="S25" i="10"/>
  <c r="AH24" i="10"/>
  <c r="AJ24" i="10" s="1"/>
  <c r="AL24" i="10" s="1"/>
  <c r="AG24" i="10"/>
  <c r="AI24" i="10" s="1"/>
  <c r="X24" i="10"/>
  <c r="S24" i="10"/>
  <c r="AI23" i="10"/>
  <c r="AH23" i="10"/>
  <c r="AG23" i="10"/>
  <c r="X23" i="10"/>
  <c r="S23" i="10"/>
  <c r="AL22" i="10"/>
  <c r="AJ22" i="10"/>
  <c r="AH22" i="10"/>
  <c r="AG22" i="10"/>
  <c r="AI22" i="10" s="1"/>
  <c r="X22" i="10"/>
  <c r="S22" i="10"/>
  <c r="AH21" i="10"/>
  <c r="AG21" i="10"/>
  <c r="AI21" i="10" s="1"/>
  <c r="X21" i="10"/>
  <c r="S21" i="10"/>
  <c r="AG20" i="10"/>
  <c r="X20" i="10"/>
  <c r="S20" i="10"/>
  <c r="AJ19" i="10"/>
  <c r="AL19" i="10" s="1"/>
  <c r="AI19" i="10"/>
  <c r="AH19" i="10"/>
  <c r="AG19" i="10"/>
  <c r="X19" i="10"/>
  <c r="S19" i="10"/>
  <c r="AH18" i="10"/>
  <c r="AJ18" i="10" s="1"/>
  <c r="AL18" i="10" s="1"/>
  <c r="AG18" i="10"/>
  <c r="AI18" i="10" s="1"/>
  <c r="X18" i="10"/>
  <c r="S18" i="10"/>
  <c r="AI17" i="10"/>
  <c r="AH17" i="10"/>
  <c r="AG17" i="10"/>
  <c r="X17" i="10"/>
  <c r="S17" i="10"/>
  <c r="AH16" i="10"/>
  <c r="AJ16" i="10" s="1"/>
  <c r="AL16" i="10" s="1"/>
  <c r="AG16" i="10"/>
  <c r="AI16" i="10" s="1"/>
  <c r="X16" i="10"/>
  <c r="S16" i="10"/>
  <c r="AI15" i="10"/>
  <c r="AH15" i="10"/>
  <c r="AG15" i="10"/>
  <c r="X15" i="10"/>
  <c r="S15" i="10"/>
  <c r="AH14" i="10"/>
  <c r="AJ14" i="10" s="1"/>
  <c r="AL14" i="10" s="1"/>
  <c r="AG14" i="10"/>
  <c r="AI14" i="10" s="1"/>
  <c r="X14" i="10"/>
  <c r="S14" i="10"/>
  <c r="AI13" i="10"/>
  <c r="AH13" i="10"/>
  <c r="AG13" i="10"/>
  <c r="X13" i="10"/>
  <c r="S13" i="10"/>
  <c r="AH12" i="10"/>
  <c r="AJ12" i="10" s="1"/>
  <c r="AL12" i="10" s="1"/>
  <c r="AG12" i="10"/>
  <c r="AI12" i="10" s="1"/>
  <c r="X12" i="10"/>
  <c r="S12" i="10"/>
  <c r="AI11" i="10"/>
  <c r="AH11" i="10"/>
  <c r="AG11" i="10"/>
  <c r="X11" i="10"/>
  <c r="S11" i="10"/>
  <c r="AH10" i="10"/>
  <c r="AJ10" i="10" s="1"/>
  <c r="AL10" i="10" s="1"/>
  <c r="AG10" i="10"/>
  <c r="AI10" i="10" s="1"/>
  <c r="X10" i="10"/>
  <c r="S10" i="10"/>
  <c r="AI9" i="10"/>
  <c r="AH9" i="10"/>
  <c r="AG9" i="10"/>
  <c r="X9" i="10"/>
  <c r="S9" i="10"/>
  <c r="AH8" i="10"/>
  <c r="AG8" i="10"/>
  <c r="AI8" i="10" s="1"/>
  <c r="X8" i="10"/>
  <c r="S8" i="10"/>
  <c r="AI7" i="10"/>
  <c r="AH7" i="10"/>
  <c r="AG7" i="10"/>
  <c r="X7" i="10"/>
  <c r="S7" i="10"/>
  <c r="AH6" i="10"/>
  <c r="AG6" i="10"/>
  <c r="AI6" i="10" s="1"/>
  <c r="X6" i="10"/>
  <c r="S6" i="10"/>
  <c r="AI5" i="10"/>
  <c r="AH5" i="10"/>
  <c r="AJ5" i="10" s="1"/>
  <c r="AL5" i="10" s="1"/>
  <c r="AG5" i="10"/>
  <c r="X5" i="10"/>
  <c r="S5" i="10"/>
  <c r="AH4" i="10"/>
  <c r="AJ4" i="10" s="1"/>
  <c r="AG4" i="10"/>
  <c r="AI4" i="10" s="1"/>
  <c r="X4" i="10"/>
  <c r="S4" i="10"/>
  <c r="U1" i="10"/>
  <c r="J1" i="10"/>
  <c r="A1" i="10"/>
  <c r="W34" i="9"/>
  <c r="C56" i="13" s="1"/>
  <c r="V34" i="9"/>
  <c r="B56" i="13" s="1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AJ33" i="9"/>
  <c r="AL33" i="9" s="1"/>
  <c r="AI33" i="9"/>
  <c r="AH33" i="9"/>
  <c r="AG33" i="9"/>
  <c r="X33" i="9"/>
  <c r="S33" i="9"/>
  <c r="AI32" i="9"/>
  <c r="AH32" i="9"/>
  <c r="AJ32" i="9" s="1"/>
  <c r="AL32" i="9" s="1"/>
  <c r="AG32" i="9"/>
  <c r="X32" i="9"/>
  <c r="S32" i="9"/>
  <c r="AJ31" i="9"/>
  <c r="AL31" i="9" s="1"/>
  <c r="AI31" i="9"/>
  <c r="AH31" i="9"/>
  <c r="AG31" i="9"/>
  <c r="X31" i="9"/>
  <c r="S31" i="9"/>
  <c r="AI30" i="9"/>
  <c r="AH30" i="9"/>
  <c r="AJ30" i="9" s="1"/>
  <c r="AL30" i="9" s="1"/>
  <c r="AG30" i="9"/>
  <c r="X30" i="9"/>
  <c r="S30" i="9"/>
  <c r="AJ29" i="9"/>
  <c r="AL29" i="9" s="1"/>
  <c r="AI29" i="9"/>
  <c r="AH29" i="9"/>
  <c r="AG29" i="9"/>
  <c r="X29" i="9"/>
  <c r="S29" i="9"/>
  <c r="AG28" i="9"/>
  <c r="AI28" i="9" s="1"/>
  <c r="X28" i="9"/>
  <c r="S28" i="9"/>
  <c r="AG27" i="9"/>
  <c r="AI27" i="9" s="1"/>
  <c r="X27" i="9"/>
  <c r="S27" i="9"/>
  <c r="AH26" i="9"/>
  <c r="AG26" i="9"/>
  <c r="AI26" i="9" s="1"/>
  <c r="X26" i="9"/>
  <c r="S26" i="9"/>
  <c r="AH25" i="9"/>
  <c r="AG25" i="9"/>
  <c r="AI25" i="9" s="1"/>
  <c r="X25" i="9"/>
  <c r="S25" i="9"/>
  <c r="AG24" i="9"/>
  <c r="AI24" i="9" s="1"/>
  <c r="X24" i="9"/>
  <c r="S24" i="9"/>
  <c r="AI23" i="9"/>
  <c r="AH23" i="9"/>
  <c r="AJ23" i="9" s="1"/>
  <c r="AL23" i="9" s="1"/>
  <c r="AG23" i="9"/>
  <c r="X23" i="9"/>
  <c r="S23" i="9"/>
  <c r="AH22" i="9"/>
  <c r="AG22" i="9"/>
  <c r="AI22" i="9" s="1"/>
  <c r="X22" i="9"/>
  <c r="S22" i="9"/>
  <c r="AH21" i="9"/>
  <c r="AG21" i="9"/>
  <c r="AI21" i="9" s="1"/>
  <c r="X21" i="9"/>
  <c r="S21" i="9"/>
  <c r="AI20" i="9"/>
  <c r="AH20" i="9"/>
  <c r="AG20" i="9"/>
  <c r="X20" i="9"/>
  <c r="S20" i="9"/>
  <c r="AG19" i="9"/>
  <c r="AI19" i="9" s="1"/>
  <c r="X19" i="9"/>
  <c r="S19" i="9"/>
  <c r="AH18" i="9"/>
  <c r="AG18" i="9"/>
  <c r="AI18" i="9" s="1"/>
  <c r="X18" i="9"/>
  <c r="S18" i="9"/>
  <c r="AJ17" i="9"/>
  <c r="AL17" i="9" s="1"/>
  <c r="AI17" i="9"/>
  <c r="AH17" i="9"/>
  <c r="AG17" i="9"/>
  <c r="X17" i="9"/>
  <c r="S17" i="9"/>
  <c r="AG16" i="9"/>
  <c r="AI16" i="9" s="1"/>
  <c r="X16" i="9"/>
  <c r="S16" i="9"/>
  <c r="AG15" i="9"/>
  <c r="AI15" i="9" s="1"/>
  <c r="X15" i="9"/>
  <c r="S15" i="9"/>
  <c r="AI14" i="9"/>
  <c r="AH14" i="9"/>
  <c r="AG14" i="9"/>
  <c r="X14" i="9"/>
  <c r="S14" i="9"/>
  <c r="AH13" i="9"/>
  <c r="AG13" i="9"/>
  <c r="AI13" i="9" s="1"/>
  <c r="X13" i="9"/>
  <c r="S13" i="9"/>
  <c r="AG12" i="9"/>
  <c r="AI12" i="9" s="1"/>
  <c r="X12" i="9"/>
  <c r="S12" i="9"/>
  <c r="AG11" i="9"/>
  <c r="AI11" i="9" s="1"/>
  <c r="X11" i="9"/>
  <c r="S11" i="9"/>
  <c r="AH10" i="9"/>
  <c r="AG10" i="9"/>
  <c r="AI10" i="9" s="1"/>
  <c r="X10" i="9"/>
  <c r="S10" i="9"/>
  <c r="AH9" i="9"/>
  <c r="AG9" i="9"/>
  <c r="AI9" i="9" s="1"/>
  <c r="X9" i="9"/>
  <c r="S9" i="9"/>
  <c r="AG8" i="9"/>
  <c r="AI8" i="9" s="1"/>
  <c r="X8" i="9"/>
  <c r="S8" i="9"/>
  <c r="AG7" i="9"/>
  <c r="AH7" i="9" s="1"/>
  <c r="X7" i="9"/>
  <c r="S7" i="9"/>
  <c r="AH6" i="9"/>
  <c r="AG6" i="9"/>
  <c r="AI6" i="9" s="1"/>
  <c r="X6" i="9"/>
  <c r="S6" i="9"/>
  <c r="AJ5" i="9"/>
  <c r="AL5" i="9" s="1"/>
  <c r="AI5" i="9"/>
  <c r="AG5" i="9"/>
  <c r="AH5" i="9" s="1"/>
  <c r="X5" i="9"/>
  <c r="S5" i="9"/>
  <c r="AH4" i="9"/>
  <c r="AG4" i="9"/>
  <c r="AI4" i="9" s="1"/>
  <c r="X4" i="9"/>
  <c r="S4" i="9"/>
  <c r="U1" i="9"/>
  <c r="J1" i="9"/>
  <c r="A1" i="9"/>
  <c r="W35" i="8"/>
  <c r="C55" i="13" s="1"/>
  <c r="V35" i="8"/>
  <c r="B55" i="13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J34" i="8"/>
  <c r="AL34" i="8" s="1"/>
  <c r="AI34" i="8"/>
  <c r="AH34" i="8"/>
  <c r="AG34" i="8"/>
  <c r="X34" i="8"/>
  <c r="S34" i="8"/>
  <c r="AG33" i="8"/>
  <c r="X33" i="8"/>
  <c r="S33" i="8"/>
  <c r="AG32" i="8"/>
  <c r="AI32" i="8" s="1"/>
  <c r="X32" i="8"/>
  <c r="S32" i="8"/>
  <c r="AG31" i="8"/>
  <c r="X31" i="8"/>
  <c r="S31" i="8"/>
  <c r="AG30" i="8"/>
  <c r="AI30" i="8" s="1"/>
  <c r="X30" i="8"/>
  <c r="S30" i="8"/>
  <c r="AG29" i="8"/>
  <c r="X29" i="8"/>
  <c r="S29" i="8"/>
  <c r="AH28" i="8"/>
  <c r="AG28" i="8"/>
  <c r="AI28" i="8" s="1"/>
  <c r="X28" i="8"/>
  <c r="S28" i="8"/>
  <c r="AG27" i="8"/>
  <c r="X27" i="8"/>
  <c r="S27" i="8"/>
  <c r="AI26" i="8"/>
  <c r="AH26" i="8"/>
  <c r="AJ26" i="8" s="1"/>
  <c r="AL26" i="8" s="1"/>
  <c r="AG26" i="8"/>
  <c r="X26" i="8"/>
  <c r="S26" i="8"/>
  <c r="AG25" i="8"/>
  <c r="X25" i="8"/>
  <c r="S25" i="8"/>
  <c r="AG24" i="8"/>
  <c r="AI24" i="8" s="1"/>
  <c r="X24" i="8"/>
  <c r="S24" i="8"/>
  <c r="AG23" i="8"/>
  <c r="X23" i="8"/>
  <c r="S23" i="8"/>
  <c r="AG22" i="8"/>
  <c r="AI22" i="8" s="1"/>
  <c r="X22" i="8"/>
  <c r="S22" i="8"/>
  <c r="AG21" i="8"/>
  <c r="X21" i="8"/>
  <c r="S21" i="8"/>
  <c r="AG20" i="8"/>
  <c r="AI20" i="8" s="1"/>
  <c r="X20" i="8"/>
  <c r="S20" i="8"/>
  <c r="AG19" i="8"/>
  <c r="AH19" i="8" s="1"/>
  <c r="X19" i="8"/>
  <c r="S19" i="8"/>
  <c r="AH18" i="8"/>
  <c r="AG18" i="8"/>
  <c r="AI18" i="8" s="1"/>
  <c r="X18" i="8"/>
  <c r="S18" i="8"/>
  <c r="AG17" i="8"/>
  <c r="X17" i="8"/>
  <c r="S17" i="8"/>
  <c r="AG16" i="8"/>
  <c r="AI16" i="8" s="1"/>
  <c r="X16" i="8"/>
  <c r="S16" i="8"/>
  <c r="AI15" i="8"/>
  <c r="AJ15" i="8" s="1"/>
  <c r="AL15" i="8" s="1"/>
  <c r="AG15" i="8"/>
  <c r="AH15" i="8" s="1"/>
  <c r="X15" i="8"/>
  <c r="S15" i="8"/>
  <c r="AG14" i="8"/>
  <c r="X14" i="8"/>
  <c r="S14" i="8"/>
  <c r="AG13" i="8"/>
  <c r="AH13" i="8" s="1"/>
  <c r="X13" i="8"/>
  <c r="S13" i="8"/>
  <c r="AH12" i="8"/>
  <c r="AG12" i="8"/>
  <c r="AI12" i="8" s="1"/>
  <c r="X12" i="8"/>
  <c r="S12" i="8"/>
  <c r="AG11" i="8"/>
  <c r="X11" i="8"/>
  <c r="S11" i="8"/>
  <c r="AG10" i="8"/>
  <c r="AI10" i="8" s="1"/>
  <c r="X10" i="8"/>
  <c r="S10" i="8"/>
  <c r="AG9" i="8"/>
  <c r="X9" i="8"/>
  <c r="S9" i="8"/>
  <c r="AG8" i="8"/>
  <c r="AI8" i="8" s="1"/>
  <c r="X8" i="8"/>
  <c r="S8" i="8"/>
  <c r="AG7" i="8"/>
  <c r="X7" i="8"/>
  <c r="S7" i="8"/>
  <c r="AG6" i="8"/>
  <c r="AI6" i="8" s="1"/>
  <c r="X6" i="8"/>
  <c r="S6" i="8"/>
  <c r="AG5" i="8"/>
  <c r="X5" i="8"/>
  <c r="S5" i="8"/>
  <c r="AG4" i="8"/>
  <c r="AI4" i="8" s="1"/>
  <c r="X4" i="8"/>
  <c r="S4" i="8"/>
  <c r="U1" i="8"/>
  <c r="J1" i="8"/>
  <c r="A1" i="8"/>
  <c r="W35" i="7"/>
  <c r="C54" i="13" s="1"/>
  <c r="V35" i="7"/>
  <c r="B54" i="13" s="1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G34" i="7"/>
  <c r="AI34" i="7" s="1"/>
  <c r="X34" i="7"/>
  <c r="S34" i="7"/>
  <c r="AG33" i="7"/>
  <c r="AI33" i="7" s="1"/>
  <c r="X33" i="7"/>
  <c r="S33" i="7"/>
  <c r="AG32" i="7"/>
  <c r="X32" i="7"/>
  <c r="S32" i="7"/>
  <c r="AG31" i="7"/>
  <c r="AH31" i="7" s="1"/>
  <c r="X31" i="7"/>
  <c r="S31" i="7"/>
  <c r="AG30" i="7"/>
  <c r="AI30" i="7" s="1"/>
  <c r="X30" i="7"/>
  <c r="S30" i="7"/>
  <c r="AG29" i="7"/>
  <c r="X29" i="7"/>
  <c r="S29" i="7"/>
  <c r="AG28" i="7"/>
  <c r="AI28" i="7" s="1"/>
  <c r="X28" i="7"/>
  <c r="S28" i="7"/>
  <c r="AG27" i="7"/>
  <c r="AI27" i="7" s="1"/>
  <c r="X27" i="7"/>
  <c r="S27" i="7"/>
  <c r="AG26" i="7"/>
  <c r="AI26" i="7" s="1"/>
  <c r="X26" i="7"/>
  <c r="S26" i="7"/>
  <c r="AG25" i="7"/>
  <c r="AI25" i="7" s="1"/>
  <c r="X25" i="7"/>
  <c r="S25" i="7"/>
  <c r="AG24" i="7"/>
  <c r="AI24" i="7" s="1"/>
  <c r="X24" i="7"/>
  <c r="S24" i="7"/>
  <c r="AG23" i="7"/>
  <c r="AI23" i="7" s="1"/>
  <c r="X23" i="7"/>
  <c r="S23" i="7"/>
  <c r="AG22" i="7"/>
  <c r="AI22" i="7" s="1"/>
  <c r="X22" i="7"/>
  <c r="S22" i="7"/>
  <c r="AG21" i="7"/>
  <c r="AI21" i="7" s="1"/>
  <c r="X21" i="7"/>
  <c r="S21" i="7"/>
  <c r="AG20" i="7"/>
  <c r="AI20" i="7" s="1"/>
  <c r="X20" i="7"/>
  <c r="S20" i="7"/>
  <c r="AG19" i="7"/>
  <c r="AI19" i="7" s="1"/>
  <c r="X19" i="7"/>
  <c r="S19" i="7"/>
  <c r="AG18" i="7"/>
  <c r="AI18" i="7" s="1"/>
  <c r="X18" i="7"/>
  <c r="S18" i="7"/>
  <c r="AG17" i="7"/>
  <c r="AI17" i="7" s="1"/>
  <c r="X17" i="7"/>
  <c r="S17" i="7"/>
  <c r="AG16" i="7"/>
  <c r="X16" i="7"/>
  <c r="S16" i="7"/>
  <c r="AG15" i="7"/>
  <c r="AI15" i="7" s="1"/>
  <c r="X15" i="7"/>
  <c r="S15" i="7"/>
  <c r="AG14" i="7"/>
  <c r="AI14" i="7" s="1"/>
  <c r="X14" i="7"/>
  <c r="S14" i="7"/>
  <c r="AG13" i="7"/>
  <c r="X13" i="7"/>
  <c r="S13" i="7"/>
  <c r="AG12" i="7"/>
  <c r="AI12" i="7" s="1"/>
  <c r="X12" i="7"/>
  <c r="S12" i="7"/>
  <c r="AG11" i="7"/>
  <c r="AI11" i="7" s="1"/>
  <c r="X11" i="7"/>
  <c r="S11" i="7"/>
  <c r="AG10" i="7"/>
  <c r="AI10" i="7" s="1"/>
  <c r="X10" i="7"/>
  <c r="S10" i="7"/>
  <c r="AG9" i="7"/>
  <c r="AH9" i="7" s="1"/>
  <c r="X9" i="7"/>
  <c r="S9" i="7"/>
  <c r="AG8" i="7"/>
  <c r="AI8" i="7" s="1"/>
  <c r="X8" i="7"/>
  <c r="S8" i="7"/>
  <c r="AG7" i="7"/>
  <c r="AI7" i="7" s="1"/>
  <c r="X7" i="7"/>
  <c r="S7" i="7"/>
  <c r="AG6" i="7"/>
  <c r="AI6" i="7" s="1"/>
  <c r="X6" i="7"/>
  <c r="S6" i="7"/>
  <c r="AG5" i="7"/>
  <c r="X5" i="7"/>
  <c r="S5" i="7"/>
  <c r="AG4" i="7"/>
  <c r="AI4" i="7" s="1"/>
  <c r="X4" i="7"/>
  <c r="S4" i="7"/>
  <c r="U1" i="7"/>
  <c r="J1" i="7"/>
  <c r="A1" i="7"/>
  <c r="W34" i="6"/>
  <c r="C53" i="13" s="1"/>
  <c r="V34" i="6"/>
  <c r="B53" i="13" s="1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G33" i="6"/>
  <c r="AI33" i="6" s="1"/>
  <c r="X33" i="6"/>
  <c r="S33" i="6"/>
  <c r="AG32" i="6"/>
  <c r="AI32" i="6" s="1"/>
  <c r="X32" i="6"/>
  <c r="S32" i="6"/>
  <c r="AG31" i="6"/>
  <c r="AI31" i="6" s="1"/>
  <c r="X31" i="6"/>
  <c r="S31" i="6"/>
  <c r="AG30" i="6"/>
  <c r="AI30" i="6" s="1"/>
  <c r="X30" i="6"/>
  <c r="S30" i="6"/>
  <c r="AH29" i="6"/>
  <c r="AG29" i="6"/>
  <c r="AI29" i="6" s="1"/>
  <c r="X29" i="6"/>
  <c r="S29" i="6"/>
  <c r="AG28" i="6"/>
  <c r="AI28" i="6" s="1"/>
  <c r="X28" i="6"/>
  <c r="S28" i="6"/>
  <c r="AG27" i="6"/>
  <c r="AI27" i="6" s="1"/>
  <c r="X27" i="6"/>
  <c r="S27" i="6"/>
  <c r="AG26" i="6"/>
  <c r="AI26" i="6" s="1"/>
  <c r="X26" i="6"/>
  <c r="S26" i="6"/>
  <c r="AG25" i="6"/>
  <c r="AI25" i="6" s="1"/>
  <c r="X25" i="6"/>
  <c r="S25" i="6"/>
  <c r="AG24" i="6"/>
  <c r="AI24" i="6" s="1"/>
  <c r="X24" i="6"/>
  <c r="S24" i="6"/>
  <c r="AG23" i="6"/>
  <c r="AI23" i="6" s="1"/>
  <c r="X23" i="6"/>
  <c r="S23" i="6"/>
  <c r="AG22" i="6"/>
  <c r="AI22" i="6" s="1"/>
  <c r="X22" i="6"/>
  <c r="S22" i="6"/>
  <c r="AG21" i="6"/>
  <c r="AI21" i="6" s="1"/>
  <c r="X21" i="6"/>
  <c r="S21" i="6"/>
  <c r="AG20" i="6"/>
  <c r="AI20" i="6" s="1"/>
  <c r="X20" i="6"/>
  <c r="S20" i="6"/>
  <c r="AG19" i="6"/>
  <c r="AI19" i="6" s="1"/>
  <c r="X19" i="6"/>
  <c r="S19" i="6"/>
  <c r="AG18" i="6"/>
  <c r="AH18" i="6" s="1"/>
  <c r="X18" i="6"/>
  <c r="S18" i="6"/>
  <c r="AG17" i="6"/>
  <c r="AI17" i="6" s="1"/>
  <c r="X17" i="6"/>
  <c r="S17" i="6"/>
  <c r="AG16" i="6"/>
  <c r="AH16" i="6" s="1"/>
  <c r="X16" i="6"/>
  <c r="S16" i="6"/>
  <c r="AG15" i="6"/>
  <c r="AI15" i="6" s="1"/>
  <c r="X15" i="6"/>
  <c r="S15" i="6"/>
  <c r="AG14" i="6"/>
  <c r="AH14" i="6" s="1"/>
  <c r="X14" i="6"/>
  <c r="S14" i="6"/>
  <c r="AG13" i="6"/>
  <c r="AI13" i="6" s="1"/>
  <c r="X13" i="6"/>
  <c r="S13" i="6"/>
  <c r="AG12" i="6"/>
  <c r="AH12" i="6" s="1"/>
  <c r="X12" i="6"/>
  <c r="S12" i="6"/>
  <c r="AG11" i="6"/>
  <c r="AI11" i="6" s="1"/>
  <c r="X11" i="6"/>
  <c r="S11" i="6"/>
  <c r="AG10" i="6"/>
  <c r="AH10" i="6" s="1"/>
  <c r="X10" i="6"/>
  <c r="S10" i="6"/>
  <c r="AG9" i="6"/>
  <c r="AI9" i="6" s="1"/>
  <c r="X9" i="6"/>
  <c r="S9" i="6"/>
  <c r="AI8" i="6"/>
  <c r="AG8" i="6"/>
  <c r="AH8" i="6" s="1"/>
  <c r="X8" i="6"/>
  <c r="S8" i="6"/>
  <c r="AG7" i="6"/>
  <c r="AI7" i="6" s="1"/>
  <c r="X7" i="6"/>
  <c r="S7" i="6"/>
  <c r="AG6" i="6"/>
  <c r="AH6" i="6" s="1"/>
  <c r="X6" i="6"/>
  <c r="S6" i="6"/>
  <c r="AG5" i="6"/>
  <c r="AI5" i="6" s="1"/>
  <c r="X5" i="6"/>
  <c r="S5" i="6"/>
  <c r="AI4" i="6"/>
  <c r="AG4" i="6"/>
  <c r="AH4" i="6" s="1"/>
  <c r="AJ4" i="6" s="1"/>
  <c r="X4" i="6"/>
  <c r="S4" i="6"/>
  <c r="U1" i="6"/>
  <c r="J1" i="6"/>
  <c r="A1" i="6"/>
  <c r="W35" i="5"/>
  <c r="C52" i="13" s="1"/>
  <c r="V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G34" i="5"/>
  <c r="AI34" i="5" s="1"/>
  <c r="X34" i="5"/>
  <c r="S34" i="5"/>
  <c r="AG33" i="5"/>
  <c r="AI33" i="5" s="1"/>
  <c r="X33" i="5"/>
  <c r="S33" i="5"/>
  <c r="AG32" i="5"/>
  <c r="AI32" i="5" s="1"/>
  <c r="X32" i="5"/>
  <c r="S32" i="5"/>
  <c r="AH31" i="5"/>
  <c r="AJ31" i="5" s="1"/>
  <c r="AL31" i="5" s="1"/>
  <c r="AG31" i="5"/>
  <c r="AI31" i="5" s="1"/>
  <c r="X31" i="5"/>
  <c r="S31" i="5"/>
  <c r="AG30" i="5"/>
  <c r="X30" i="5"/>
  <c r="S30" i="5"/>
  <c r="AG29" i="5"/>
  <c r="AI29" i="5" s="1"/>
  <c r="X29" i="5"/>
  <c r="S29" i="5"/>
  <c r="AG28" i="5"/>
  <c r="AI28" i="5" s="1"/>
  <c r="X28" i="5"/>
  <c r="S28" i="5"/>
  <c r="AH27" i="5"/>
  <c r="AJ27" i="5" s="1"/>
  <c r="AL27" i="5" s="1"/>
  <c r="AG27" i="5"/>
  <c r="AI27" i="5" s="1"/>
  <c r="X27" i="5"/>
  <c r="S27" i="5"/>
  <c r="AG26" i="5"/>
  <c r="AI26" i="5" s="1"/>
  <c r="X26" i="5"/>
  <c r="S26" i="5"/>
  <c r="AG25" i="5"/>
  <c r="AH25" i="5" s="1"/>
  <c r="X25" i="5"/>
  <c r="S25" i="5"/>
  <c r="AG24" i="5"/>
  <c r="AI24" i="5" s="1"/>
  <c r="X24" i="5"/>
  <c r="S24" i="5"/>
  <c r="AG23" i="5"/>
  <c r="AH23" i="5" s="1"/>
  <c r="X23" i="5"/>
  <c r="S23" i="5"/>
  <c r="AG22" i="5"/>
  <c r="AI22" i="5" s="1"/>
  <c r="X22" i="5"/>
  <c r="S22" i="5"/>
  <c r="AG21" i="5"/>
  <c r="AH21" i="5" s="1"/>
  <c r="X21" i="5"/>
  <c r="S21" i="5"/>
  <c r="AG20" i="5"/>
  <c r="AI20" i="5" s="1"/>
  <c r="X20" i="5"/>
  <c r="S20" i="5"/>
  <c r="AI19" i="5"/>
  <c r="AG19" i="5"/>
  <c r="AH19" i="5" s="1"/>
  <c r="X19" i="5"/>
  <c r="S19" i="5"/>
  <c r="AG18" i="5"/>
  <c r="AI18" i="5" s="1"/>
  <c r="X18" i="5"/>
  <c r="S18" i="5"/>
  <c r="AG17" i="5"/>
  <c r="AH17" i="5" s="1"/>
  <c r="X17" i="5"/>
  <c r="S17" i="5"/>
  <c r="AG16" i="5"/>
  <c r="AI16" i="5" s="1"/>
  <c r="X16" i="5"/>
  <c r="S16" i="5"/>
  <c r="AI15" i="5"/>
  <c r="AG15" i="5"/>
  <c r="AH15" i="5" s="1"/>
  <c r="X15" i="5"/>
  <c r="S15" i="5"/>
  <c r="AG14" i="5"/>
  <c r="AI14" i="5" s="1"/>
  <c r="X14" i="5"/>
  <c r="S14" i="5"/>
  <c r="AG13" i="5"/>
  <c r="AH13" i="5" s="1"/>
  <c r="X13" i="5"/>
  <c r="S13" i="5"/>
  <c r="AG12" i="5"/>
  <c r="AI12" i="5" s="1"/>
  <c r="X12" i="5"/>
  <c r="S12" i="5"/>
  <c r="AI11" i="5"/>
  <c r="AG11" i="5"/>
  <c r="AH11" i="5" s="1"/>
  <c r="X11" i="5"/>
  <c r="S11" i="5"/>
  <c r="AG10" i="5"/>
  <c r="AI10" i="5" s="1"/>
  <c r="X10" i="5"/>
  <c r="S10" i="5"/>
  <c r="AG9" i="5"/>
  <c r="AH9" i="5" s="1"/>
  <c r="X9" i="5"/>
  <c r="S9" i="5"/>
  <c r="AG8" i="5"/>
  <c r="AI8" i="5" s="1"/>
  <c r="X8" i="5"/>
  <c r="S8" i="5"/>
  <c r="AG7" i="5"/>
  <c r="AH7" i="5" s="1"/>
  <c r="X7" i="5"/>
  <c r="S7" i="5"/>
  <c r="AG6" i="5"/>
  <c r="AI6" i="5" s="1"/>
  <c r="X6" i="5"/>
  <c r="S6" i="5"/>
  <c r="AG5" i="5"/>
  <c r="AH5" i="5" s="1"/>
  <c r="X5" i="5"/>
  <c r="S5" i="5"/>
  <c r="AG4" i="5"/>
  <c r="AI4" i="5" s="1"/>
  <c r="X4" i="5"/>
  <c r="S4" i="5"/>
  <c r="U1" i="5"/>
  <c r="J1" i="5"/>
  <c r="A1" i="5"/>
  <c r="W34" i="4"/>
  <c r="C51" i="13" s="1"/>
  <c r="V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G33" i="4"/>
  <c r="AI33" i="4" s="1"/>
  <c r="X33" i="4"/>
  <c r="S33" i="4"/>
  <c r="AG32" i="4"/>
  <c r="AI32" i="4" s="1"/>
  <c r="X32" i="4"/>
  <c r="S32" i="4"/>
  <c r="AG31" i="4"/>
  <c r="X31" i="4"/>
  <c r="S31" i="4"/>
  <c r="AG30" i="4"/>
  <c r="X30" i="4"/>
  <c r="S30" i="4"/>
  <c r="AG29" i="4"/>
  <c r="AI29" i="4" s="1"/>
  <c r="X29" i="4"/>
  <c r="S29" i="4"/>
  <c r="AG28" i="4"/>
  <c r="X28" i="4"/>
  <c r="S28" i="4"/>
  <c r="AG27" i="4"/>
  <c r="X27" i="4"/>
  <c r="S27" i="4"/>
  <c r="AG26" i="4"/>
  <c r="X26" i="4"/>
  <c r="S26" i="4"/>
  <c r="AG25" i="4"/>
  <c r="AI25" i="4" s="1"/>
  <c r="X25" i="4"/>
  <c r="S25" i="4"/>
  <c r="AG24" i="4"/>
  <c r="X24" i="4"/>
  <c r="S24" i="4"/>
  <c r="AG23" i="4"/>
  <c r="AI23" i="4" s="1"/>
  <c r="X23" i="4"/>
  <c r="S23" i="4"/>
  <c r="AG22" i="4"/>
  <c r="X22" i="4"/>
  <c r="S22" i="4"/>
  <c r="AG21" i="4"/>
  <c r="AI21" i="4" s="1"/>
  <c r="X21" i="4"/>
  <c r="S21" i="4"/>
  <c r="AG20" i="4"/>
  <c r="X20" i="4"/>
  <c r="S20" i="4"/>
  <c r="AG19" i="4"/>
  <c r="AI19" i="4" s="1"/>
  <c r="X19" i="4"/>
  <c r="S19" i="4"/>
  <c r="AG18" i="4"/>
  <c r="X18" i="4"/>
  <c r="S18" i="4"/>
  <c r="AG17" i="4"/>
  <c r="AI17" i="4" s="1"/>
  <c r="X17" i="4"/>
  <c r="S17" i="4"/>
  <c r="AG16" i="4"/>
  <c r="X16" i="4"/>
  <c r="S16" i="4"/>
  <c r="AG15" i="4"/>
  <c r="AI15" i="4" s="1"/>
  <c r="X15" i="4"/>
  <c r="S15" i="4"/>
  <c r="AG14" i="4"/>
  <c r="X14" i="4"/>
  <c r="S14" i="4"/>
  <c r="AH13" i="4"/>
  <c r="AG13" i="4"/>
  <c r="AI13" i="4" s="1"/>
  <c r="X13" i="4"/>
  <c r="S13" i="4"/>
  <c r="AG12" i="4"/>
  <c r="AI12" i="4" s="1"/>
  <c r="X12" i="4"/>
  <c r="S12" i="4"/>
  <c r="AG11" i="4"/>
  <c r="AI11" i="4" s="1"/>
  <c r="X11" i="4"/>
  <c r="S11" i="4"/>
  <c r="AG10" i="4"/>
  <c r="X10" i="4"/>
  <c r="S10" i="4"/>
  <c r="AG9" i="4"/>
  <c r="AH9" i="4" s="1"/>
  <c r="X9" i="4"/>
  <c r="S9" i="4"/>
  <c r="AG8" i="4"/>
  <c r="AI8" i="4" s="1"/>
  <c r="X8" i="4"/>
  <c r="S8" i="4"/>
  <c r="AG7" i="4"/>
  <c r="AH7" i="4" s="1"/>
  <c r="X7" i="4"/>
  <c r="S7" i="4"/>
  <c r="AG6" i="4"/>
  <c r="AI6" i="4" s="1"/>
  <c r="X6" i="4"/>
  <c r="S6" i="4"/>
  <c r="AG5" i="4"/>
  <c r="X5" i="4"/>
  <c r="S5" i="4"/>
  <c r="AG4" i="4"/>
  <c r="AI4" i="4" s="1"/>
  <c r="X4" i="4"/>
  <c r="S4" i="4"/>
  <c r="U1" i="4"/>
  <c r="J1" i="4"/>
  <c r="A1" i="4"/>
  <c r="W35" i="3"/>
  <c r="C50" i="13" s="1"/>
  <c r="V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AG34" i="3"/>
  <c r="AI34" i="3" s="1"/>
  <c r="X34" i="3"/>
  <c r="S34" i="3"/>
  <c r="AG33" i="3"/>
  <c r="AI33" i="3" s="1"/>
  <c r="X33" i="3"/>
  <c r="S33" i="3"/>
  <c r="AG32" i="3"/>
  <c r="AI32" i="3" s="1"/>
  <c r="X32" i="3"/>
  <c r="S32" i="3"/>
  <c r="AG31" i="3"/>
  <c r="AI31" i="3" s="1"/>
  <c r="X31" i="3"/>
  <c r="S31" i="3"/>
  <c r="AG30" i="3"/>
  <c r="AI30" i="3" s="1"/>
  <c r="X30" i="3"/>
  <c r="S30" i="3"/>
  <c r="AG29" i="3"/>
  <c r="AI29" i="3" s="1"/>
  <c r="X29" i="3"/>
  <c r="S29" i="3"/>
  <c r="AG28" i="3"/>
  <c r="AI28" i="3" s="1"/>
  <c r="X28" i="3"/>
  <c r="S28" i="3"/>
  <c r="AG27" i="3"/>
  <c r="AI27" i="3" s="1"/>
  <c r="X27" i="3"/>
  <c r="S27" i="3"/>
  <c r="AG26" i="3"/>
  <c r="AI26" i="3" s="1"/>
  <c r="X26" i="3"/>
  <c r="S26" i="3"/>
  <c r="AG25" i="3"/>
  <c r="AI25" i="3" s="1"/>
  <c r="X25" i="3"/>
  <c r="S25" i="3"/>
  <c r="AG24" i="3"/>
  <c r="AI24" i="3" s="1"/>
  <c r="X24" i="3"/>
  <c r="S24" i="3"/>
  <c r="AG23" i="3"/>
  <c r="AI23" i="3" s="1"/>
  <c r="X23" i="3"/>
  <c r="S23" i="3"/>
  <c r="AH22" i="3"/>
  <c r="AJ22" i="3" s="1"/>
  <c r="AL22" i="3" s="1"/>
  <c r="AG22" i="3"/>
  <c r="AI22" i="3" s="1"/>
  <c r="X22" i="3"/>
  <c r="S22" i="3"/>
  <c r="AG21" i="3"/>
  <c r="AI21" i="3" s="1"/>
  <c r="X21" i="3"/>
  <c r="S21" i="3"/>
  <c r="AG20" i="3"/>
  <c r="AI20" i="3" s="1"/>
  <c r="X20" i="3"/>
  <c r="S20" i="3"/>
  <c r="AG19" i="3"/>
  <c r="AI19" i="3" s="1"/>
  <c r="X19" i="3"/>
  <c r="S19" i="3"/>
  <c r="AH18" i="3"/>
  <c r="AJ18" i="3" s="1"/>
  <c r="AL18" i="3" s="1"/>
  <c r="AG18" i="3"/>
  <c r="AI18" i="3" s="1"/>
  <c r="X18" i="3"/>
  <c r="S18" i="3"/>
  <c r="AG17" i="3"/>
  <c r="AI17" i="3" s="1"/>
  <c r="X17" i="3"/>
  <c r="S17" i="3"/>
  <c r="AG16" i="3"/>
  <c r="AI16" i="3" s="1"/>
  <c r="X16" i="3"/>
  <c r="S16" i="3"/>
  <c r="AG15" i="3"/>
  <c r="AI15" i="3" s="1"/>
  <c r="X15" i="3"/>
  <c r="S15" i="3"/>
  <c r="AG14" i="3"/>
  <c r="AI14" i="3" s="1"/>
  <c r="X14" i="3"/>
  <c r="S14" i="3"/>
  <c r="AG13" i="3"/>
  <c r="AI13" i="3" s="1"/>
  <c r="X13" i="3"/>
  <c r="S13" i="3"/>
  <c r="AG12" i="3"/>
  <c r="AI12" i="3" s="1"/>
  <c r="X12" i="3"/>
  <c r="S12" i="3"/>
  <c r="AG11" i="3"/>
  <c r="X11" i="3"/>
  <c r="S11" i="3"/>
  <c r="AG10" i="3"/>
  <c r="AI10" i="3" s="1"/>
  <c r="X10" i="3"/>
  <c r="S10" i="3"/>
  <c r="AG9" i="3"/>
  <c r="X9" i="3"/>
  <c r="S9" i="3"/>
  <c r="AG8" i="3"/>
  <c r="AI8" i="3" s="1"/>
  <c r="X8" i="3"/>
  <c r="S8" i="3"/>
  <c r="AG7" i="3"/>
  <c r="X7" i="3"/>
  <c r="S7" i="3"/>
  <c r="AG6" i="3"/>
  <c r="AI6" i="3" s="1"/>
  <c r="X6" i="3"/>
  <c r="S6" i="3"/>
  <c r="AG5" i="3"/>
  <c r="X5" i="3"/>
  <c r="S5" i="3"/>
  <c r="AG4" i="3"/>
  <c r="AI4" i="3" s="1"/>
  <c r="X4" i="3"/>
  <c r="S4" i="3"/>
  <c r="X1" i="3"/>
  <c r="X1" i="4" s="1"/>
  <c r="X1" i="5" s="1"/>
  <c r="X1" i="6" s="1"/>
  <c r="X1" i="7" s="1"/>
  <c r="X1" i="8" s="1"/>
  <c r="X1" i="9" s="1"/>
  <c r="X1" i="10" s="1"/>
  <c r="X1" i="11" s="1"/>
  <c r="X1" i="12" s="1"/>
  <c r="U1" i="3"/>
  <c r="J1" i="3"/>
  <c r="A1" i="3"/>
  <c r="W32" i="2"/>
  <c r="C49" i="13" s="1"/>
  <c r="V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G31" i="2"/>
  <c r="AI31" i="2" s="1"/>
  <c r="X31" i="2"/>
  <c r="S31" i="2"/>
  <c r="AG30" i="2"/>
  <c r="AI30" i="2" s="1"/>
  <c r="X30" i="2"/>
  <c r="S30" i="2"/>
  <c r="AH29" i="2"/>
  <c r="AJ29" i="2" s="1"/>
  <c r="AL29" i="2" s="1"/>
  <c r="AG29" i="2"/>
  <c r="AI29" i="2" s="1"/>
  <c r="X29" i="2"/>
  <c r="S29" i="2"/>
  <c r="AG28" i="2"/>
  <c r="AI28" i="2" s="1"/>
  <c r="X28" i="2"/>
  <c r="S28" i="2"/>
  <c r="AG27" i="2"/>
  <c r="AI27" i="2" s="1"/>
  <c r="X27" i="2"/>
  <c r="S27" i="2"/>
  <c r="AG26" i="2"/>
  <c r="AI26" i="2" s="1"/>
  <c r="X26" i="2"/>
  <c r="S26" i="2"/>
  <c r="AG25" i="2"/>
  <c r="AI25" i="2" s="1"/>
  <c r="X25" i="2"/>
  <c r="S25" i="2"/>
  <c r="AG24" i="2"/>
  <c r="AI24" i="2" s="1"/>
  <c r="X24" i="2"/>
  <c r="S24" i="2"/>
  <c r="AH23" i="2"/>
  <c r="AG23" i="2"/>
  <c r="AI23" i="2" s="1"/>
  <c r="X23" i="2"/>
  <c r="S23" i="2"/>
  <c r="AG22" i="2"/>
  <c r="AI22" i="2" s="1"/>
  <c r="X22" i="2"/>
  <c r="S22" i="2"/>
  <c r="AG21" i="2"/>
  <c r="AI21" i="2" s="1"/>
  <c r="X21" i="2"/>
  <c r="S21" i="2"/>
  <c r="AG20" i="2"/>
  <c r="AI20" i="2" s="1"/>
  <c r="X20" i="2"/>
  <c r="S20" i="2"/>
  <c r="AG19" i="2"/>
  <c r="AI19" i="2" s="1"/>
  <c r="X19" i="2"/>
  <c r="S19" i="2"/>
  <c r="AG18" i="2"/>
  <c r="AI18" i="2" s="1"/>
  <c r="X18" i="2"/>
  <c r="S18" i="2"/>
  <c r="AG17" i="2"/>
  <c r="AI17" i="2" s="1"/>
  <c r="X17" i="2"/>
  <c r="S17" i="2"/>
  <c r="AG16" i="2"/>
  <c r="AI16" i="2" s="1"/>
  <c r="X16" i="2"/>
  <c r="S16" i="2"/>
  <c r="AG15" i="2"/>
  <c r="AI15" i="2" s="1"/>
  <c r="X15" i="2"/>
  <c r="S15" i="2"/>
  <c r="AG14" i="2"/>
  <c r="AI14" i="2" s="1"/>
  <c r="X14" i="2"/>
  <c r="S14" i="2"/>
  <c r="AH13" i="2"/>
  <c r="AG13" i="2"/>
  <c r="AI13" i="2" s="1"/>
  <c r="X13" i="2"/>
  <c r="S13" i="2"/>
  <c r="AG12" i="2"/>
  <c r="AI12" i="2" s="1"/>
  <c r="X12" i="2"/>
  <c r="S12" i="2"/>
  <c r="AH11" i="2"/>
  <c r="AJ11" i="2" s="1"/>
  <c r="AL11" i="2" s="1"/>
  <c r="AG11" i="2"/>
  <c r="AI11" i="2" s="1"/>
  <c r="X11" i="2"/>
  <c r="S11" i="2"/>
  <c r="AG10" i="2"/>
  <c r="AI10" i="2" s="1"/>
  <c r="X10" i="2"/>
  <c r="S10" i="2"/>
  <c r="AG9" i="2"/>
  <c r="AI9" i="2" s="1"/>
  <c r="X9" i="2"/>
  <c r="S9" i="2"/>
  <c r="AG8" i="2"/>
  <c r="AI8" i="2" s="1"/>
  <c r="X8" i="2"/>
  <c r="S8" i="2"/>
  <c r="AG7" i="2"/>
  <c r="AI7" i="2" s="1"/>
  <c r="X7" i="2"/>
  <c r="S7" i="2"/>
  <c r="AG6" i="2"/>
  <c r="AI6" i="2" s="1"/>
  <c r="X6" i="2"/>
  <c r="S6" i="2"/>
  <c r="AG5" i="2"/>
  <c r="AI5" i="2" s="1"/>
  <c r="X5" i="2"/>
  <c r="S5" i="2"/>
  <c r="AG4" i="2"/>
  <c r="AI4" i="2" s="1"/>
  <c r="X4" i="2"/>
  <c r="S4" i="2"/>
  <c r="X1" i="2"/>
  <c r="U1" i="2"/>
  <c r="J1" i="2"/>
  <c r="A1" i="2"/>
  <c r="W35" i="1"/>
  <c r="C48" i="13" s="1"/>
  <c r="V35" i="1"/>
  <c r="B48" i="13" s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G34" i="1"/>
  <c r="AI34" i="1" s="1"/>
  <c r="X34" i="1"/>
  <c r="S34" i="1"/>
  <c r="AG33" i="1"/>
  <c r="AI33" i="1" s="1"/>
  <c r="X33" i="1"/>
  <c r="S33" i="1"/>
  <c r="AG32" i="1"/>
  <c r="AI32" i="1" s="1"/>
  <c r="X32" i="1"/>
  <c r="S32" i="1"/>
  <c r="AG31" i="1"/>
  <c r="AI31" i="1" s="1"/>
  <c r="X31" i="1"/>
  <c r="S31" i="1"/>
  <c r="AG30" i="1"/>
  <c r="AI30" i="1" s="1"/>
  <c r="X30" i="1"/>
  <c r="S30" i="1"/>
  <c r="AG29" i="1"/>
  <c r="AI29" i="1" s="1"/>
  <c r="X29" i="1"/>
  <c r="S29" i="1"/>
  <c r="AI28" i="1"/>
  <c r="AH28" i="1"/>
  <c r="AJ28" i="1" s="1"/>
  <c r="AL28" i="1" s="1"/>
  <c r="AG28" i="1"/>
  <c r="X28" i="1"/>
  <c r="S28" i="1"/>
  <c r="AG27" i="1"/>
  <c r="AI27" i="1" s="1"/>
  <c r="X27" i="1"/>
  <c r="S27" i="1"/>
  <c r="AI26" i="1"/>
  <c r="AG26" i="1"/>
  <c r="AH26" i="1" s="1"/>
  <c r="AJ26" i="1" s="1"/>
  <c r="AL26" i="1" s="1"/>
  <c r="X26" i="1"/>
  <c r="S26" i="1"/>
  <c r="AG25" i="1"/>
  <c r="AI25" i="1" s="1"/>
  <c r="X25" i="1"/>
  <c r="S25" i="1"/>
  <c r="AI24" i="1"/>
  <c r="AG24" i="1"/>
  <c r="AH24" i="1" s="1"/>
  <c r="AJ24" i="1" s="1"/>
  <c r="AL24" i="1" s="1"/>
  <c r="X24" i="1"/>
  <c r="S24" i="1"/>
  <c r="AG23" i="1"/>
  <c r="AI23" i="1" s="1"/>
  <c r="X23" i="1"/>
  <c r="S23" i="1"/>
  <c r="AI22" i="1"/>
  <c r="AH22" i="1"/>
  <c r="AJ22" i="1" s="1"/>
  <c r="AL22" i="1" s="1"/>
  <c r="AG22" i="1"/>
  <c r="X22" i="1"/>
  <c r="S22" i="1"/>
  <c r="AG21" i="1"/>
  <c r="AI21" i="1" s="1"/>
  <c r="X21" i="1"/>
  <c r="S21" i="1"/>
  <c r="AG20" i="1"/>
  <c r="AI20" i="1" s="1"/>
  <c r="X20" i="1"/>
  <c r="S20" i="1"/>
  <c r="AG19" i="1"/>
  <c r="AI19" i="1" s="1"/>
  <c r="X19" i="1"/>
  <c r="S19" i="1"/>
  <c r="AG18" i="1"/>
  <c r="AI18" i="1" s="1"/>
  <c r="X18" i="1"/>
  <c r="S18" i="1"/>
  <c r="AG17" i="1"/>
  <c r="AH17" i="1" s="1"/>
  <c r="X17" i="1"/>
  <c r="S17" i="1"/>
  <c r="AG16" i="1"/>
  <c r="AI16" i="1" s="1"/>
  <c r="X16" i="1"/>
  <c r="S16" i="1"/>
  <c r="AG15" i="1"/>
  <c r="AH15" i="1" s="1"/>
  <c r="X15" i="1"/>
  <c r="S15" i="1"/>
  <c r="AI14" i="1"/>
  <c r="AH14" i="1"/>
  <c r="AJ14" i="1" s="1"/>
  <c r="AL14" i="1" s="1"/>
  <c r="AG14" i="1"/>
  <c r="X14" i="1"/>
  <c r="S14" i="1"/>
  <c r="AG13" i="1"/>
  <c r="AH13" i="1" s="1"/>
  <c r="X13" i="1"/>
  <c r="S13" i="1"/>
  <c r="AG12" i="1"/>
  <c r="AI12" i="1" s="1"/>
  <c r="X12" i="1"/>
  <c r="S12" i="1"/>
  <c r="AG11" i="1"/>
  <c r="AI11" i="1" s="1"/>
  <c r="X11" i="1"/>
  <c r="S11" i="1"/>
  <c r="AG10" i="1"/>
  <c r="AI10" i="1" s="1"/>
  <c r="X10" i="1"/>
  <c r="S10" i="1"/>
  <c r="AG9" i="1"/>
  <c r="AH9" i="1" s="1"/>
  <c r="X9" i="1"/>
  <c r="S9" i="1"/>
  <c r="AG8" i="1"/>
  <c r="AI8" i="1" s="1"/>
  <c r="X8" i="1"/>
  <c r="S8" i="1"/>
  <c r="AG7" i="1"/>
  <c r="AH7" i="1" s="1"/>
  <c r="X7" i="1"/>
  <c r="S7" i="1"/>
  <c r="AG6" i="1"/>
  <c r="AI6" i="1" s="1"/>
  <c r="X6" i="1"/>
  <c r="S6" i="1"/>
  <c r="AG5" i="1"/>
  <c r="AH5" i="1" s="1"/>
  <c r="X5" i="1"/>
  <c r="S5" i="1"/>
  <c r="AG4" i="1"/>
  <c r="AI4" i="1" s="1"/>
  <c r="X4" i="1"/>
  <c r="S4" i="1"/>
  <c r="U1" i="1"/>
  <c r="P1" i="1"/>
  <c r="A4" i="1" s="1"/>
  <c r="A5" i="1" s="1"/>
  <c r="J1" i="1"/>
  <c r="A1" i="1"/>
  <c r="AH26" i="7" l="1"/>
  <c r="AJ26" i="7" s="1"/>
  <c r="AL26" i="7" s="1"/>
  <c r="AH25" i="7"/>
  <c r="AJ25" i="7" s="1"/>
  <c r="AL25" i="7" s="1"/>
  <c r="AH22" i="7"/>
  <c r="AJ22" i="7" s="1"/>
  <c r="AL22" i="7" s="1"/>
  <c r="AH15" i="7"/>
  <c r="AJ15" i="7" s="1"/>
  <c r="AL15" i="7" s="1"/>
  <c r="AH12" i="7"/>
  <c r="AJ12" i="7" s="1"/>
  <c r="AL12" i="7" s="1"/>
  <c r="AH6" i="7"/>
  <c r="AJ6" i="7" s="1"/>
  <c r="AL6" i="7" s="1"/>
  <c r="AH4" i="7"/>
  <c r="AJ4" i="7" s="1"/>
  <c r="AL4" i="7" s="1"/>
  <c r="AJ29" i="6"/>
  <c r="AL29" i="6" s="1"/>
  <c r="AH27" i="6"/>
  <c r="AJ27" i="6" s="1"/>
  <c r="AL27" i="6" s="1"/>
  <c r="AH26" i="6"/>
  <c r="AJ26" i="6" s="1"/>
  <c r="AL26" i="6" s="1"/>
  <c r="AH24" i="6"/>
  <c r="AJ24" i="6" s="1"/>
  <c r="AL24" i="6" s="1"/>
  <c r="AH21" i="6"/>
  <c r="AH19" i="6"/>
  <c r="AJ19" i="6" s="1"/>
  <c r="AL19" i="6" s="1"/>
  <c r="AI6" i="6"/>
  <c r="AJ6" i="6" s="1"/>
  <c r="AL6" i="6" s="1"/>
  <c r="AH19" i="2"/>
  <c r="AJ19" i="2" s="1"/>
  <c r="AL19" i="2" s="1"/>
  <c r="E2" i="2"/>
  <c r="E2" i="6"/>
  <c r="E2" i="3"/>
  <c r="E2" i="8"/>
  <c r="E2" i="4"/>
  <c r="E2" i="5"/>
  <c r="E2" i="9"/>
  <c r="E2" i="11"/>
  <c r="E2" i="1"/>
  <c r="J2" i="1" s="1"/>
  <c r="E2" i="10"/>
  <c r="E2" i="7"/>
  <c r="X35" i="12"/>
  <c r="AJ5" i="12"/>
  <c r="AL5" i="12" s="1"/>
  <c r="AI7" i="12"/>
  <c r="AJ7" i="12" s="1"/>
  <c r="AL7" i="12" s="1"/>
  <c r="AJ15" i="12"/>
  <c r="AL15" i="12" s="1"/>
  <c r="AJ17" i="12"/>
  <c r="AL17" i="12" s="1"/>
  <c r="AI19" i="12"/>
  <c r="AJ19" i="12" s="1"/>
  <c r="AL19" i="12" s="1"/>
  <c r="AI15" i="12"/>
  <c r="AI17" i="12"/>
  <c r="AH12" i="11"/>
  <c r="AJ12" i="11" s="1"/>
  <c r="AL12" i="11" s="1"/>
  <c r="AH20" i="11"/>
  <c r="AJ20" i="11" s="1"/>
  <c r="AL20" i="11" s="1"/>
  <c r="AH28" i="11"/>
  <c r="AJ28" i="11" s="1"/>
  <c r="AL28" i="11" s="1"/>
  <c r="AH24" i="11"/>
  <c r="AJ24" i="11" s="1"/>
  <c r="AL24" i="11" s="1"/>
  <c r="AH26" i="11"/>
  <c r="AJ26" i="11" s="1"/>
  <c r="AL26" i="11" s="1"/>
  <c r="AJ11" i="11"/>
  <c r="AL11" i="11" s="1"/>
  <c r="AH14" i="11"/>
  <c r="AJ14" i="11" s="1"/>
  <c r="AL14" i="11" s="1"/>
  <c r="AJ19" i="11"/>
  <c r="AL19" i="11" s="1"/>
  <c r="AH30" i="11"/>
  <c r="AJ30" i="11" s="1"/>
  <c r="AL30" i="11" s="1"/>
  <c r="AI9" i="11"/>
  <c r="AJ9" i="11" s="1"/>
  <c r="AL9" i="11" s="1"/>
  <c r="AH13" i="11"/>
  <c r="AJ13" i="11" s="1"/>
  <c r="AL13" i="11" s="1"/>
  <c r="AH21" i="11"/>
  <c r="AJ21" i="11" s="1"/>
  <c r="AL21" i="11" s="1"/>
  <c r="AH25" i="11"/>
  <c r="AJ25" i="11" s="1"/>
  <c r="AL25" i="11" s="1"/>
  <c r="AI5" i="11"/>
  <c r="AJ5" i="11" s="1"/>
  <c r="AL5" i="11" s="1"/>
  <c r="AH32" i="10"/>
  <c r="AI27" i="10"/>
  <c r="AH34" i="10"/>
  <c r="AH29" i="10"/>
  <c r="AJ34" i="10"/>
  <c r="AL34" i="10" s="1"/>
  <c r="AJ31" i="10"/>
  <c r="AL31" i="10" s="1"/>
  <c r="AH26" i="10"/>
  <c r="AJ26" i="10" s="1"/>
  <c r="AL26" i="10" s="1"/>
  <c r="AH33" i="10"/>
  <c r="AH28" i="10"/>
  <c r="AJ28" i="10" s="1"/>
  <c r="AL28" i="10" s="1"/>
  <c r="AJ32" i="10"/>
  <c r="AL32" i="10" s="1"/>
  <c r="AJ13" i="9"/>
  <c r="AL13" i="9" s="1"/>
  <c r="AJ21" i="9"/>
  <c r="AL21" i="9" s="1"/>
  <c r="AJ25" i="9"/>
  <c r="AL25" i="9" s="1"/>
  <c r="AJ9" i="9"/>
  <c r="AL9" i="9" s="1"/>
  <c r="AI7" i="9"/>
  <c r="AJ7" i="9" s="1"/>
  <c r="AL7" i="9" s="1"/>
  <c r="AH16" i="9"/>
  <c r="AJ16" i="9" s="1"/>
  <c r="AL16" i="9" s="1"/>
  <c r="AH19" i="9"/>
  <c r="AJ19" i="9" s="1"/>
  <c r="AL19" i="9" s="1"/>
  <c r="AJ10" i="9"/>
  <c r="AL10" i="9" s="1"/>
  <c r="AJ26" i="9"/>
  <c r="AL26" i="9" s="1"/>
  <c r="AJ22" i="9"/>
  <c r="AL22" i="9" s="1"/>
  <c r="AH12" i="9"/>
  <c r="AJ12" i="9" s="1"/>
  <c r="AL12" i="9" s="1"/>
  <c r="AH15" i="9"/>
  <c r="AJ15" i="9" s="1"/>
  <c r="AL15" i="9" s="1"/>
  <c r="AH28" i="9"/>
  <c r="AJ28" i="9" s="1"/>
  <c r="AL28" i="9" s="1"/>
  <c r="AJ6" i="9"/>
  <c r="AL6" i="9" s="1"/>
  <c r="AJ18" i="9"/>
  <c r="AL18" i="9" s="1"/>
  <c r="AH8" i="9"/>
  <c r="AJ8" i="9" s="1"/>
  <c r="AL8" i="9" s="1"/>
  <c r="AH11" i="9"/>
  <c r="AJ11" i="9" s="1"/>
  <c r="AL11" i="9" s="1"/>
  <c r="AH24" i="9"/>
  <c r="AJ24" i="9" s="1"/>
  <c r="AL24" i="9" s="1"/>
  <c r="AH27" i="9"/>
  <c r="AJ27" i="9" s="1"/>
  <c r="AL27" i="9" s="1"/>
  <c r="AJ14" i="9"/>
  <c r="AL14" i="9" s="1"/>
  <c r="AJ20" i="9"/>
  <c r="AL20" i="9" s="1"/>
  <c r="AJ28" i="8"/>
  <c r="AL28" i="8" s="1"/>
  <c r="AJ18" i="8"/>
  <c r="AL18" i="8" s="1"/>
  <c r="AH16" i="8"/>
  <c r="AJ16" i="8" s="1"/>
  <c r="AL16" i="8" s="1"/>
  <c r="AH20" i="8"/>
  <c r="AJ20" i="8" s="1"/>
  <c r="AL20" i="8" s="1"/>
  <c r="AH22" i="8"/>
  <c r="AJ22" i="8" s="1"/>
  <c r="AL22" i="8" s="1"/>
  <c r="AH30" i="8"/>
  <c r="AJ30" i="8" s="1"/>
  <c r="AL30" i="8" s="1"/>
  <c r="AH32" i="8"/>
  <c r="AJ32" i="8" s="1"/>
  <c r="AL32" i="8" s="1"/>
  <c r="AH24" i="8"/>
  <c r="AJ24" i="8" s="1"/>
  <c r="AL24" i="8" s="1"/>
  <c r="AH6" i="8"/>
  <c r="AJ6" i="8" s="1"/>
  <c r="AL6" i="8" s="1"/>
  <c r="AH7" i="7"/>
  <c r="AJ7" i="7" s="1"/>
  <c r="AL7" i="7" s="1"/>
  <c r="AI9" i="7"/>
  <c r="AJ9" i="7" s="1"/>
  <c r="AL9" i="7" s="1"/>
  <c r="AH19" i="7"/>
  <c r="AJ19" i="7" s="1"/>
  <c r="AL19" i="7" s="1"/>
  <c r="AH18" i="7"/>
  <c r="AJ18" i="7" s="1"/>
  <c r="AL18" i="7" s="1"/>
  <c r="AH28" i="7"/>
  <c r="AJ28" i="7" s="1"/>
  <c r="AL28" i="7" s="1"/>
  <c r="AH10" i="7"/>
  <c r="AJ10" i="7" s="1"/>
  <c r="AL10" i="7" s="1"/>
  <c r="AJ31" i="7"/>
  <c r="AL31" i="7" s="1"/>
  <c r="AH23" i="7"/>
  <c r="AJ23" i="7" s="1"/>
  <c r="AL23" i="7" s="1"/>
  <c r="AI31" i="7"/>
  <c r="AJ8" i="6"/>
  <c r="AL8" i="6" s="1"/>
  <c r="AI10" i="6"/>
  <c r="AJ10" i="6" s="1"/>
  <c r="AL10" i="6" s="1"/>
  <c r="AI12" i="6"/>
  <c r="AJ12" i="6" s="1"/>
  <c r="AL12" i="6" s="1"/>
  <c r="AI14" i="6"/>
  <c r="AJ14" i="6" s="1"/>
  <c r="AL14" i="6" s="1"/>
  <c r="AI16" i="6"/>
  <c r="AJ16" i="6" s="1"/>
  <c r="AL16" i="6" s="1"/>
  <c r="AI18" i="6"/>
  <c r="AJ18" i="6" s="1"/>
  <c r="AL18" i="6" s="1"/>
  <c r="AH20" i="6"/>
  <c r="AJ20" i="6" s="1"/>
  <c r="AL20" i="6" s="1"/>
  <c r="AH23" i="6"/>
  <c r="AH28" i="6"/>
  <c r="AJ28" i="6" s="1"/>
  <c r="AL28" i="6" s="1"/>
  <c r="AH31" i="6"/>
  <c r="AJ31" i="6" s="1"/>
  <c r="AL31" i="6" s="1"/>
  <c r="AH22" i="6"/>
  <c r="AJ22" i="6" s="1"/>
  <c r="AL22" i="6" s="1"/>
  <c r="AH25" i="6"/>
  <c r="AJ25" i="6" s="1"/>
  <c r="AL25" i="6" s="1"/>
  <c r="AH30" i="6"/>
  <c r="AJ30" i="6" s="1"/>
  <c r="AL30" i="6" s="1"/>
  <c r="AH33" i="6"/>
  <c r="AJ33" i="6" s="1"/>
  <c r="AL33" i="6" s="1"/>
  <c r="AH32" i="6"/>
  <c r="AJ32" i="6" s="1"/>
  <c r="AL32" i="6" s="1"/>
  <c r="AJ11" i="5"/>
  <c r="AL11" i="5" s="1"/>
  <c r="AI13" i="5"/>
  <c r="AJ13" i="5" s="1"/>
  <c r="AL13" i="5" s="1"/>
  <c r="AJ7" i="5"/>
  <c r="AL7" i="5" s="1"/>
  <c r="AI9" i="5"/>
  <c r="AJ23" i="5"/>
  <c r="AL23" i="5" s="1"/>
  <c r="AI25" i="5"/>
  <c r="AJ5" i="5"/>
  <c r="AL5" i="5" s="1"/>
  <c r="AI7" i="5"/>
  <c r="AI23" i="5"/>
  <c r="AJ9" i="5"/>
  <c r="AL9" i="5" s="1"/>
  <c r="AI5" i="5"/>
  <c r="AJ19" i="5"/>
  <c r="AL19" i="5" s="1"/>
  <c r="AI21" i="5"/>
  <c r="AJ21" i="5" s="1"/>
  <c r="AL21" i="5" s="1"/>
  <c r="AJ25" i="5"/>
  <c r="AL25" i="5" s="1"/>
  <c r="AJ15" i="5"/>
  <c r="AL15" i="5" s="1"/>
  <c r="AI17" i="5"/>
  <c r="AJ17" i="5" s="1"/>
  <c r="AL17" i="5" s="1"/>
  <c r="AH33" i="5"/>
  <c r="AJ33" i="5" s="1"/>
  <c r="AL33" i="5" s="1"/>
  <c r="AH6" i="4"/>
  <c r="AJ6" i="4" s="1"/>
  <c r="AL6" i="4" s="1"/>
  <c r="AH23" i="4"/>
  <c r="AJ23" i="4" s="1"/>
  <c r="AL23" i="4" s="1"/>
  <c r="AH4" i="4"/>
  <c r="AJ4" i="4" s="1"/>
  <c r="AL4" i="4" s="1"/>
  <c r="AH21" i="4"/>
  <c r="AJ21" i="4" s="1"/>
  <c r="AL21" i="4" s="1"/>
  <c r="AI7" i="4"/>
  <c r="AJ7" i="4" s="1"/>
  <c r="AL7" i="4" s="1"/>
  <c r="AH26" i="3"/>
  <c r="AJ26" i="3" s="1"/>
  <c r="AL26" i="3" s="1"/>
  <c r="AH14" i="3"/>
  <c r="AJ14" i="3" s="1"/>
  <c r="AL14" i="3" s="1"/>
  <c r="AH4" i="3"/>
  <c r="AJ4" i="3" s="1"/>
  <c r="AH34" i="3"/>
  <c r="AJ34" i="3" s="1"/>
  <c r="AL34" i="3" s="1"/>
  <c r="AH30" i="3"/>
  <c r="AJ30" i="3" s="1"/>
  <c r="AL30" i="3" s="1"/>
  <c r="AH15" i="2"/>
  <c r="AH9" i="2"/>
  <c r="AH25" i="2"/>
  <c r="AJ25" i="2" s="1"/>
  <c r="AL25" i="2" s="1"/>
  <c r="AH7" i="2"/>
  <c r="AJ7" i="2" s="1"/>
  <c r="AL7" i="2" s="1"/>
  <c r="AH5" i="2"/>
  <c r="AH21" i="2"/>
  <c r="AJ21" i="2" s="1"/>
  <c r="AL21" i="2" s="1"/>
  <c r="AH28" i="2"/>
  <c r="AH30" i="2"/>
  <c r="AJ30" i="2" s="1"/>
  <c r="AL30" i="2" s="1"/>
  <c r="AH17" i="2"/>
  <c r="S32" i="2"/>
  <c r="C31" i="13" s="1"/>
  <c r="H2" i="2"/>
  <c r="H2" i="3" s="1"/>
  <c r="H2" i="4" s="1"/>
  <c r="H2" i="5" s="1"/>
  <c r="D58" i="13"/>
  <c r="C60" i="13"/>
  <c r="X35" i="1"/>
  <c r="X34" i="11"/>
  <c r="X34" i="9"/>
  <c r="AH30" i="1"/>
  <c r="AJ30" i="1" s="1"/>
  <c r="AL30" i="1" s="1"/>
  <c r="AH32" i="1"/>
  <c r="AJ32" i="1" s="1"/>
  <c r="AL32" i="1" s="1"/>
  <c r="AH34" i="1"/>
  <c r="AJ34" i="1" s="1"/>
  <c r="AL34" i="1" s="1"/>
  <c r="AH16" i="1"/>
  <c r="AJ16" i="1" s="1"/>
  <c r="AL16" i="1" s="1"/>
  <c r="AH18" i="1"/>
  <c r="AJ18" i="1" s="1"/>
  <c r="AL18" i="1" s="1"/>
  <c r="AH20" i="1"/>
  <c r="AJ20" i="1" s="1"/>
  <c r="AL20" i="1" s="1"/>
  <c r="AH12" i="1"/>
  <c r="AJ12" i="1" s="1"/>
  <c r="AL12" i="1" s="1"/>
  <c r="S35" i="1"/>
  <c r="C30" i="13" s="1"/>
  <c r="AJ9" i="2"/>
  <c r="AL9" i="2" s="1"/>
  <c r="AL4" i="3"/>
  <c r="AJ23" i="2"/>
  <c r="AL23" i="2" s="1"/>
  <c r="AJ5" i="2"/>
  <c r="AL5" i="2" s="1"/>
  <c r="AJ28" i="2"/>
  <c r="AL28" i="2" s="1"/>
  <c r="AJ17" i="2"/>
  <c r="AL17" i="2" s="1"/>
  <c r="A6" i="1"/>
  <c r="T5" i="1"/>
  <c r="B5" i="1"/>
  <c r="AJ15" i="2"/>
  <c r="AL15" i="2" s="1"/>
  <c r="AJ13" i="2"/>
  <c r="AL13" i="2" s="1"/>
  <c r="AH10" i="1"/>
  <c r="AJ10" i="1" s="1"/>
  <c r="AL10" i="1" s="1"/>
  <c r="AI10" i="4"/>
  <c r="AH10" i="4"/>
  <c r="AI22" i="4"/>
  <c r="AH22" i="4"/>
  <c r="AJ22" i="4" s="1"/>
  <c r="AL22" i="4" s="1"/>
  <c r="AI31" i="4"/>
  <c r="AH31" i="4"/>
  <c r="R4" i="1"/>
  <c r="AH10" i="3"/>
  <c r="AJ10" i="3" s="1"/>
  <c r="AL10" i="3" s="1"/>
  <c r="AJ13" i="4"/>
  <c r="AL13" i="4" s="1"/>
  <c r="AI28" i="4"/>
  <c r="AH28" i="4"/>
  <c r="AJ28" i="4" s="1"/>
  <c r="AL28" i="4" s="1"/>
  <c r="AH33" i="4"/>
  <c r="AJ33" i="4" s="1"/>
  <c r="AL33" i="4" s="1"/>
  <c r="AH4" i="1"/>
  <c r="AJ4" i="1" s="1"/>
  <c r="AH8" i="1"/>
  <c r="AJ8" i="1" s="1"/>
  <c r="AL8" i="1" s="1"/>
  <c r="AI26" i="4"/>
  <c r="AH26" i="4"/>
  <c r="AH6" i="1"/>
  <c r="AJ6" i="1" s="1"/>
  <c r="AL6" i="1" s="1"/>
  <c r="AH11" i="1"/>
  <c r="AJ11" i="1" s="1"/>
  <c r="AL11" i="1" s="1"/>
  <c r="AH19" i="1"/>
  <c r="AJ19" i="1" s="1"/>
  <c r="AL19" i="1" s="1"/>
  <c r="AH33" i="1"/>
  <c r="AJ33" i="1" s="1"/>
  <c r="AL33" i="1" s="1"/>
  <c r="AH31" i="2"/>
  <c r="AJ31" i="2" s="1"/>
  <c r="AL31" i="2" s="1"/>
  <c r="B50" i="13"/>
  <c r="D50" i="13" s="1"/>
  <c r="X35" i="3"/>
  <c r="AI9" i="4"/>
  <c r="AJ9" i="4" s="1"/>
  <c r="AL9" i="4" s="1"/>
  <c r="AH15" i="4"/>
  <c r="AJ15" i="4" s="1"/>
  <c r="AL15" i="4" s="1"/>
  <c r="B4" i="1"/>
  <c r="AI5" i="3"/>
  <c r="AH5" i="3"/>
  <c r="A30" i="13"/>
  <c r="A48" i="13"/>
  <c r="AH21" i="1"/>
  <c r="AJ21" i="1" s="1"/>
  <c r="AL21" i="1" s="1"/>
  <c r="AH23" i="1"/>
  <c r="AJ23" i="1" s="1"/>
  <c r="AL23" i="1" s="1"/>
  <c r="AH25" i="1"/>
  <c r="AJ25" i="1" s="1"/>
  <c r="AL25" i="1" s="1"/>
  <c r="AH27" i="1"/>
  <c r="AJ27" i="1" s="1"/>
  <c r="AL27" i="1" s="1"/>
  <c r="AH29" i="1"/>
  <c r="AJ29" i="1" s="1"/>
  <c r="AL29" i="1" s="1"/>
  <c r="AH31" i="1"/>
  <c r="AJ31" i="1" s="1"/>
  <c r="AL31" i="1" s="1"/>
  <c r="AI5" i="1"/>
  <c r="AJ5" i="1" s="1"/>
  <c r="AL5" i="1" s="1"/>
  <c r="AI7" i="1"/>
  <c r="AJ7" i="1" s="1"/>
  <c r="AL7" i="1" s="1"/>
  <c r="AI9" i="1"/>
  <c r="AJ9" i="1" s="1"/>
  <c r="AL9" i="1" s="1"/>
  <c r="AI13" i="1"/>
  <c r="AJ13" i="1" s="1"/>
  <c r="AL13" i="1" s="1"/>
  <c r="AI15" i="1"/>
  <c r="AJ15" i="1" s="1"/>
  <c r="AL15" i="1" s="1"/>
  <c r="AI17" i="1"/>
  <c r="AJ17" i="1" s="1"/>
  <c r="AL17" i="1" s="1"/>
  <c r="AH4" i="2"/>
  <c r="AJ4" i="2" s="1"/>
  <c r="AH6" i="2"/>
  <c r="AJ6" i="2" s="1"/>
  <c r="AL6" i="2" s="1"/>
  <c r="AH8" i="2"/>
  <c r="AJ8" i="2" s="1"/>
  <c r="AL8" i="2" s="1"/>
  <c r="AH10" i="2"/>
  <c r="AJ10" i="2" s="1"/>
  <c r="AL10" i="2" s="1"/>
  <c r="AH12" i="2"/>
  <c r="AJ12" i="2" s="1"/>
  <c r="AL12" i="2" s="1"/>
  <c r="AH14" i="2"/>
  <c r="AJ14" i="2" s="1"/>
  <c r="AL14" i="2" s="1"/>
  <c r="AH16" i="2"/>
  <c r="AJ16" i="2" s="1"/>
  <c r="AL16" i="2" s="1"/>
  <c r="AH18" i="2"/>
  <c r="AJ18" i="2" s="1"/>
  <c r="AL18" i="2" s="1"/>
  <c r="AH20" i="2"/>
  <c r="AJ20" i="2" s="1"/>
  <c r="AL20" i="2" s="1"/>
  <c r="AH22" i="2"/>
  <c r="AJ22" i="2" s="1"/>
  <c r="AL22" i="2" s="1"/>
  <c r="AH24" i="2"/>
  <c r="AJ24" i="2" s="1"/>
  <c r="AL24" i="2" s="1"/>
  <c r="AH26" i="2"/>
  <c r="AJ26" i="2" s="1"/>
  <c r="AL26" i="2" s="1"/>
  <c r="AH8" i="3"/>
  <c r="AJ8" i="3" s="1"/>
  <c r="AL8" i="3" s="1"/>
  <c r="AI5" i="4"/>
  <c r="AH5" i="4"/>
  <c r="AJ5" i="4" s="1"/>
  <c r="AL5" i="4" s="1"/>
  <c r="AH17" i="4"/>
  <c r="AJ17" i="4" s="1"/>
  <c r="AL17" i="4" s="1"/>
  <c r="AI9" i="3"/>
  <c r="AH9" i="3"/>
  <c r="P1" i="2"/>
  <c r="B49" i="13"/>
  <c r="D49" i="13" s="1"/>
  <c r="X32" i="2"/>
  <c r="AI7" i="3"/>
  <c r="AH7" i="3"/>
  <c r="AI27" i="4"/>
  <c r="AH27" i="4"/>
  <c r="D48" i="13"/>
  <c r="AH12" i="3"/>
  <c r="AJ12" i="3" s="1"/>
  <c r="AL12" i="3" s="1"/>
  <c r="AH16" i="3"/>
  <c r="AJ16" i="3" s="1"/>
  <c r="AL16" i="3" s="1"/>
  <c r="AH20" i="3"/>
  <c r="AJ20" i="3" s="1"/>
  <c r="AL20" i="3" s="1"/>
  <c r="AH24" i="3"/>
  <c r="AJ24" i="3" s="1"/>
  <c r="AL24" i="3" s="1"/>
  <c r="AH28" i="3"/>
  <c r="AJ28" i="3" s="1"/>
  <c r="AL28" i="3" s="1"/>
  <c r="AH32" i="3"/>
  <c r="AJ32" i="3" s="1"/>
  <c r="AL32" i="3" s="1"/>
  <c r="AH8" i="4"/>
  <c r="AJ8" i="4" s="1"/>
  <c r="AL8" i="4" s="1"/>
  <c r="AI14" i="4"/>
  <c r="AH14" i="4"/>
  <c r="AJ14" i="4" s="1"/>
  <c r="AL14" i="4" s="1"/>
  <c r="AH27" i="2"/>
  <c r="AJ27" i="2" s="1"/>
  <c r="AL27" i="2" s="1"/>
  <c r="S35" i="3"/>
  <c r="C32" i="13" s="1"/>
  <c r="AH6" i="3"/>
  <c r="AJ6" i="3" s="1"/>
  <c r="AL6" i="3" s="1"/>
  <c r="AI11" i="3"/>
  <c r="AH11" i="3"/>
  <c r="AI16" i="4"/>
  <c r="AH16" i="4"/>
  <c r="B51" i="13"/>
  <c r="D51" i="13" s="1"/>
  <c r="X34" i="4"/>
  <c r="AI16" i="7"/>
  <c r="AH16" i="7"/>
  <c r="AI30" i="5"/>
  <c r="AH30" i="5"/>
  <c r="AI20" i="4"/>
  <c r="AH20" i="4"/>
  <c r="AH13" i="3"/>
  <c r="AJ13" i="3" s="1"/>
  <c r="AL13" i="3" s="1"/>
  <c r="AH15" i="3"/>
  <c r="AJ15" i="3" s="1"/>
  <c r="AL15" i="3" s="1"/>
  <c r="AH17" i="3"/>
  <c r="AJ17" i="3" s="1"/>
  <c r="AL17" i="3" s="1"/>
  <c r="AH19" i="3"/>
  <c r="AJ19" i="3" s="1"/>
  <c r="AL19" i="3" s="1"/>
  <c r="AH21" i="3"/>
  <c r="AJ21" i="3" s="1"/>
  <c r="AL21" i="3" s="1"/>
  <c r="AH23" i="3"/>
  <c r="AJ23" i="3" s="1"/>
  <c r="AL23" i="3" s="1"/>
  <c r="AH25" i="3"/>
  <c r="AJ25" i="3" s="1"/>
  <c r="AL25" i="3" s="1"/>
  <c r="AH27" i="3"/>
  <c r="AJ27" i="3" s="1"/>
  <c r="AL27" i="3" s="1"/>
  <c r="AH29" i="3"/>
  <c r="AJ29" i="3" s="1"/>
  <c r="AL29" i="3" s="1"/>
  <c r="AH31" i="3"/>
  <c r="AJ31" i="3" s="1"/>
  <c r="AL31" i="3" s="1"/>
  <c r="AH33" i="3"/>
  <c r="AJ33" i="3" s="1"/>
  <c r="AL33" i="3" s="1"/>
  <c r="AH11" i="4"/>
  <c r="AJ11" i="4" s="1"/>
  <c r="AL11" i="4" s="1"/>
  <c r="AH25" i="4"/>
  <c r="AJ25" i="4" s="1"/>
  <c r="AL25" i="4" s="1"/>
  <c r="AI30" i="4"/>
  <c r="AH30" i="4"/>
  <c r="AJ30" i="4" s="1"/>
  <c r="AL30" i="4" s="1"/>
  <c r="B52" i="13"/>
  <c r="D52" i="13" s="1"/>
  <c r="X35" i="5"/>
  <c r="AI5" i="7"/>
  <c r="AH5" i="7"/>
  <c r="S34" i="4"/>
  <c r="C33" i="13" s="1"/>
  <c r="AH19" i="4"/>
  <c r="AJ19" i="4" s="1"/>
  <c r="AL19" i="4" s="1"/>
  <c r="AI24" i="4"/>
  <c r="AH24" i="4"/>
  <c r="AH13" i="7"/>
  <c r="AI13" i="7"/>
  <c r="AH12" i="4"/>
  <c r="AJ12" i="4" s="1"/>
  <c r="AL12" i="4" s="1"/>
  <c r="AI18" i="4"/>
  <c r="AH18" i="4"/>
  <c r="AJ18" i="4" s="1"/>
  <c r="AL18" i="4" s="1"/>
  <c r="AH29" i="4"/>
  <c r="AJ29" i="4" s="1"/>
  <c r="AL29" i="4" s="1"/>
  <c r="AL4" i="6"/>
  <c r="S35" i="5"/>
  <c r="C34" i="13" s="1"/>
  <c r="AI9" i="8"/>
  <c r="AH9" i="8"/>
  <c r="AI29" i="7"/>
  <c r="AH29" i="7"/>
  <c r="S34" i="6"/>
  <c r="C35" i="13" s="1"/>
  <c r="AH28" i="5"/>
  <c r="AJ28" i="5" s="1"/>
  <c r="AL28" i="5" s="1"/>
  <c r="AH11" i="6"/>
  <c r="AJ11" i="6" s="1"/>
  <c r="AL11" i="6" s="1"/>
  <c r="AH13" i="6"/>
  <c r="AJ13" i="6" s="1"/>
  <c r="AL13" i="6" s="1"/>
  <c r="AH15" i="6"/>
  <c r="AJ15" i="6" s="1"/>
  <c r="AL15" i="6" s="1"/>
  <c r="AH17" i="6"/>
  <c r="AJ17" i="6" s="1"/>
  <c r="AL17" i="6" s="1"/>
  <c r="AJ23" i="6"/>
  <c r="AL23" i="6" s="1"/>
  <c r="AH32" i="4"/>
  <c r="AJ32" i="4" s="1"/>
  <c r="AL32" i="4" s="1"/>
  <c r="AH32" i="5"/>
  <c r="AJ32" i="5" s="1"/>
  <c r="AL32" i="5" s="1"/>
  <c r="AH9" i="6"/>
  <c r="AJ9" i="6" s="1"/>
  <c r="AL9" i="6" s="1"/>
  <c r="AH4" i="5"/>
  <c r="AJ4" i="5" s="1"/>
  <c r="AH6" i="5"/>
  <c r="AJ6" i="5" s="1"/>
  <c r="AL6" i="5" s="1"/>
  <c r="AH8" i="5"/>
  <c r="AJ8" i="5" s="1"/>
  <c r="AL8" i="5" s="1"/>
  <c r="AH10" i="5"/>
  <c r="AJ10" i="5" s="1"/>
  <c r="AL10" i="5" s="1"/>
  <c r="AH12" i="5"/>
  <c r="AJ12" i="5" s="1"/>
  <c r="AL12" i="5" s="1"/>
  <c r="AH14" i="5"/>
  <c r="AJ14" i="5" s="1"/>
  <c r="AL14" i="5" s="1"/>
  <c r="AH16" i="5"/>
  <c r="AJ16" i="5" s="1"/>
  <c r="AL16" i="5" s="1"/>
  <c r="AH18" i="5"/>
  <c r="AJ18" i="5" s="1"/>
  <c r="AL18" i="5" s="1"/>
  <c r="AH20" i="5"/>
  <c r="AJ20" i="5" s="1"/>
  <c r="AL20" i="5" s="1"/>
  <c r="AH22" i="5"/>
  <c r="AJ22" i="5" s="1"/>
  <c r="AL22" i="5" s="1"/>
  <c r="AH24" i="5"/>
  <c r="AJ24" i="5" s="1"/>
  <c r="AL24" i="5" s="1"/>
  <c r="AH26" i="5"/>
  <c r="AJ26" i="5" s="1"/>
  <c r="AL26" i="5" s="1"/>
  <c r="AH34" i="5"/>
  <c r="AJ34" i="5" s="1"/>
  <c r="AL34" i="5" s="1"/>
  <c r="AH7" i="6"/>
  <c r="AJ7" i="6" s="1"/>
  <c r="AL7" i="6" s="1"/>
  <c r="AH29" i="5"/>
  <c r="AJ29" i="5" s="1"/>
  <c r="AL29" i="5" s="1"/>
  <c r="AH5" i="6"/>
  <c r="AJ5" i="6" s="1"/>
  <c r="AL5" i="6" s="1"/>
  <c r="AJ21" i="6"/>
  <c r="AL21" i="6" s="1"/>
  <c r="S35" i="7"/>
  <c r="C36" i="13" s="1"/>
  <c r="AI32" i="7"/>
  <c r="AH32" i="7"/>
  <c r="D53" i="13"/>
  <c r="AJ12" i="8"/>
  <c r="AL12" i="8" s="1"/>
  <c r="AH23" i="8"/>
  <c r="AI23" i="8"/>
  <c r="AI33" i="8"/>
  <c r="AH33" i="8"/>
  <c r="AJ33" i="8" s="1"/>
  <c r="AL33" i="8" s="1"/>
  <c r="S35" i="8"/>
  <c r="C37" i="13" s="1"/>
  <c r="AI5" i="8"/>
  <c r="AH5" i="8"/>
  <c r="AJ5" i="8" s="1"/>
  <c r="AL5" i="8" s="1"/>
  <c r="AH29" i="8"/>
  <c r="AI29" i="8"/>
  <c r="X34" i="6"/>
  <c r="AH17" i="7"/>
  <c r="AJ17" i="7" s="1"/>
  <c r="AL17" i="7" s="1"/>
  <c r="AH20" i="7"/>
  <c r="AJ20" i="7" s="1"/>
  <c r="AL20" i="7" s="1"/>
  <c r="AH33" i="7"/>
  <c r="AJ33" i="7" s="1"/>
  <c r="AL33" i="7" s="1"/>
  <c r="AH8" i="8"/>
  <c r="AJ8" i="8" s="1"/>
  <c r="AL8" i="8" s="1"/>
  <c r="AI11" i="8"/>
  <c r="AH11" i="8"/>
  <c r="AJ11" i="8" s="1"/>
  <c r="AL11" i="8" s="1"/>
  <c r="S34" i="11"/>
  <c r="C40" i="13" s="1"/>
  <c r="AH11" i="7"/>
  <c r="AJ11" i="7" s="1"/>
  <c r="AL11" i="7" s="1"/>
  <c r="AH14" i="7"/>
  <c r="AJ14" i="7" s="1"/>
  <c r="AL14" i="7" s="1"/>
  <c r="AH27" i="7"/>
  <c r="AJ27" i="7" s="1"/>
  <c r="AL27" i="7" s="1"/>
  <c r="AH30" i="7"/>
  <c r="AJ30" i="7" s="1"/>
  <c r="AL30" i="7" s="1"/>
  <c r="AI14" i="8"/>
  <c r="AH14" i="8"/>
  <c r="AI19" i="8"/>
  <c r="AJ19" i="8" s="1"/>
  <c r="AL19" i="8" s="1"/>
  <c r="AH25" i="8"/>
  <c r="AI25" i="8"/>
  <c r="AH8" i="7"/>
  <c r="AJ8" i="7" s="1"/>
  <c r="AL8" i="7" s="1"/>
  <c r="AH21" i="7"/>
  <c r="AJ21" i="7" s="1"/>
  <c r="AL21" i="7" s="1"/>
  <c r="AH24" i="7"/>
  <c r="AJ24" i="7" s="1"/>
  <c r="AL24" i="7" s="1"/>
  <c r="AH34" i="7"/>
  <c r="AJ34" i="7" s="1"/>
  <c r="AL34" i="7" s="1"/>
  <c r="AH4" i="8"/>
  <c r="AJ4" i="8" s="1"/>
  <c r="AI7" i="8"/>
  <c r="AH7" i="8"/>
  <c r="AH10" i="8"/>
  <c r="AJ10" i="8" s="1"/>
  <c r="AL10" i="8" s="1"/>
  <c r="AH21" i="8"/>
  <c r="AI21" i="8"/>
  <c r="AH17" i="8"/>
  <c r="AI17" i="8"/>
  <c r="AH27" i="8"/>
  <c r="AI27" i="8"/>
  <c r="AJ6" i="10"/>
  <c r="AL6" i="10" s="1"/>
  <c r="AJ9" i="10"/>
  <c r="AL9" i="10" s="1"/>
  <c r="D54" i="13"/>
  <c r="AI13" i="8"/>
  <c r="AJ13" i="8" s="1"/>
  <c r="AL13" i="8" s="1"/>
  <c r="S35" i="10"/>
  <c r="C39" i="13" s="1"/>
  <c r="AJ15" i="10"/>
  <c r="AL15" i="10" s="1"/>
  <c r="X35" i="7"/>
  <c r="AJ8" i="10"/>
  <c r="AL8" i="10" s="1"/>
  <c r="AJ11" i="10"/>
  <c r="AL11" i="10" s="1"/>
  <c r="AJ17" i="10"/>
  <c r="AL17" i="10" s="1"/>
  <c r="AI20" i="10"/>
  <c r="AH20" i="10"/>
  <c r="AJ20" i="10" s="1"/>
  <c r="AL20" i="10" s="1"/>
  <c r="AI17" i="11"/>
  <c r="AH17" i="11"/>
  <c r="AJ17" i="11" s="1"/>
  <c r="AL17" i="11" s="1"/>
  <c r="AI31" i="8"/>
  <c r="AH31" i="8"/>
  <c r="AJ31" i="8" s="1"/>
  <c r="AL31" i="8" s="1"/>
  <c r="AJ4" i="9"/>
  <c r="AL4" i="10"/>
  <c r="AJ7" i="10"/>
  <c r="AL7" i="10" s="1"/>
  <c r="AJ13" i="10"/>
  <c r="AL13" i="10" s="1"/>
  <c r="AJ27" i="10"/>
  <c r="AL27" i="10" s="1"/>
  <c r="AI31" i="11"/>
  <c r="AH31" i="11"/>
  <c r="S34" i="9"/>
  <c r="C38" i="13" s="1"/>
  <c r="AJ29" i="10"/>
  <c r="AL29" i="10" s="1"/>
  <c r="AI10" i="12"/>
  <c r="AH10" i="12"/>
  <c r="AJ10" i="12" s="1"/>
  <c r="AL10" i="12" s="1"/>
  <c r="AJ21" i="10"/>
  <c r="AL21" i="10" s="1"/>
  <c r="D55" i="13"/>
  <c r="AJ33" i="10"/>
  <c r="AL33" i="10" s="1"/>
  <c r="AI8" i="11"/>
  <c r="AH8" i="11"/>
  <c r="D56" i="13"/>
  <c r="AL4" i="11"/>
  <c r="AJ11" i="12"/>
  <c r="AL11" i="12" s="1"/>
  <c r="AJ21" i="12"/>
  <c r="AL21" i="12" s="1"/>
  <c r="AJ29" i="12"/>
  <c r="AL29" i="12" s="1"/>
  <c r="X35" i="8"/>
  <c r="AJ23" i="10"/>
  <c r="AL23" i="10" s="1"/>
  <c r="AJ7" i="11"/>
  <c r="AL7" i="11" s="1"/>
  <c r="AI10" i="11"/>
  <c r="AH10" i="11"/>
  <c r="AJ10" i="11" s="1"/>
  <c r="AL10" i="11" s="1"/>
  <c r="AH9" i="12"/>
  <c r="AI9" i="12"/>
  <c r="AI8" i="12"/>
  <c r="AH8" i="12"/>
  <c r="AJ8" i="12" s="1"/>
  <c r="AL8" i="12" s="1"/>
  <c r="AI20" i="12"/>
  <c r="AH20" i="12"/>
  <c r="AI28" i="12"/>
  <c r="AH28" i="12"/>
  <c r="AJ28" i="12" s="1"/>
  <c r="AL28" i="12" s="1"/>
  <c r="B57" i="13"/>
  <c r="D57" i="13" s="1"/>
  <c r="AI6" i="12"/>
  <c r="AH6" i="12"/>
  <c r="AH15" i="11"/>
  <c r="AJ15" i="11" s="1"/>
  <c r="AL15" i="11" s="1"/>
  <c r="AH23" i="11"/>
  <c r="AJ23" i="11" s="1"/>
  <c r="AL23" i="11" s="1"/>
  <c r="AH27" i="11"/>
  <c r="AJ27" i="11" s="1"/>
  <c r="AL27" i="11" s="1"/>
  <c r="AI4" i="12"/>
  <c r="AH4" i="12"/>
  <c r="AI18" i="12"/>
  <c r="AH18" i="12"/>
  <c r="AI26" i="12"/>
  <c r="AH26" i="12"/>
  <c r="AJ26" i="12" s="1"/>
  <c r="AL26" i="12" s="1"/>
  <c r="AI34" i="12"/>
  <c r="AH34" i="12"/>
  <c r="AJ34" i="12" s="1"/>
  <c r="AL34" i="12" s="1"/>
  <c r="AH18" i="11"/>
  <c r="AJ18" i="11" s="1"/>
  <c r="AL18" i="11" s="1"/>
  <c r="AH33" i="11"/>
  <c r="AJ33" i="11" s="1"/>
  <c r="AL33" i="11" s="1"/>
  <c r="AI16" i="12"/>
  <c r="AH16" i="12"/>
  <c r="AI24" i="12"/>
  <c r="AH24" i="12"/>
  <c r="AJ24" i="12" s="1"/>
  <c r="AL24" i="12" s="1"/>
  <c r="AI32" i="12"/>
  <c r="AH32" i="12"/>
  <c r="AJ32" i="12" s="1"/>
  <c r="AL32" i="12" s="1"/>
  <c r="B59" i="13"/>
  <c r="D59" i="13" s="1"/>
  <c r="AJ16" i="11"/>
  <c r="AL16" i="11" s="1"/>
  <c r="AI14" i="12"/>
  <c r="AH14" i="12"/>
  <c r="S35" i="12"/>
  <c r="C41" i="13" s="1"/>
  <c r="AI12" i="12"/>
  <c r="AH12" i="12"/>
  <c r="AI13" i="12"/>
  <c r="AJ13" i="12" s="1"/>
  <c r="AL13" i="12" s="1"/>
  <c r="AI22" i="12"/>
  <c r="AH22" i="12"/>
  <c r="AI30" i="12"/>
  <c r="AH30" i="12"/>
  <c r="AJ30" i="12" s="1"/>
  <c r="AL30" i="12" s="1"/>
  <c r="AJ14" i="8" l="1"/>
  <c r="AL14" i="8" s="1"/>
  <c r="AJ9" i="8"/>
  <c r="AL9" i="8" s="1"/>
  <c r="AJ7" i="8"/>
  <c r="AL7" i="8" s="1"/>
  <c r="AJ29" i="7"/>
  <c r="AL29" i="7" s="1"/>
  <c r="AJ32" i="7"/>
  <c r="AL32" i="7" s="1"/>
  <c r="AJ16" i="7"/>
  <c r="AL16" i="7" s="1"/>
  <c r="AJ5" i="7"/>
  <c r="AL5" i="7" s="1"/>
  <c r="J2" i="2"/>
  <c r="J2" i="3"/>
  <c r="AJ14" i="12"/>
  <c r="AL14" i="12" s="1"/>
  <c r="AJ8" i="11"/>
  <c r="AL8" i="11" s="1"/>
  <c r="AJ17" i="8"/>
  <c r="AL17" i="8" s="1"/>
  <c r="AJ20" i="4"/>
  <c r="AL20" i="4" s="1"/>
  <c r="AJ10" i="4"/>
  <c r="AL10" i="4" s="1"/>
  <c r="AJ9" i="3"/>
  <c r="AL9" i="3" s="1"/>
  <c r="C42" i="13"/>
  <c r="AL4" i="5"/>
  <c r="AJ29" i="8"/>
  <c r="AL29" i="8" s="1"/>
  <c r="AL4" i="1"/>
  <c r="AJ35" i="1"/>
  <c r="AL35" i="1" s="1"/>
  <c r="AL4" i="8"/>
  <c r="AJ21" i="8"/>
  <c r="AL21" i="8" s="1"/>
  <c r="AJ12" i="12"/>
  <c r="AL12" i="12" s="1"/>
  <c r="AJ4" i="12"/>
  <c r="AJ6" i="12"/>
  <c r="AL6" i="12" s="1"/>
  <c r="AJ20" i="12"/>
  <c r="AL20" i="12" s="1"/>
  <c r="AL4" i="9"/>
  <c r="AJ34" i="9"/>
  <c r="AL34" i="9" s="1"/>
  <c r="AJ34" i="6"/>
  <c r="AL34" i="6" s="1"/>
  <c r="AJ24" i="4"/>
  <c r="AL24" i="4" s="1"/>
  <c r="AJ7" i="3"/>
  <c r="AL7" i="3" s="1"/>
  <c r="AJ5" i="3"/>
  <c r="B60" i="13"/>
  <c r="D60" i="13" s="1"/>
  <c r="AJ32" i="2"/>
  <c r="AL32" i="2" s="1"/>
  <c r="AL4" i="2"/>
  <c r="AJ26" i="4"/>
  <c r="AL26" i="4" s="1"/>
  <c r="AJ31" i="4"/>
  <c r="AL31" i="4" s="1"/>
  <c r="AJ9" i="12"/>
  <c r="AL9" i="12" s="1"/>
  <c r="AJ35" i="10"/>
  <c r="AL35" i="10" s="1"/>
  <c r="AJ23" i="8"/>
  <c r="AL23" i="8" s="1"/>
  <c r="AJ27" i="8"/>
  <c r="AL27" i="8" s="1"/>
  <c r="AJ25" i="8"/>
  <c r="AL25" i="8" s="1"/>
  <c r="AJ13" i="7"/>
  <c r="AL13" i="7" s="1"/>
  <c r="A7" i="1"/>
  <c r="R6" i="1"/>
  <c r="T6" i="1" s="1"/>
  <c r="B6" i="1"/>
  <c r="H2" i="6"/>
  <c r="J2" i="5"/>
  <c r="AJ22" i="12"/>
  <c r="AL22" i="12" s="1"/>
  <c r="AJ16" i="12"/>
  <c r="AL16" i="12" s="1"/>
  <c r="AJ18" i="12"/>
  <c r="AL18" i="12" s="1"/>
  <c r="AJ31" i="11"/>
  <c r="AL31" i="11" s="1"/>
  <c r="AJ30" i="5"/>
  <c r="AL30" i="5" s="1"/>
  <c r="AJ16" i="4"/>
  <c r="AL16" i="4" s="1"/>
  <c r="AJ11" i="3"/>
  <c r="AL11" i="3" s="1"/>
  <c r="AJ27" i="4"/>
  <c r="AL27" i="4" s="1"/>
  <c r="A31" i="13"/>
  <c r="A49" i="13"/>
  <c r="P1" i="3"/>
  <c r="A4" i="2"/>
  <c r="T4" i="1"/>
  <c r="J2" i="4"/>
  <c r="AJ35" i="8" l="1"/>
  <c r="AL35" i="8" s="1"/>
  <c r="R4" i="2"/>
  <c r="B4" i="2"/>
  <c r="A5" i="2"/>
  <c r="AJ34" i="11"/>
  <c r="AL34" i="11" s="1"/>
  <c r="U4" i="1"/>
  <c r="U5" i="1" s="1"/>
  <c r="U6" i="1" s="1"/>
  <c r="H2" i="7"/>
  <c r="J2" i="6"/>
  <c r="AL5" i="3"/>
  <c r="AJ35" i="3"/>
  <c r="AL35" i="3" s="1"/>
  <c r="AL4" i="12"/>
  <c r="AJ35" i="12"/>
  <c r="AL35" i="12" s="1"/>
  <c r="AJ34" i="4"/>
  <c r="AL34" i="4" s="1"/>
  <c r="AJ35" i="7"/>
  <c r="AL35" i="7" s="1"/>
  <c r="A32" i="13"/>
  <c r="A50" i="13"/>
  <c r="P1" i="4"/>
  <c r="A4" i="3"/>
  <c r="R7" i="1"/>
  <c r="T7" i="1" s="1"/>
  <c r="B7" i="1"/>
  <c r="A8" i="1"/>
  <c r="AJ35" i="5"/>
  <c r="AL35" i="5" s="1"/>
  <c r="U7" i="1" l="1"/>
  <c r="A33" i="13"/>
  <c r="A51" i="13"/>
  <c r="P1" i="5"/>
  <c r="A4" i="4"/>
  <c r="B8" i="1"/>
  <c r="A9" i="1"/>
  <c r="T8" i="1"/>
  <c r="A5" i="3"/>
  <c r="B4" i="3"/>
  <c r="R4" i="3"/>
  <c r="A6" i="2"/>
  <c r="T5" i="2"/>
  <c r="B5" i="2"/>
  <c r="T4" i="2"/>
  <c r="H2" i="8"/>
  <c r="J2" i="7"/>
  <c r="B6" i="2" l="1"/>
  <c r="A7" i="2"/>
  <c r="B4" i="4"/>
  <c r="A5" i="4"/>
  <c r="T4" i="3"/>
  <c r="A34" i="13"/>
  <c r="A52" i="13"/>
  <c r="A4" i="5"/>
  <c r="P1" i="6"/>
  <c r="T9" i="1"/>
  <c r="B9" i="1"/>
  <c r="A10" i="1"/>
  <c r="H2" i="9"/>
  <c r="J2" i="8"/>
  <c r="T5" i="3"/>
  <c r="A6" i="3"/>
  <c r="U8" i="1"/>
  <c r="H2" i="10" l="1"/>
  <c r="J2" i="9"/>
  <c r="U9" i="1"/>
  <c r="T5" i="4"/>
  <c r="B5" i="4"/>
  <c r="A6" i="4"/>
  <c r="A11" i="1"/>
  <c r="B10" i="1"/>
  <c r="T10" i="1"/>
  <c r="T4" i="4"/>
  <c r="A7" i="3"/>
  <c r="T6" i="3"/>
  <c r="A35" i="13"/>
  <c r="A53" i="13"/>
  <c r="A4" i="6"/>
  <c r="P1" i="7"/>
  <c r="B4" i="5"/>
  <c r="A5" i="5"/>
  <c r="A8" i="2"/>
  <c r="T7" i="2"/>
  <c r="B7" i="2"/>
  <c r="T6" i="2"/>
  <c r="R6" i="4" l="1"/>
  <c r="T6" i="4" s="1"/>
  <c r="B6" i="4"/>
  <c r="A7" i="4"/>
  <c r="T8" i="2"/>
  <c r="B8" i="2"/>
  <c r="A9" i="2"/>
  <c r="A6" i="5"/>
  <c r="R5" i="5"/>
  <c r="T5" i="5" s="1"/>
  <c r="B5" i="5"/>
  <c r="T7" i="3"/>
  <c r="A8" i="3"/>
  <c r="A36" i="13"/>
  <c r="A54" i="13"/>
  <c r="P1" i="8"/>
  <c r="A4" i="7"/>
  <c r="U10" i="1"/>
  <c r="T4" i="5"/>
  <c r="A5" i="6"/>
  <c r="B4" i="6"/>
  <c r="T11" i="1"/>
  <c r="B11" i="1"/>
  <c r="A12" i="1"/>
  <c r="H2" i="11"/>
  <c r="J2" i="10"/>
  <c r="H2" i="12" l="1"/>
  <c r="J2" i="11"/>
  <c r="A13" i="1"/>
  <c r="T12" i="1"/>
  <c r="B12" i="1"/>
  <c r="A10" i="2"/>
  <c r="T9" i="2"/>
  <c r="B9" i="2"/>
  <c r="U11" i="1"/>
  <c r="A9" i="3"/>
  <c r="T8" i="3"/>
  <c r="A5" i="7"/>
  <c r="R4" i="7"/>
  <c r="B4" i="7"/>
  <c r="R7" i="4"/>
  <c r="B7" i="4"/>
  <c r="A8" i="4"/>
  <c r="T4" i="6"/>
  <c r="A37" i="13"/>
  <c r="A55" i="13"/>
  <c r="P1" i="9"/>
  <c r="A4" i="8"/>
  <c r="A6" i="6"/>
  <c r="T5" i="6"/>
  <c r="B5" i="6"/>
  <c r="B6" i="5"/>
  <c r="A7" i="5"/>
  <c r="R6" i="5"/>
  <c r="T6" i="5" s="1"/>
  <c r="U12" i="1" l="1"/>
  <c r="A7" i="6"/>
  <c r="B6" i="6"/>
  <c r="A5" i="8"/>
  <c r="R4" i="8"/>
  <c r="B4" i="8"/>
  <c r="T7" i="4"/>
  <c r="A38" i="13"/>
  <c r="A56" i="13"/>
  <c r="P1" i="10"/>
  <c r="A4" i="9"/>
  <c r="T4" i="7"/>
  <c r="R10" i="2"/>
  <c r="T10" i="2" s="1"/>
  <c r="B10" i="2"/>
  <c r="A11" i="2"/>
  <c r="A8" i="5"/>
  <c r="T7" i="5"/>
  <c r="B7" i="5"/>
  <c r="A6" i="7"/>
  <c r="R5" i="7"/>
  <c r="T5" i="7" s="1"/>
  <c r="B5" i="7"/>
  <c r="B19" i="13"/>
  <c r="B20" i="13" s="1"/>
  <c r="J2" i="12"/>
  <c r="R8" i="4"/>
  <c r="T8" i="4" s="1"/>
  <c r="B8" i="4"/>
  <c r="A9" i="4"/>
  <c r="T9" i="3"/>
  <c r="A10" i="3"/>
  <c r="R13" i="1"/>
  <c r="T13" i="1" s="1"/>
  <c r="B13" i="1"/>
  <c r="A14" i="1"/>
  <c r="U13" i="1" l="1"/>
  <c r="A5" i="9"/>
  <c r="R4" i="9"/>
  <c r="B4" i="9"/>
  <c r="R5" i="8"/>
  <c r="T5" i="8" s="1"/>
  <c r="B5" i="8"/>
  <c r="A6" i="8"/>
  <c r="P1" i="11"/>
  <c r="A39" i="13"/>
  <c r="A57" i="13"/>
  <c r="A4" i="10"/>
  <c r="T6" i="6"/>
  <c r="B8" i="5"/>
  <c r="A9" i="5"/>
  <c r="A11" i="3"/>
  <c r="R10" i="3"/>
  <c r="T10" i="3" s="1"/>
  <c r="A12" i="2"/>
  <c r="R11" i="2"/>
  <c r="T11" i="2" s="1"/>
  <c r="B11" i="2"/>
  <c r="A8" i="6"/>
  <c r="R7" i="6"/>
  <c r="T7" i="6" s="1"/>
  <c r="B7" i="6"/>
  <c r="A10" i="4"/>
  <c r="T9" i="4"/>
  <c r="B9" i="4"/>
  <c r="A15" i="1"/>
  <c r="B14" i="1"/>
  <c r="R14" i="1"/>
  <c r="T14" i="1" s="1"/>
  <c r="A7" i="7"/>
  <c r="R6" i="7"/>
  <c r="T6" i="7" s="1"/>
  <c r="B6" i="7"/>
  <c r="T4" i="8"/>
  <c r="U14" i="1" l="1"/>
  <c r="B10" i="4"/>
  <c r="A11" i="4"/>
  <c r="T12" i="2"/>
  <c r="B12" i="2"/>
  <c r="A13" i="2"/>
  <c r="B8" i="6"/>
  <c r="T8" i="6"/>
  <c r="A9" i="6"/>
  <c r="A7" i="8"/>
  <c r="R6" i="8"/>
  <c r="B6" i="8"/>
  <c r="A5" i="10"/>
  <c r="R4" i="10"/>
  <c r="B4" i="10"/>
  <c r="T4" i="9"/>
  <c r="T15" i="1"/>
  <c r="B15" i="1"/>
  <c r="A16" i="1"/>
  <c r="A10" i="5"/>
  <c r="T9" i="5"/>
  <c r="B9" i="5"/>
  <c r="A8" i="7"/>
  <c r="R7" i="7"/>
  <c r="T7" i="7" s="1"/>
  <c r="B7" i="7"/>
  <c r="A6" i="9"/>
  <c r="R5" i="9"/>
  <c r="T5" i="9" s="1"/>
  <c r="B5" i="9"/>
  <c r="R11" i="3"/>
  <c r="T11" i="3" s="1"/>
  <c r="B11" i="3"/>
  <c r="A12" i="3"/>
  <c r="T8" i="5"/>
  <c r="P1" i="12"/>
  <c r="A58" i="13"/>
  <c r="A40" i="13"/>
  <c r="A4" i="11"/>
  <c r="U15" i="1" l="1"/>
  <c r="R7" i="8"/>
  <c r="T7" i="8" s="1"/>
  <c r="B7" i="8"/>
  <c r="A8" i="8"/>
  <c r="B11" i="4"/>
  <c r="A12" i="4"/>
  <c r="T11" i="4"/>
  <c r="T6" i="8"/>
  <c r="A13" i="3"/>
  <c r="B12" i="3"/>
  <c r="T12" i="3"/>
  <c r="B8" i="7"/>
  <c r="R8" i="7"/>
  <c r="A9" i="7"/>
  <c r="A10" i="6"/>
  <c r="R9" i="6"/>
  <c r="T9" i="6" s="1"/>
  <c r="B9" i="6"/>
  <c r="T10" i="4"/>
  <c r="A5" i="11"/>
  <c r="R4" i="11"/>
  <c r="B4" i="11"/>
  <c r="T4" i="10"/>
  <c r="B10" i="5"/>
  <c r="A11" i="5"/>
  <c r="A6" i="10"/>
  <c r="R5" i="10"/>
  <c r="T5" i="10" s="1"/>
  <c r="B5" i="10"/>
  <c r="A14" i="2"/>
  <c r="T13" i="2"/>
  <c r="B13" i="2"/>
  <c r="A4" i="12"/>
  <c r="A59" i="13"/>
  <c r="A41" i="13"/>
  <c r="A7" i="9"/>
  <c r="R6" i="9"/>
  <c r="B6" i="9"/>
  <c r="B16" i="1"/>
  <c r="A17" i="1"/>
  <c r="T16" i="1"/>
  <c r="U16" i="1" l="1"/>
  <c r="T8" i="7"/>
  <c r="A5" i="12"/>
  <c r="B4" i="12"/>
  <c r="R4" i="12"/>
  <c r="A9" i="8"/>
  <c r="R8" i="8"/>
  <c r="T8" i="8" s="1"/>
  <c r="B8" i="8"/>
  <c r="T17" i="1"/>
  <c r="B17" i="1"/>
  <c r="A18" i="1"/>
  <c r="T10" i="5"/>
  <c r="R5" i="11"/>
  <c r="T5" i="11" s="1"/>
  <c r="B5" i="11"/>
  <c r="A6" i="11"/>
  <c r="T12" i="4"/>
  <c r="B12" i="4"/>
  <c r="A13" i="4"/>
  <c r="A12" i="5"/>
  <c r="T11" i="5"/>
  <c r="B11" i="5"/>
  <c r="A11" i="6"/>
  <c r="R10" i="6"/>
  <c r="T10" i="6" s="1"/>
  <c r="B10" i="6"/>
  <c r="T14" i="2"/>
  <c r="B14" i="2"/>
  <c r="A15" i="2"/>
  <c r="T13" i="3"/>
  <c r="B13" i="3"/>
  <c r="A14" i="3"/>
  <c r="A8" i="9"/>
  <c r="B7" i="9"/>
  <c r="R7" i="9"/>
  <c r="T7" i="9" s="1"/>
  <c r="T6" i="9"/>
  <c r="A7" i="10"/>
  <c r="R6" i="10"/>
  <c r="B6" i="10"/>
  <c r="T4" i="11"/>
  <c r="A10" i="7"/>
  <c r="B9" i="7"/>
  <c r="R9" i="7"/>
  <c r="T9" i="7" s="1"/>
  <c r="U17" i="1" l="1"/>
  <c r="A16" i="2"/>
  <c r="T15" i="2"/>
  <c r="B15" i="2"/>
  <c r="R9" i="8"/>
  <c r="T9" i="8" s="1"/>
  <c r="B9" i="8"/>
  <c r="A10" i="8"/>
  <c r="T4" i="12"/>
  <c r="B12" i="5"/>
  <c r="A13" i="5"/>
  <c r="R12" i="5"/>
  <c r="T12" i="5" s="1"/>
  <c r="B10" i="7"/>
  <c r="A11" i="7"/>
  <c r="R10" i="7"/>
  <c r="T10" i="7" s="1"/>
  <c r="A14" i="4"/>
  <c r="B13" i="4"/>
  <c r="T13" i="4"/>
  <c r="A19" i="1"/>
  <c r="B18" i="1"/>
  <c r="T18" i="1"/>
  <c r="A6" i="12"/>
  <c r="R5" i="12"/>
  <c r="T5" i="12" s="1"/>
  <c r="B5" i="12"/>
  <c r="T6" i="10"/>
  <c r="A9" i="9"/>
  <c r="R8" i="9"/>
  <c r="B8" i="9"/>
  <c r="A8" i="10"/>
  <c r="R7" i="10"/>
  <c r="T7" i="10" s="1"/>
  <c r="B7" i="10"/>
  <c r="A15" i="3"/>
  <c r="B14" i="3"/>
  <c r="T14" i="3"/>
  <c r="A12" i="6"/>
  <c r="T11" i="6"/>
  <c r="B11" i="6"/>
  <c r="A7" i="11"/>
  <c r="R6" i="11"/>
  <c r="B6" i="11"/>
  <c r="U18" i="1" l="1"/>
  <c r="R11" i="7"/>
  <c r="T11" i="7" s="1"/>
  <c r="B11" i="7"/>
  <c r="A12" i="7"/>
  <c r="A11" i="8"/>
  <c r="R10" i="8"/>
  <c r="B10" i="8"/>
  <c r="A10" i="9"/>
  <c r="R9" i="9"/>
  <c r="T9" i="9" s="1"/>
  <c r="B9" i="9"/>
  <c r="T8" i="9"/>
  <c r="A20" i="1"/>
  <c r="T19" i="1"/>
  <c r="U19" i="1" s="1"/>
  <c r="B19" i="1"/>
  <c r="T15" i="3"/>
  <c r="B15" i="3"/>
  <c r="A16" i="3"/>
  <c r="T6" i="11"/>
  <c r="A14" i="5"/>
  <c r="R13" i="5"/>
  <c r="T13" i="5" s="1"/>
  <c r="B13" i="5"/>
  <c r="A13" i="6"/>
  <c r="T12" i="6"/>
  <c r="B12" i="6"/>
  <c r="A8" i="11"/>
  <c r="R7" i="11"/>
  <c r="T7" i="11" s="1"/>
  <c r="B7" i="11"/>
  <c r="R14" i="4"/>
  <c r="T14" i="4" s="1"/>
  <c r="B14" i="4"/>
  <c r="A15" i="4"/>
  <c r="A9" i="10"/>
  <c r="R8" i="10"/>
  <c r="T8" i="10" s="1"/>
  <c r="B8" i="10"/>
  <c r="T16" i="2"/>
  <c r="B16" i="2"/>
  <c r="A17" i="2"/>
  <c r="A7" i="12"/>
  <c r="B6" i="12"/>
  <c r="R6" i="12"/>
  <c r="T6" i="12" s="1"/>
  <c r="A8" i="12" l="1"/>
  <c r="R7" i="12"/>
  <c r="T7" i="12" s="1"/>
  <c r="B7" i="12"/>
  <c r="B14" i="5"/>
  <c r="A15" i="5"/>
  <c r="T14" i="5"/>
  <c r="A21" i="1"/>
  <c r="B20" i="1"/>
  <c r="R20" i="1"/>
  <c r="T20" i="1" s="1"/>
  <c r="U20" i="1" s="1"/>
  <c r="T10" i="8"/>
  <c r="R11" i="8"/>
  <c r="T11" i="8" s="1"/>
  <c r="B11" i="8"/>
  <c r="A12" i="8"/>
  <c r="A9" i="11"/>
  <c r="R8" i="11"/>
  <c r="T8" i="11" s="1"/>
  <c r="B8" i="11"/>
  <c r="A17" i="3"/>
  <c r="B16" i="3"/>
  <c r="T16" i="3"/>
  <c r="A10" i="10"/>
  <c r="R9" i="10"/>
  <c r="T9" i="10" s="1"/>
  <c r="B9" i="10"/>
  <c r="A16" i="4"/>
  <c r="R15" i="4"/>
  <c r="T15" i="4" s="1"/>
  <c r="B15" i="4"/>
  <c r="A14" i="6"/>
  <c r="T13" i="6"/>
  <c r="B13" i="6"/>
  <c r="B12" i="7"/>
  <c r="R12" i="7"/>
  <c r="T12" i="7" s="1"/>
  <c r="A13" i="7"/>
  <c r="A18" i="2"/>
  <c r="R17" i="2"/>
  <c r="T17" i="2" s="1"/>
  <c r="B17" i="2"/>
  <c r="A11" i="9"/>
  <c r="R10" i="9"/>
  <c r="B10" i="9"/>
  <c r="A15" i="6" l="1"/>
  <c r="T14" i="6"/>
  <c r="B14" i="6"/>
  <c r="R18" i="2"/>
  <c r="T18" i="2" s="1"/>
  <c r="B18" i="2"/>
  <c r="A19" i="2"/>
  <c r="R21" i="1"/>
  <c r="T21" i="1" s="1"/>
  <c r="U21" i="1" s="1"/>
  <c r="B21" i="1"/>
  <c r="A22" i="1"/>
  <c r="A14" i="7"/>
  <c r="R13" i="7"/>
  <c r="T13" i="7" s="1"/>
  <c r="B13" i="7"/>
  <c r="R17" i="3"/>
  <c r="T17" i="3" s="1"/>
  <c r="B17" i="3"/>
  <c r="A18" i="3"/>
  <c r="A16" i="5"/>
  <c r="T15" i="5"/>
  <c r="B15" i="5"/>
  <c r="T16" i="4"/>
  <c r="B16" i="4"/>
  <c r="A17" i="4"/>
  <c r="T10" i="9"/>
  <c r="A10" i="11"/>
  <c r="R9" i="11"/>
  <c r="T9" i="11" s="1"/>
  <c r="B9" i="11"/>
  <c r="B11" i="9"/>
  <c r="A12" i="9"/>
  <c r="R11" i="9"/>
  <c r="T11" i="9" s="1"/>
  <c r="A11" i="10"/>
  <c r="R10" i="10"/>
  <c r="B10" i="10"/>
  <c r="A13" i="8"/>
  <c r="R12" i="8"/>
  <c r="T12" i="8" s="1"/>
  <c r="B12" i="8"/>
  <c r="A9" i="12"/>
  <c r="B8" i="12"/>
  <c r="R8" i="12"/>
  <c r="A14" i="8" l="1"/>
  <c r="R13" i="8"/>
  <c r="T13" i="8" s="1"/>
  <c r="B13" i="8"/>
  <c r="B14" i="7"/>
  <c r="A15" i="7"/>
  <c r="R14" i="7"/>
  <c r="T14" i="7" s="1"/>
  <c r="A23" i="1"/>
  <c r="B22" i="1"/>
  <c r="T22" i="1"/>
  <c r="U22" i="1" s="1"/>
  <c r="A16" i="6"/>
  <c r="T15" i="6"/>
  <c r="B15" i="6"/>
  <c r="A18" i="4"/>
  <c r="T17" i="4"/>
  <c r="B17" i="4"/>
  <c r="T10" i="10"/>
  <c r="A11" i="11"/>
  <c r="R10" i="11"/>
  <c r="B10" i="11"/>
  <c r="B16" i="5"/>
  <c r="A17" i="5"/>
  <c r="T16" i="5"/>
  <c r="A20" i="2"/>
  <c r="T19" i="2"/>
  <c r="B19" i="2"/>
  <c r="T8" i="12"/>
  <c r="A12" i="10"/>
  <c r="R11" i="10"/>
  <c r="T11" i="10" s="1"/>
  <c r="B11" i="10"/>
  <c r="A10" i="12"/>
  <c r="R9" i="12"/>
  <c r="T9" i="12" s="1"/>
  <c r="B9" i="12"/>
  <c r="A13" i="9"/>
  <c r="R12" i="9"/>
  <c r="T12" i="9" s="1"/>
  <c r="B12" i="9"/>
  <c r="A19" i="3"/>
  <c r="B18" i="3"/>
  <c r="R18" i="3"/>
  <c r="T18" i="3" s="1"/>
  <c r="A24" i="1" l="1"/>
  <c r="T23" i="1"/>
  <c r="U23" i="1" s="1"/>
  <c r="B23" i="1"/>
  <c r="A18" i="5"/>
  <c r="R17" i="5"/>
  <c r="T17" i="5" s="1"/>
  <c r="B17" i="5"/>
  <c r="T18" i="4"/>
  <c r="B18" i="4"/>
  <c r="A19" i="4"/>
  <c r="R15" i="7"/>
  <c r="T15" i="7" s="1"/>
  <c r="B15" i="7"/>
  <c r="A16" i="7"/>
  <c r="T10" i="11"/>
  <c r="A13" i="10"/>
  <c r="R12" i="10"/>
  <c r="T12" i="10" s="1"/>
  <c r="B12" i="10"/>
  <c r="B13" i="9"/>
  <c r="A14" i="9"/>
  <c r="R13" i="9"/>
  <c r="T13" i="9" s="1"/>
  <c r="A17" i="6"/>
  <c r="R16" i="6"/>
  <c r="T16" i="6" s="1"/>
  <c r="B16" i="6"/>
  <c r="T19" i="3"/>
  <c r="B19" i="3"/>
  <c r="A20" i="3"/>
  <c r="A12" i="11"/>
  <c r="R11" i="11"/>
  <c r="T11" i="11" s="1"/>
  <c r="B11" i="11"/>
  <c r="A11" i="12"/>
  <c r="B10" i="12"/>
  <c r="R10" i="12"/>
  <c r="T20" i="2"/>
  <c r="B20" i="2"/>
  <c r="A21" i="2"/>
  <c r="A15" i="8"/>
  <c r="B14" i="8"/>
  <c r="R14" i="8"/>
  <c r="T14" i="8" s="1"/>
  <c r="A18" i="6" l="1"/>
  <c r="R17" i="6"/>
  <c r="T17" i="6" s="1"/>
  <c r="B17" i="6"/>
  <c r="A16" i="8"/>
  <c r="R15" i="8"/>
  <c r="T15" i="8" s="1"/>
  <c r="B15" i="8"/>
  <c r="B16" i="7"/>
  <c r="A17" i="7"/>
  <c r="R16" i="7"/>
  <c r="T16" i="7" s="1"/>
  <c r="B18" i="5"/>
  <c r="A19" i="5"/>
  <c r="T18" i="5"/>
  <c r="A22" i="2"/>
  <c r="T21" i="2"/>
  <c r="B21" i="2"/>
  <c r="R12" i="11"/>
  <c r="T12" i="11" s="1"/>
  <c r="A13" i="11"/>
  <c r="B12" i="11"/>
  <c r="A15" i="9"/>
  <c r="R14" i="9"/>
  <c r="T14" i="9" s="1"/>
  <c r="B14" i="9"/>
  <c r="A14" i="10"/>
  <c r="R13" i="10"/>
  <c r="T13" i="10" s="1"/>
  <c r="B13" i="10"/>
  <c r="A12" i="12"/>
  <c r="R11" i="12"/>
  <c r="T11" i="12" s="1"/>
  <c r="B11" i="12"/>
  <c r="A20" i="4"/>
  <c r="B19" i="4"/>
  <c r="T19" i="4"/>
  <c r="A25" i="1"/>
  <c r="B24" i="1"/>
  <c r="T24" i="1"/>
  <c r="U24" i="1" s="1"/>
  <c r="A21" i="3"/>
  <c r="B20" i="3"/>
  <c r="T20" i="3"/>
  <c r="T10" i="12"/>
  <c r="T22" i="2" l="1"/>
  <c r="B22" i="2"/>
  <c r="A23" i="2"/>
  <c r="A17" i="8"/>
  <c r="R16" i="8"/>
  <c r="T16" i="8" s="1"/>
  <c r="B16" i="8"/>
  <c r="B15" i="9"/>
  <c r="A16" i="9"/>
  <c r="R15" i="9"/>
  <c r="T15" i="9" s="1"/>
  <c r="A20" i="5"/>
  <c r="R19" i="5"/>
  <c r="T19" i="5" s="1"/>
  <c r="B19" i="5"/>
  <c r="A15" i="10"/>
  <c r="R14" i="10"/>
  <c r="T14" i="10" s="1"/>
  <c r="B14" i="10"/>
  <c r="T20" i="4"/>
  <c r="B20" i="4"/>
  <c r="A21" i="4"/>
  <c r="T21" i="3"/>
  <c r="B21" i="3"/>
  <c r="A22" i="3"/>
  <c r="A13" i="12"/>
  <c r="B12" i="12"/>
  <c r="R12" i="12"/>
  <c r="T12" i="12" s="1"/>
  <c r="R13" i="11"/>
  <c r="T13" i="11" s="1"/>
  <c r="B13" i="11"/>
  <c r="A14" i="11"/>
  <c r="A19" i="6"/>
  <c r="R18" i="6"/>
  <c r="T18" i="6" s="1"/>
  <c r="B18" i="6"/>
  <c r="T25" i="1"/>
  <c r="U25" i="1" s="1"/>
  <c r="B25" i="1"/>
  <c r="A26" i="1"/>
  <c r="A18" i="7"/>
  <c r="R17" i="7"/>
  <c r="T17" i="7" s="1"/>
  <c r="B17" i="7"/>
  <c r="A14" i="12" l="1"/>
  <c r="R13" i="12"/>
  <c r="T13" i="12" s="1"/>
  <c r="B13" i="12"/>
  <c r="A23" i="3"/>
  <c r="B22" i="3"/>
  <c r="R22" i="3"/>
  <c r="T22" i="3" s="1"/>
  <c r="A16" i="10"/>
  <c r="R15" i="10"/>
  <c r="T15" i="10" s="1"/>
  <c r="B15" i="10"/>
  <c r="A18" i="8"/>
  <c r="R17" i="8"/>
  <c r="T17" i="8" s="1"/>
  <c r="B17" i="8"/>
  <c r="A20" i="6"/>
  <c r="R19" i="6"/>
  <c r="T19" i="6" s="1"/>
  <c r="B19" i="6"/>
  <c r="A24" i="2"/>
  <c r="T23" i="2"/>
  <c r="B23" i="2"/>
  <c r="R14" i="11"/>
  <c r="T14" i="11" s="1"/>
  <c r="A15" i="11"/>
  <c r="B14" i="11"/>
  <c r="B18" i="7"/>
  <c r="A19" i="7"/>
  <c r="R18" i="7"/>
  <c r="T18" i="7" s="1"/>
  <c r="A22" i="4"/>
  <c r="B21" i="4"/>
  <c r="R21" i="4"/>
  <c r="T21" i="4" s="1"/>
  <c r="B20" i="5"/>
  <c r="A21" i="5"/>
  <c r="R20" i="5"/>
  <c r="T20" i="5" s="1"/>
  <c r="A27" i="1"/>
  <c r="B26" i="1"/>
  <c r="T26" i="1"/>
  <c r="U26" i="1" s="1"/>
  <c r="A17" i="9"/>
  <c r="R16" i="9"/>
  <c r="T16" i="9" s="1"/>
  <c r="B16" i="9"/>
  <c r="A28" i="1" l="1"/>
  <c r="R27" i="1"/>
  <c r="T27" i="1" s="1"/>
  <c r="U27" i="1" s="1"/>
  <c r="B27" i="1"/>
  <c r="A22" i="5"/>
  <c r="T21" i="5"/>
  <c r="B21" i="5"/>
  <c r="B20" i="6"/>
  <c r="A21" i="6"/>
  <c r="R20" i="6"/>
  <c r="T20" i="6" s="1"/>
  <c r="A20" i="7"/>
  <c r="R19" i="7"/>
  <c r="T19" i="7" s="1"/>
  <c r="B19" i="7"/>
  <c r="A16" i="11"/>
  <c r="R15" i="11"/>
  <c r="T15" i="11" s="1"/>
  <c r="B15" i="11"/>
  <c r="T23" i="3"/>
  <c r="B23" i="3"/>
  <c r="A24" i="3"/>
  <c r="A19" i="8"/>
  <c r="R18" i="8"/>
  <c r="T18" i="8" s="1"/>
  <c r="B18" i="8"/>
  <c r="B17" i="9"/>
  <c r="A18" i="9"/>
  <c r="R17" i="9"/>
  <c r="T17" i="9" s="1"/>
  <c r="A15" i="12"/>
  <c r="B14" i="12"/>
  <c r="R14" i="12"/>
  <c r="T14" i="12" s="1"/>
  <c r="A17" i="10"/>
  <c r="R16" i="10"/>
  <c r="T16" i="10" s="1"/>
  <c r="B16" i="10"/>
  <c r="R22" i="4"/>
  <c r="T22" i="4" s="1"/>
  <c r="B22" i="4"/>
  <c r="A23" i="4"/>
  <c r="R24" i="2"/>
  <c r="T24" i="2" s="1"/>
  <c r="B24" i="2"/>
  <c r="A25" i="2"/>
  <c r="R16" i="11" l="1"/>
  <c r="T16" i="11" s="1"/>
  <c r="A17" i="11"/>
  <c r="B16" i="11"/>
  <c r="B22" i="5"/>
  <c r="A23" i="5"/>
  <c r="T22" i="5"/>
  <c r="A19" i="9"/>
  <c r="R18" i="9"/>
  <c r="T18" i="9" s="1"/>
  <c r="B18" i="9"/>
  <c r="A20" i="8"/>
  <c r="R19" i="8"/>
  <c r="T19" i="8" s="1"/>
  <c r="B19" i="8"/>
  <c r="A26" i="2"/>
  <c r="R25" i="2"/>
  <c r="T25" i="2" s="1"/>
  <c r="B25" i="2"/>
  <c r="A18" i="10"/>
  <c r="R17" i="10"/>
  <c r="T17" i="10" s="1"/>
  <c r="B17" i="10"/>
  <c r="A25" i="3"/>
  <c r="B24" i="3"/>
  <c r="R24" i="3"/>
  <c r="T24" i="3" s="1"/>
  <c r="B20" i="7"/>
  <c r="A21" i="7"/>
  <c r="R20" i="7"/>
  <c r="T20" i="7" s="1"/>
  <c r="A24" i="4"/>
  <c r="B23" i="4"/>
  <c r="T23" i="4"/>
  <c r="A16" i="12"/>
  <c r="R15" i="12"/>
  <c r="T15" i="12" s="1"/>
  <c r="B15" i="12"/>
  <c r="A29" i="1"/>
  <c r="B28" i="1"/>
  <c r="R28" i="1"/>
  <c r="T28" i="1" s="1"/>
  <c r="U28" i="1" s="1"/>
  <c r="A22" i="6"/>
  <c r="R21" i="6"/>
  <c r="T21" i="6" s="1"/>
  <c r="B21" i="6"/>
  <c r="A30" i="1" l="1"/>
  <c r="T29" i="1"/>
  <c r="U29" i="1" s="1"/>
  <c r="B29" i="1"/>
  <c r="T26" i="2"/>
  <c r="B26" i="2"/>
  <c r="A27" i="2"/>
  <c r="A24" i="5"/>
  <c r="T23" i="5"/>
  <c r="B23" i="5"/>
  <c r="B21" i="7"/>
  <c r="A22" i="7"/>
  <c r="R21" i="7"/>
  <c r="T21" i="7" s="1"/>
  <c r="B19" i="9"/>
  <c r="A20" i="9"/>
  <c r="R19" i="9"/>
  <c r="T19" i="9" s="1"/>
  <c r="R25" i="3"/>
  <c r="T25" i="3" s="1"/>
  <c r="B25" i="3"/>
  <c r="A26" i="3"/>
  <c r="B20" i="8"/>
  <c r="A21" i="8"/>
  <c r="R20" i="8"/>
  <c r="T20" i="8" s="1"/>
  <c r="A18" i="11"/>
  <c r="R17" i="11"/>
  <c r="T17" i="11" s="1"/>
  <c r="B17" i="11"/>
  <c r="A17" i="12"/>
  <c r="B16" i="12"/>
  <c r="R16" i="12"/>
  <c r="T16" i="12" s="1"/>
  <c r="B22" i="6"/>
  <c r="R22" i="6"/>
  <c r="T22" i="6" s="1"/>
  <c r="A23" i="6"/>
  <c r="T24" i="4"/>
  <c r="B24" i="4"/>
  <c r="A25" i="4"/>
  <c r="A19" i="10"/>
  <c r="R18" i="10"/>
  <c r="T18" i="10" s="1"/>
  <c r="B18" i="10"/>
  <c r="B24" i="5" l="1"/>
  <c r="A25" i="5"/>
  <c r="T24" i="5"/>
  <c r="A21" i="9"/>
  <c r="R20" i="9"/>
  <c r="T20" i="9" s="1"/>
  <c r="B20" i="9"/>
  <c r="A22" i="8"/>
  <c r="R21" i="8"/>
  <c r="T21" i="8" s="1"/>
  <c r="B21" i="8"/>
  <c r="A24" i="6"/>
  <c r="R23" i="6"/>
  <c r="T23" i="6" s="1"/>
  <c r="B23" i="6"/>
  <c r="B22" i="7"/>
  <c r="A23" i="7"/>
  <c r="R22" i="7"/>
  <c r="T22" i="7" s="1"/>
  <c r="R18" i="11"/>
  <c r="T18" i="11" s="1"/>
  <c r="A19" i="11"/>
  <c r="B18" i="11"/>
  <c r="A27" i="3"/>
  <c r="B26" i="3"/>
  <c r="T26" i="3"/>
  <c r="A26" i="4"/>
  <c r="B25" i="4"/>
  <c r="T25" i="4"/>
  <c r="A18" i="12"/>
  <c r="B17" i="12"/>
  <c r="R17" i="12"/>
  <c r="T17" i="12" s="1"/>
  <c r="A31" i="1"/>
  <c r="B30" i="1"/>
  <c r="T30" i="1"/>
  <c r="U30" i="1" s="1"/>
  <c r="B27" i="2"/>
  <c r="A28" i="2"/>
  <c r="T27" i="2"/>
  <c r="A20" i="10"/>
  <c r="R19" i="10"/>
  <c r="T19" i="10" s="1"/>
  <c r="B19" i="10"/>
  <c r="B22" i="8" l="1"/>
  <c r="A23" i="8"/>
  <c r="R22" i="8"/>
  <c r="T22" i="8" s="1"/>
  <c r="B21" i="9"/>
  <c r="A22" i="9"/>
  <c r="R21" i="9"/>
  <c r="T21" i="9" s="1"/>
  <c r="A24" i="7"/>
  <c r="R23" i="7"/>
  <c r="T23" i="7" s="1"/>
  <c r="B23" i="7"/>
  <c r="A32" i="1"/>
  <c r="T31" i="1"/>
  <c r="U31" i="1" s="1"/>
  <c r="B31" i="1"/>
  <c r="B24" i="6"/>
  <c r="A25" i="6"/>
  <c r="R24" i="6"/>
  <c r="T24" i="6" s="1"/>
  <c r="A26" i="5"/>
  <c r="T25" i="5"/>
  <c r="B25" i="5"/>
  <c r="T26" i="4"/>
  <c r="B26" i="4"/>
  <c r="A27" i="4"/>
  <c r="T27" i="3"/>
  <c r="B27" i="3"/>
  <c r="A28" i="3"/>
  <c r="B20" i="10"/>
  <c r="A21" i="10"/>
  <c r="R20" i="10"/>
  <c r="T20" i="10" s="1"/>
  <c r="A19" i="12"/>
  <c r="B18" i="12"/>
  <c r="R18" i="12"/>
  <c r="T18" i="12" s="1"/>
  <c r="A20" i="11"/>
  <c r="R19" i="11"/>
  <c r="T19" i="11" s="1"/>
  <c r="B19" i="11"/>
  <c r="B28" i="2"/>
  <c r="A29" i="2"/>
  <c r="T28" i="2"/>
  <c r="R20" i="11" l="1"/>
  <c r="T20" i="11" s="1"/>
  <c r="A21" i="11"/>
  <c r="B20" i="11"/>
  <c r="A28" i="4"/>
  <c r="B27" i="4"/>
  <c r="T27" i="4"/>
  <c r="A23" i="9"/>
  <c r="R22" i="9"/>
  <c r="T22" i="9" s="1"/>
  <c r="B22" i="9"/>
  <c r="B24" i="7"/>
  <c r="R24" i="7"/>
  <c r="T24" i="7" s="1"/>
  <c r="A25" i="7"/>
  <c r="A26" i="6"/>
  <c r="R25" i="6"/>
  <c r="T25" i="6" s="1"/>
  <c r="B25" i="6"/>
  <c r="T29" i="2"/>
  <c r="B29" i="2"/>
  <c r="A30" i="2"/>
  <c r="A22" i="10"/>
  <c r="R21" i="10"/>
  <c r="T21" i="10" s="1"/>
  <c r="B21" i="10"/>
  <c r="A33" i="1"/>
  <c r="B32" i="1"/>
  <c r="T32" i="1"/>
  <c r="U32" i="1" s="1"/>
  <c r="A24" i="8"/>
  <c r="R23" i="8"/>
  <c r="T23" i="8" s="1"/>
  <c r="B23" i="8"/>
  <c r="A20" i="12"/>
  <c r="R19" i="12"/>
  <c r="T19" i="12" s="1"/>
  <c r="B19" i="12"/>
  <c r="A29" i="3"/>
  <c r="B28" i="3"/>
  <c r="T28" i="3"/>
  <c r="B26" i="5"/>
  <c r="A27" i="5"/>
  <c r="R26" i="5"/>
  <c r="T26" i="5" s="1"/>
  <c r="A34" i="1" l="1"/>
  <c r="T33" i="1"/>
  <c r="U33" i="1" s="1"/>
  <c r="B33" i="1"/>
  <c r="A21" i="12"/>
  <c r="B20" i="12"/>
  <c r="R20" i="12"/>
  <c r="T20" i="12" s="1"/>
  <c r="A26" i="7"/>
  <c r="R25" i="7"/>
  <c r="T25" i="7" s="1"/>
  <c r="B25" i="7"/>
  <c r="R28" i="4"/>
  <c r="T28" i="4" s="1"/>
  <c r="B28" i="4"/>
  <c r="A29" i="4"/>
  <c r="T29" i="3"/>
  <c r="B29" i="3"/>
  <c r="A30" i="3"/>
  <c r="B23" i="9"/>
  <c r="A24" i="9"/>
  <c r="R23" i="9"/>
  <c r="T23" i="9" s="1"/>
  <c r="T30" i="2"/>
  <c r="A31" i="2"/>
  <c r="B30" i="2"/>
  <c r="R21" i="11"/>
  <c r="T21" i="11" s="1"/>
  <c r="B21" i="11"/>
  <c r="A22" i="11"/>
  <c r="B26" i="6"/>
  <c r="A27" i="6"/>
  <c r="R26" i="6"/>
  <c r="T26" i="6" s="1"/>
  <c r="A28" i="5"/>
  <c r="R27" i="5"/>
  <c r="T27" i="5" s="1"/>
  <c r="B27" i="5"/>
  <c r="B22" i="10"/>
  <c r="R22" i="10"/>
  <c r="T22" i="10" s="1"/>
  <c r="A23" i="10"/>
  <c r="B24" i="8"/>
  <c r="A25" i="8"/>
  <c r="R24" i="8"/>
  <c r="T24" i="8" s="1"/>
  <c r="T28" i="5" l="1"/>
  <c r="B28" i="5"/>
  <c r="A29" i="5"/>
  <c r="R31" i="2"/>
  <c r="B31" i="2"/>
  <c r="A30" i="4"/>
  <c r="B29" i="4"/>
  <c r="R29" i="4"/>
  <c r="T29" i="4" s="1"/>
  <c r="A22" i="12"/>
  <c r="R21" i="12"/>
  <c r="T21" i="12" s="1"/>
  <c r="B21" i="12"/>
  <c r="B26" i="7"/>
  <c r="A27" i="7"/>
  <c r="R26" i="7"/>
  <c r="T26" i="7" s="1"/>
  <c r="A26" i="8"/>
  <c r="R25" i="8"/>
  <c r="T25" i="8" s="1"/>
  <c r="B25" i="8"/>
  <c r="A31" i="3"/>
  <c r="B30" i="3"/>
  <c r="T30" i="3"/>
  <c r="A28" i="6"/>
  <c r="R27" i="6"/>
  <c r="T27" i="6" s="1"/>
  <c r="B27" i="6"/>
  <c r="R23" i="10"/>
  <c r="T23" i="10" s="1"/>
  <c r="A24" i="10"/>
  <c r="B23" i="10"/>
  <c r="B34" i="1"/>
  <c r="R34" i="1"/>
  <c r="A25" i="9"/>
  <c r="R24" i="9"/>
  <c r="T24" i="9" s="1"/>
  <c r="B24" i="9"/>
  <c r="R22" i="11"/>
  <c r="T22" i="11" s="1"/>
  <c r="A23" i="11"/>
  <c r="B22" i="11"/>
  <c r="T30" i="4" l="1"/>
  <c r="B30" i="4"/>
  <c r="A31" i="4"/>
  <c r="B26" i="8"/>
  <c r="A27" i="8"/>
  <c r="R26" i="8"/>
  <c r="T26" i="8" s="1"/>
  <c r="R27" i="7"/>
  <c r="T27" i="7" s="1"/>
  <c r="B27" i="7"/>
  <c r="A28" i="7"/>
  <c r="T31" i="2"/>
  <c r="T32" i="2" s="1"/>
  <c r="R32" i="2"/>
  <c r="B31" i="13" s="1"/>
  <c r="B29" i="5"/>
  <c r="A30" i="5"/>
  <c r="T29" i="5"/>
  <c r="T34" i="1"/>
  <c r="R35" i="1"/>
  <c r="R31" i="3"/>
  <c r="T31" i="3" s="1"/>
  <c r="B31" i="3"/>
  <c r="A32" i="3"/>
  <c r="A24" i="11"/>
  <c r="R23" i="11"/>
  <c r="T23" i="11" s="1"/>
  <c r="B23" i="11"/>
  <c r="B24" i="10"/>
  <c r="A25" i="10"/>
  <c r="R24" i="10"/>
  <c r="T24" i="10" s="1"/>
  <c r="A23" i="12"/>
  <c r="B22" i="12"/>
  <c r="R22" i="12"/>
  <c r="T22" i="12" s="1"/>
  <c r="B25" i="9"/>
  <c r="A26" i="9"/>
  <c r="R25" i="9"/>
  <c r="T25" i="9" s="1"/>
  <c r="B28" i="6"/>
  <c r="A29" i="6"/>
  <c r="R28" i="6"/>
  <c r="T28" i="6" s="1"/>
  <c r="R25" i="10" l="1"/>
  <c r="T25" i="10" s="1"/>
  <c r="B25" i="10"/>
  <c r="A26" i="10"/>
  <c r="A31" i="5"/>
  <c r="T30" i="5"/>
  <c r="B30" i="5"/>
  <c r="A28" i="8"/>
  <c r="R27" i="8"/>
  <c r="T27" i="8" s="1"/>
  <c r="B27" i="8"/>
  <c r="B30" i="13"/>
  <c r="R24" i="11"/>
  <c r="T24" i="11" s="1"/>
  <c r="A25" i="11"/>
  <c r="B24" i="11"/>
  <c r="A27" i="9"/>
  <c r="R26" i="9"/>
  <c r="T26" i="9" s="1"/>
  <c r="B26" i="9"/>
  <c r="A33" i="3"/>
  <c r="B32" i="3"/>
  <c r="R32" i="3"/>
  <c r="T32" i="3" s="1"/>
  <c r="A32" i="4"/>
  <c r="B31" i="4"/>
  <c r="T31" i="4"/>
  <c r="T35" i="1"/>
  <c r="U34" i="1"/>
  <c r="U35" i="1" s="1"/>
  <c r="U2" i="2" s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2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A24" i="12"/>
  <c r="R23" i="12"/>
  <c r="T23" i="12" s="1"/>
  <c r="B23" i="12"/>
  <c r="A30" i="6"/>
  <c r="R29" i="6"/>
  <c r="T29" i="6" s="1"/>
  <c r="B29" i="6"/>
  <c r="B28" i="7"/>
  <c r="A29" i="7"/>
  <c r="R28" i="7"/>
  <c r="T28" i="7" s="1"/>
  <c r="U32" i="3" l="1"/>
  <c r="B30" i="6"/>
  <c r="A31" i="6"/>
  <c r="R30" i="6"/>
  <c r="T30" i="6" s="1"/>
  <c r="T32" i="4"/>
  <c r="B32" i="4"/>
  <c r="A33" i="4"/>
  <c r="A26" i="11"/>
  <c r="R25" i="11"/>
  <c r="T25" i="11" s="1"/>
  <c r="B25" i="11"/>
  <c r="B28" i="8"/>
  <c r="A29" i="8"/>
  <c r="R28" i="8"/>
  <c r="T28" i="8" s="1"/>
  <c r="A25" i="12"/>
  <c r="B24" i="12"/>
  <c r="R24" i="12"/>
  <c r="T24" i="12" s="1"/>
  <c r="T33" i="3"/>
  <c r="B33" i="3"/>
  <c r="A34" i="3"/>
  <c r="B31" i="5"/>
  <c r="A32" i="5"/>
  <c r="T31" i="5"/>
  <c r="B26" i="10"/>
  <c r="A27" i="10"/>
  <c r="R26" i="10"/>
  <c r="T26" i="10" s="1"/>
  <c r="A30" i="7"/>
  <c r="R29" i="7"/>
  <c r="T29" i="7" s="1"/>
  <c r="B29" i="7"/>
  <c r="B27" i="9"/>
  <c r="A28" i="9"/>
  <c r="R27" i="9"/>
  <c r="T27" i="9" s="1"/>
  <c r="U33" i="3" l="1"/>
  <c r="A29" i="9"/>
  <c r="R28" i="9"/>
  <c r="T28" i="9" s="1"/>
  <c r="B28" i="9"/>
  <c r="R26" i="11"/>
  <c r="T26" i="11" s="1"/>
  <c r="B26" i="11"/>
  <c r="A27" i="11"/>
  <c r="B33" i="4"/>
  <c r="A26" i="12"/>
  <c r="B25" i="12"/>
  <c r="R25" i="12"/>
  <c r="T25" i="12" s="1"/>
  <c r="T32" i="5"/>
  <c r="A33" i="5"/>
  <c r="B32" i="5"/>
  <c r="A30" i="8"/>
  <c r="R29" i="8"/>
  <c r="T29" i="8" s="1"/>
  <c r="B29" i="8"/>
  <c r="B30" i="7"/>
  <c r="A31" i="7"/>
  <c r="R30" i="7"/>
  <c r="T30" i="7" s="1"/>
  <c r="B34" i="3"/>
  <c r="A32" i="6"/>
  <c r="R31" i="6"/>
  <c r="T31" i="6" s="1"/>
  <c r="B31" i="6"/>
  <c r="R27" i="10"/>
  <c r="T27" i="10" s="1"/>
  <c r="B27" i="10"/>
  <c r="A28" i="10"/>
  <c r="T34" i="3" l="1"/>
  <c r="R35" i="3"/>
  <c r="A28" i="11"/>
  <c r="R27" i="11"/>
  <c r="T27" i="11" s="1"/>
  <c r="B27" i="11"/>
  <c r="B33" i="5"/>
  <c r="A34" i="5"/>
  <c r="R33" i="5"/>
  <c r="T33" i="5" s="1"/>
  <c r="B32" i="6"/>
  <c r="A33" i="6"/>
  <c r="R32" i="6"/>
  <c r="T32" i="6" s="1"/>
  <c r="B30" i="8"/>
  <c r="A31" i="8"/>
  <c r="R30" i="8"/>
  <c r="T30" i="8" s="1"/>
  <c r="B28" i="10"/>
  <c r="A29" i="10"/>
  <c r="R28" i="10"/>
  <c r="T28" i="10" s="1"/>
  <c r="A32" i="7"/>
  <c r="R31" i="7"/>
  <c r="T31" i="7" s="1"/>
  <c r="B31" i="7"/>
  <c r="A27" i="12"/>
  <c r="B26" i="12"/>
  <c r="R26" i="12"/>
  <c r="T26" i="12" s="1"/>
  <c r="B29" i="9"/>
  <c r="A30" i="9"/>
  <c r="R29" i="9"/>
  <c r="T29" i="9" s="1"/>
  <c r="T33" i="4"/>
  <c r="T34" i="4" s="1"/>
  <c r="R34" i="4"/>
  <c r="B33" i="13" s="1"/>
  <c r="R34" i="5" l="1"/>
  <c r="B34" i="5"/>
  <c r="A32" i="8"/>
  <c r="B31" i="8"/>
  <c r="R31" i="8"/>
  <c r="T31" i="8" s="1"/>
  <c r="R28" i="11"/>
  <c r="T28" i="11" s="1"/>
  <c r="B28" i="11"/>
  <c r="A29" i="11"/>
  <c r="R29" i="10"/>
  <c r="T29" i="10" s="1"/>
  <c r="B29" i="10"/>
  <c r="A30" i="10"/>
  <c r="A28" i="12"/>
  <c r="R27" i="12"/>
  <c r="T27" i="12" s="1"/>
  <c r="B27" i="12"/>
  <c r="B32" i="7"/>
  <c r="A33" i="7"/>
  <c r="R32" i="7"/>
  <c r="T32" i="7" s="1"/>
  <c r="R33" i="6"/>
  <c r="B33" i="6"/>
  <c r="B32" i="13"/>
  <c r="A31" i="9"/>
  <c r="R30" i="9"/>
  <c r="T30" i="9" s="1"/>
  <c r="B30" i="9"/>
  <c r="T35" i="3"/>
  <c r="U34" i="3"/>
  <c r="U35" i="3" s="1"/>
  <c r="U2" i="4" s="1"/>
  <c r="U4" i="4" s="1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2" i="5" s="1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B31" i="9" l="1"/>
  <c r="A32" i="9"/>
  <c r="R31" i="9"/>
  <c r="T31" i="9" s="1"/>
  <c r="A34" i="7"/>
  <c r="R33" i="7"/>
  <c r="T33" i="7" s="1"/>
  <c r="B33" i="7"/>
  <c r="A30" i="11"/>
  <c r="R29" i="11"/>
  <c r="T29" i="11" s="1"/>
  <c r="B29" i="11"/>
  <c r="A29" i="12"/>
  <c r="B28" i="12"/>
  <c r="R28" i="12"/>
  <c r="T28" i="12" s="1"/>
  <c r="B30" i="10"/>
  <c r="A31" i="10"/>
  <c r="R30" i="10"/>
  <c r="T30" i="10" s="1"/>
  <c r="B32" i="8"/>
  <c r="A33" i="8"/>
  <c r="R32" i="8"/>
  <c r="T32" i="8" s="1"/>
  <c r="T33" i="6"/>
  <c r="T34" i="6" s="1"/>
  <c r="R34" i="6"/>
  <c r="B35" i="13" s="1"/>
  <c r="T34" i="5"/>
  <c r="T35" i="5" s="1"/>
  <c r="R35" i="5"/>
  <c r="R31" i="10" l="1"/>
  <c r="T31" i="10" s="1"/>
  <c r="B31" i="10"/>
  <c r="A32" i="10"/>
  <c r="R30" i="11"/>
  <c r="T30" i="11" s="1"/>
  <c r="B30" i="11"/>
  <c r="A31" i="11"/>
  <c r="B34" i="7"/>
  <c r="R34" i="7"/>
  <c r="B34" i="13"/>
  <c r="A30" i="12"/>
  <c r="R29" i="12"/>
  <c r="T29" i="12" s="1"/>
  <c r="B29" i="12"/>
  <c r="A34" i="8"/>
  <c r="B33" i="8"/>
  <c r="R33" i="8"/>
  <c r="T33" i="8" s="1"/>
  <c r="A33" i="9"/>
  <c r="R32" i="9"/>
  <c r="T32" i="9" s="1"/>
  <c r="B32" i="9"/>
  <c r="U34" i="5"/>
  <c r="U35" i="5" s="1"/>
  <c r="U2" i="6" s="1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2" i="7" s="1"/>
  <c r="U4" i="7" s="1"/>
  <c r="U5" i="7" s="1"/>
  <c r="U6" i="7" s="1"/>
  <c r="U7" i="7" s="1"/>
  <c r="U8" i="7" s="1"/>
  <c r="U9" i="7" s="1"/>
  <c r="U10" i="7" s="1"/>
  <c r="U11" i="7" s="1"/>
  <c r="U12" i="7" s="1"/>
  <c r="U13" i="7" s="1"/>
  <c r="U14" i="7" s="1"/>
  <c r="U15" i="7" s="1"/>
  <c r="U16" i="7" s="1"/>
  <c r="U17" i="7" s="1"/>
  <c r="U18" i="7" s="1"/>
  <c r="U19" i="7" s="1"/>
  <c r="U20" i="7" s="1"/>
  <c r="U21" i="7" s="1"/>
  <c r="U22" i="7" s="1"/>
  <c r="U23" i="7" s="1"/>
  <c r="U24" i="7" s="1"/>
  <c r="U25" i="7" s="1"/>
  <c r="U26" i="7" s="1"/>
  <c r="U27" i="7" s="1"/>
  <c r="U28" i="7" s="1"/>
  <c r="U29" i="7" s="1"/>
  <c r="U30" i="7" s="1"/>
  <c r="U31" i="7" s="1"/>
  <c r="U32" i="7" s="1"/>
  <c r="U33" i="7" s="1"/>
  <c r="A32" i="11" l="1"/>
  <c r="R31" i="11"/>
  <c r="T31" i="11" s="1"/>
  <c r="B31" i="11"/>
  <c r="A31" i="12"/>
  <c r="B30" i="12"/>
  <c r="R30" i="12"/>
  <c r="T30" i="12" s="1"/>
  <c r="B34" i="8"/>
  <c r="R34" i="8"/>
  <c r="B33" i="9"/>
  <c r="R33" i="9"/>
  <c r="B32" i="10"/>
  <c r="A33" i="10"/>
  <c r="R32" i="10"/>
  <c r="T32" i="10" s="1"/>
  <c r="T34" i="7"/>
  <c r="T35" i="7" s="1"/>
  <c r="R35" i="7"/>
  <c r="A34" i="10" l="1"/>
  <c r="R33" i="10"/>
  <c r="T33" i="10" s="1"/>
  <c r="B33" i="10"/>
  <c r="A32" i="12"/>
  <c r="R31" i="12"/>
  <c r="T31" i="12" s="1"/>
  <c r="B31" i="12"/>
  <c r="U34" i="7"/>
  <c r="U35" i="7" s="1"/>
  <c r="U2" i="8" s="1"/>
  <c r="U4" i="8" s="1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T33" i="9"/>
  <c r="T34" i="9" s="1"/>
  <c r="R34" i="9"/>
  <c r="B38" i="13" s="1"/>
  <c r="B36" i="13"/>
  <c r="T34" i="8"/>
  <c r="T35" i="8" s="1"/>
  <c r="R35" i="8"/>
  <c r="B37" i="13" s="1"/>
  <c r="R32" i="11"/>
  <c r="T32" i="11" s="1"/>
  <c r="B32" i="11"/>
  <c r="A33" i="11"/>
  <c r="U34" i="8" l="1"/>
  <c r="U35" i="8" s="1"/>
  <c r="U2" i="9" s="1"/>
  <c r="U4" i="9" s="1"/>
  <c r="U5" i="9" s="1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U27" i="9" s="1"/>
  <c r="U28" i="9" s="1"/>
  <c r="U29" i="9" s="1"/>
  <c r="U30" i="9" s="1"/>
  <c r="U31" i="9" s="1"/>
  <c r="U32" i="9" s="1"/>
  <c r="U33" i="9" s="1"/>
  <c r="U34" i="9" s="1"/>
  <c r="U2" i="10" s="1"/>
  <c r="U4" i="10" s="1"/>
  <c r="U5" i="10" s="1"/>
  <c r="U6" i="10" s="1"/>
  <c r="U7" i="10" s="1"/>
  <c r="U8" i="10" s="1"/>
  <c r="U9" i="10" s="1"/>
  <c r="U10" i="10" s="1"/>
  <c r="U11" i="10" s="1"/>
  <c r="U12" i="10" s="1"/>
  <c r="U13" i="10" s="1"/>
  <c r="U14" i="10" s="1"/>
  <c r="U15" i="10" s="1"/>
  <c r="U16" i="10" s="1"/>
  <c r="U17" i="10" s="1"/>
  <c r="U18" i="10" s="1"/>
  <c r="U19" i="10" s="1"/>
  <c r="U20" i="10" s="1"/>
  <c r="U21" i="10" s="1"/>
  <c r="U22" i="10" s="1"/>
  <c r="U23" i="10" s="1"/>
  <c r="U24" i="10" s="1"/>
  <c r="U25" i="10" s="1"/>
  <c r="U26" i="10" s="1"/>
  <c r="U27" i="10" s="1"/>
  <c r="U28" i="10" s="1"/>
  <c r="U29" i="10" s="1"/>
  <c r="U30" i="10" s="1"/>
  <c r="U31" i="10" s="1"/>
  <c r="U32" i="10" s="1"/>
  <c r="U33" i="10" s="1"/>
  <c r="A33" i="12"/>
  <c r="B32" i="12"/>
  <c r="R32" i="12"/>
  <c r="T32" i="12" s="1"/>
  <c r="R33" i="11"/>
  <c r="B33" i="11"/>
  <c r="B34" i="10"/>
  <c r="R34" i="10"/>
  <c r="T34" i="10" l="1"/>
  <c r="R35" i="10"/>
  <c r="A34" i="12"/>
  <c r="B33" i="12"/>
  <c r="R33" i="12"/>
  <c r="T33" i="12" s="1"/>
  <c r="T33" i="11"/>
  <c r="T34" i="11" s="1"/>
  <c r="R34" i="11"/>
  <c r="B40" i="13" s="1"/>
  <c r="B34" i="12" l="1"/>
  <c r="R34" i="12"/>
  <c r="B39" i="13"/>
  <c r="T35" i="10"/>
  <c r="U34" i="10"/>
  <c r="U35" i="10" s="1"/>
  <c r="U2" i="11" s="1"/>
  <c r="U4" i="11" s="1"/>
  <c r="U5" i="11" s="1"/>
  <c r="U6" i="11" s="1"/>
  <c r="U7" i="11" s="1"/>
  <c r="U8" i="11" s="1"/>
  <c r="U9" i="11" s="1"/>
  <c r="U10" i="11" s="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2" i="12" s="1"/>
  <c r="U4" i="12" s="1"/>
  <c r="U5" i="12" s="1"/>
  <c r="U6" i="12" s="1"/>
  <c r="U7" i="12" s="1"/>
  <c r="U8" i="12" s="1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U31" i="12" s="1"/>
  <c r="U32" i="12" s="1"/>
  <c r="U33" i="12" s="1"/>
  <c r="T34" i="12" l="1"/>
  <c r="T35" i="12" s="1"/>
  <c r="R35" i="12"/>
  <c r="B41" i="13" l="1"/>
  <c r="B42" i="13" s="1"/>
  <c r="B24" i="13"/>
  <c r="C24" i="13" s="1"/>
  <c r="C25" i="13" s="1"/>
  <c r="B23" i="13"/>
  <c r="C23" i="13" s="1"/>
  <c r="B25" i="13"/>
  <c r="U34" i="12"/>
  <c r="U35" i="12" s="1"/>
  <c r="B11" i="13" l="1"/>
  <c r="C11" i="13" s="1"/>
  <c r="B12" i="13" l="1"/>
  <c r="C1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Alta Engineering AG</author>
    <author/>
  </authors>
  <commentList>
    <comment ref="A14" authorId="0" shapeId="0" xr:uid="{2749E043-69D9-49F8-9670-2DBBA7599DE0}">
      <text>
        <r>
          <rPr>
            <b/>
            <sz val="9"/>
            <color indexed="81"/>
            <rFont val="Segoe UI"/>
            <family val="2"/>
          </rPr>
          <t>Gleitzeitsaldo aus dem alten Jahr, wird übernommen im Januar</t>
        </r>
      </text>
    </comment>
    <comment ref="A15" authorId="1" shapeId="0" xr:uid="{00000000-0006-0000-0C00-000006000000}">
      <text>
        <r>
          <rPr>
            <sz val="10"/>
            <color rgb="FF000000"/>
            <rFont val="Calibri"/>
            <family val="2"/>
            <scheme val="minor"/>
          </rPr>
          <t>nicht bezogene Ferien vom letzten Jahr</t>
        </r>
      </text>
    </comment>
    <comment ref="A17" authorId="1" shapeId="0" xr:uid="{00000000-0006-0000-0C00-000005000000}">
      <text>
        <r>
          <rPr>
            <sz val="10"/>
            <color rgb="FF000000"/>
            <rFont val="Calibri"/>
            <family val="2"/>
            <scheme val="minor"/>
          </rPr>
          <t>Anzahl gearbeitete Monate pro Jahr</t>
        </r>
      </text>
    </comment>
    <comment ref="A23" authorId="1" shapeId="0" xr:uid="{00000000-0006-0000-0C00-000003000000}">
      <text>
        <r>
          <rPr>
            <sz val="10"/>
            <color rgb="FF000000"/>
            <rFont val="Calibri"/>
            <family val="2"/>
            <scheme val="minor"/>
          </rPr>
          <t>Soll- Jahresarbeitszeit ohne eingerechnete Ferien und ohne eingerechnete Vorholzeit</t>
        </r>
      </text>
    </comment>
    <comment ref="A24" authorId="1" shapeId="0" xr:uid="{00000000-0006-0000-0C00-000004000000}">
      <text>
        <r>
          <rPr>
            <sz val="10"/>
            <color rgb="FF000000"/>
            <rFont val="Calibri"/>
            <family val="2"/>
            <scheme val="minor"/>
          </rPr>
          <t>Soll- Jahresarbeitszeit mit eingerechnete Ferien aber ohne eingerechnete Vorholzeit</t>
        </r>
      </text>
    </comment>
    <comment ref="A25" authorId="1" shapeId="0" xr:uid="{00000000-0006-0000-0C00-000002000000}">
      <text>
        <r>
          <rPr>
            <sz val="10"/>
            <color rgb="FF000000"/>
            <rFont val="Calibri"/>
            <family val="2"/>
            <scheme val="minor"/>
          </rPr>
          <t>Soll- Jahresarbeitszeit mit eingerechnete Ferien mit eingerechneter Vorholzeit</t>
        </r>
      </text>
    </comment>
    <comment ref="B29" authorId="1" shapeId="0" xr:uid="{00000000-0006-0000-0C00-000007000000}">
      <text>
        <r>
          <rPr>
            <sz val="10"/>
            <color rgb="FF000000"/>
            <rFont val="Calibri"/>
            <family val="2"/>
            <scheme val="minor"/>
          </rPr>
          <t>Arbeitsstunden pro Monat, nicht eingerechnet ist die Vorholzeit</t>
        </r>
      </text>
    </comment>
    <comment ref="A44" authorId="1" shapeId="0" xr:uid="{00000000-0006-0000-0C00-000001000000}">
      <text>
        <r>
          <rPr>
            <sz val="10"/>
            <color rgb="FF000000"/>
            <rFont val="Calibri"/>
            <family val="2"/>
            <scheme val="minor"/>
          </rPr>
          <t>Vergütung pro Kilometer in CHF, Wert wird in den Monatsblätter übernommen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XMKtT0qmnmxNxlNnGietZBQI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D00-000003000000}">
      <text>
        <r>
          <rPr>
            <sz val="10"/>
            <color rgb="FF000000"/>
            <rFont val="Calibri"/>
            <family val="2"/>
            <scheme val="minor"/>
          </rPr>
          <t>Hier werden die Daten eingetregen für die Feiertag. Diese werden dann automatisch in den Monatsblättern übernommen</t>
        </r>
      </text>
    </comment>
    <comment ref="D3" authorId="0" shapeId="0" xr:uid="{00000000-0006-0000-0D00-000001000000}">
      <text>
        <r>
          <rPr>
            <sz val="10"/>
            <color rgb="FF000000"/>
            <rFont val="Calibri"/>
            <family val="2"/>
            <scheme val="minor"/>
          </rPr>
          <t>bezahlt wird im Monatsblatt rot eingefärbt (bedingte Formatierung im Monatsblatt); unbezahlt wird gelb eingefärbt (bedingte Formatierung im Monatsblatt); Die Abfrage im Monatsblatt wird hier über diese Spalte gemacht (ja/nein).</t>
        </r>
      </text>
    </comment>
    <comment ref="C22" authorId="0" shapeId="0" xr:uid="{00000000-0006-0000-0D00-000002000000}">
      <text>
        <r>
          <rPr>
            <sz val="10"/>
            <color rgb="FF000000"/>
            <rFont val="Calibri"/>
            <family val="2"/>
            <scheme val="minor"/>
          </rPr>
          <t>Beschriftung für das Wochenende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iX2hWiMP7DJnZRfPtAUcZwHStA=="/>
    </ext>
  </extLst>
</comments>
</file>

<file path=xl/sharedStrings.xml><?xml version="1.0" encoding="utf-8"?>
<sst xmlns="http://schemas.openxmlformats.org/spreadsheetml/2006/main" count="537" uniqueCount="95">
  <si>
    <t>Monatsblatt</t>
  </si>
  <si>
    <t>Name:</t>
  </si>
  <si>
    <t>Monat:</t>
  </si>
  <si>
    <t>Anstellung :</t>
  </si>
  <si>
    <t>Blatt Nr.</t>
  </si>
  <si>
    <t>Ferien:</t>
  </si>
  <si>
    <t>Bezogen:</t>
  </si>
  <si>
    <t>Rest:</t>
  </si>
  <si>
    <t>Stundenübertrag Vormonat :</t>
  </si>
  <si>
    <t>Spesen</t>
  </si>
  <si>
    <t>Projekte</t>
  </si>
  <si>
    <t>krank</t>
  </si>
  <si>
    <t>Reisezeit</t>
  </si>
  <si>
    <t>CAD</t>
  </si>
  <si>
    <t>Ausbildung</t>
  </si>
  <si>
    <t>Büro</t>
  </si>
  <si>
    <t>Ferien</t>
  </si>
  <si>
    <t>Soll</t>
  </si>
  <si>
    <t>Ist</t>
  </si>
  <si>
    <t>+/-</t>
  </si>
  <si>
    <t>Stand</t>
  </si>
  <si>
    <t>Fr.</t>
  </si>
  <si>
    <t>Km</t>
  </si>
  <si>
    <t>Summe</t>
  </si>
  <si>
    <t>Start [hh:mm]</t>
  </si>
  <si>
    <t>Stop [hh:mm]</t>
  </si>
  <si>
    <t>Ist-Zeit [hh:mm]</t>
  </si>
  <si>
    <t>Ist-Zeit [hh]</t>
  </si>
  <si>
    <t>Ist-Zeit [.hh]</t>
  </si>
  <si>
    <t>Ist-Zeit [h.h]</t>
  </si>
  <si>
    <t>Aufteilung - Istzeit</t>
  </si>
  <si>
    <t>Total</t>
  </si>
  <si>
    <t>:</t>
  </si>
  <si>
    <t>Alta Engineering AG</t>
  </si>
  <si>
    <t xml:space="preserve">Ausbildung </t>
  </si>
  <si>
    <t>Firmenname:</t>
  </si>
  <si>
    <t>Anstellung Prozent</t>
  </si>
  <si>
    <t>Arbeitsstunden pro Woche</t>
  </si>
  <si>
    <t>[hh.hh]</t>
  </si>
  <si>
    <t>[mm.mm]</t>
  </si>
  <si>
    <t>Arbeitszeit pro Tag</t>
  </si>
  <si>
    <t>Anzahl Vorholtage</t>
  </si>
  <si>
    <t>Vorholzeit pro Tag</t>
  </si>
  <si>
    <t>Arbeitszeit pro Tag inkl. Vorholzeit</t>
  </si>
  <si>
    <t>Ferienübertrag altes Jahr</t>
  </si>
  <si>
    <t>Jahresferientage neu hinzu</t>
  </si>
  <si>
    <t>Anzahl Arbeitsmonate</t>
  </si>
  <si>
    <t>Ferien Guthaben</t>
  </si>
  <si>
    <t>Stunden</t>
  </si>
  <si>
    <t>Arbeitstage</t>
  </si>
  <si>
    <t>Soll-Jahresarbeitszeit o.F.o.F</t>
  </si>
  <si>
    <t>Soll-Jahresarbeitszeit m.F.o.F</t>
  </si>
  <si>
    <t>Soll-Jahresarbeitszeit m.F.m.F</t>
  </si>
  <si>
    <t>Jahr</t>
  </si>
  <si>
    <t>Monat</t>
  </si>
  <si>
    <t>Soll-Stunden</t>
  </si>
  <si>
    <t>Arbeitsstunden</t>
  </si>
  <si>
    <t>Kilometer Spesensatz</t>
  </si>
  <si>
    <t>CHF</t>
  </si>
  <si>
    <t>Gesamt</t>
  </si>
  <si>
    <t>Datum</t>
  </si>
  <si>
    <t>Feiertag</t>
  </si>
  <si>
    <t>bezahlt / unbezahlt</t>
  </si>
  <si>
    <t>* * * * * * * * Neujahr * * * * * * * * * * * * * * * * * * * * * * * * * * * * * * * * * * * * * * * * * * * * * * * * * * * *</t>
  </si>
  <si>
    <t>ja</t>
  </si>
  <si>
    <t>* * * * * * * * Josefstag * * * * * * * * * * * * * * * * * * * * * * * * * * * * * * * * * * * * * * * * * * * * * * * * * *</t>
  </si>
  <si>
    <t>* * * * * * * * Karfreitag * * * * * * * * * * * * * * * * * * * * * * * * * * * * * * * * * * * * * * * * * * * * * * * * * *</t>
  </si>
  <si>
    <t>* * * * * * * * Ostermontag * * * * * * * * * * * * * * * * * * * * * * * * * * * * * * * * * * * * * * * * * * * * * * * *</t>
  </si>
  <si>
    <t>nein</t>
  </si>
  <si>
    <t>* * * * * * * * Auffahrt * * * * * * * * * * * * * * * * * * * * * * * * * * * * * * * * * * * * * * * * * * * * * * * * * * * *</t>
  </si>
  <si>
    <t>* * * * * * * * Pfingstmontag * * * * * * * * * * * * * * * * * * * * * * * * * * * * * * * * * * * * * * * * * * * * * * *</t>
  </si>
  <si>
    <t>* * * * * * * * Fronleichnam * * * * * * * * * * * * * * * * * * * * * * * * * * * * * * * * * * * * * * * * * * * * * * * *</t>
  </si>
  <si>
    <t>* * * * * * * * Nationalfeiertag * * * * * * * * * * * * * * * * * * * * * * * * * * * * * * * * * * * * * * * * * * * * * *</t>
  </si>
  <si>
    <t>* * * * * * * * Maria Himmelfahrt * * * * * * * * * * * * * * * * * * * * * * * * * * * * * * * * * * * * * * * * * * * *</t>
  </si>
  <si>
    <t>* * * * * * * * Justustag * * * * * * * * * * * * * * * * * * * * * * * * * * * * * * * * * * * * * * * * * * * * * * * * * *</t>
  </si>
  <si>
    <t>* * * * * * * * Allerheiligen * * * * * * * * * * * * * * * * * * * * * * * * * * * * * * * * * * * * * * * * * * * * * * * * *</t>
  </si>
  <si>
    <t xml:space="preserve">* * * * * * * * Maria Empfängnis * * * * * * * * * * * * * * * * * * * * * * * * * * * * * * * * * * * * * * * * * * * * * </t>
  </si>
  <si>
    <t>* * * * * * * * Weihnachtstag * * * * * * * * * * * * * * * * * * * * * * * * * * * * * * * * * * * * * * * * * * * * * * *</t>
  </si>
  <si>
    <t>* * * * * * * * Stephanstag * * * * * * * * * * * * * * * * * * * * * * * * * * * * * * * * * * * * * * * * * * * * * * * * *</t>
  </si>
  <si>
    <t>Wochenende</t>
  </si>
  <si>
    <t>* * * * * * * * Wochenende * * * * * * * * * * * * * * * * * * * * * * * * * * * * * * * * * * * * * * * * * * * * * * * *</t>
  </si>
  <si>
    <t>Stundenübertrag altes Jahr</t>
  </si>
  <si>
    <t>Ferien bezogen im aktuellen Jahr</t>
  </si>
  <si>
    <t>Ferienübertrag nächstes Jahr</t>
  </si>
  <si>
    <t>Alta Engineering</t>
  </si>
  <si>
    <t>Pfisterer AG</t>
  </si>
  <si>
    <t>Alta Eng.</t>
  </si>
  <si>
    <t>Michael Küng</t>
  </si>
  <si>
    <t>Raytech AG</t>
  </si>
  <si>
    <t>Avesco AG</t>
  </si>
  <si>
    <t>Unproduktiv</t>
  </si>
  <si>
    <t>Avesco</t>
  </si>
  <si>
    <t>Web Projekte</t>
  </si>
  <si>
    <t>Villiger</t>
  </si>
  <si>
    <t>NBU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</si>
</sst>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"/>
    <numFmt numFmtId="166" formatCode="dd"/>
    <numFmt numFmtId="167" formatCode="0.0"/>
    <numFmt numFmtId="168" formatCode="yyyy"/>
  </numFmts>
  <fonts count="16">
    <font>
      <sz val="10"/>
      <color rgb="FF000000"/>
      <name val="Calibri"/>
      <scheme val="minor"/>
    </font>
    <font>
      <b/>
      <sz val="9"/>
      <color rgb="FF000000"/>
      <name val="Arial"/>
      <family val="2"/>
    </font>
    <font>
      <sz val="10"/>
      <name val="Calibri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Arimo"/>
    </font>
    <font>
      <sz val="8"/>
      <color theme="1"/>
      <name val="Arial"/>
      <family val="2"/>
    </font>
    <font>
      <sz val="10"/>
      <color theme="1"/>
      <name val="Arimo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Helvetica Neue"/>
    </font>
    <font>
      <sz val="10"/>
      <color theme="1"/>
      <name val="Calibri"/>
      <family val="2"/>
    </font>
    <font>
      <sz val="14"/>
      <color theme="1"/>
      <name val="Arial"/>
      <family val="2"/>
    </font>
    <font>
      <b/>
      <sz val="9"/>
      <color indexed="81"/>
      <name val="Segoe UI"/>
      <family val="2"/>
    </font>
    <font>
      <sz val="14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E3E3E3"/>
        <bgColor rgb="FFE3E3E3"/>
      </patternFill>
    </fill>
    <fill>
      <patternFill patternType="solid">
        <fgColor rgb="FFD8D8D8"/>
        <bgColor rgb="FFD8D8D8"/>
      </patternFill>
    </fill>
  </fills>
  <borders count="8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5" fillId="2" borderId="8" xfId="0" applyFont="1" applyFill="1" applyBorder="1"/>
    <xf numFmtId="0" fontId="4" fillId="2" borderId="9" xfId="0" applyFont="1" applyFill="1" applyBorder="1" applyAlignment="1">
      <alignment horizontal="right"/>
    </xf>
    <xf numFmtId="9" fontId="4" fillId="2" borderId="10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4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/>
    <xf numFmtId="0" fontId="6" fillId="2" borderId="8" xfId="0" quotePrefix="1" applyFont="1" applyFill="1" applyBorder="1" applyAlignment="1">
      <alignment horizontal="right"/>
    </xf>
    <xf numFmtId="0" fontId="5" fillId="2" borderId="15" xfId="0" applyFont="1" applyFill="1" applyBorder="1"/>
    <xf numFmtId="0" fontId="5" fillId="2" borderId="9" xfId="0" applyFont="1" applyFill="1" applyBorder="1"/>
    <xf numFmtId="0" fontId="5" fillId="2" borderId="14" xfId="0" applyFont="1" applyFill="1" applyBorder="1"/>
    <xf numFmtId="164" fontId="5" fillId="2" borderId="16" xfId="0" applyNumberFormat="1" applyFont="1" applyFill="1" applyBorder="1"/>
    <xf numFmtId="17" fontId="7" fillId="0" borderId="0" xfId="0" applyNumberFormat="1" applyFont="1"/>
    <xf numFmtId="0" fontId="4" fillId="2" borderId="17" xfId="0" applyFont="1" applyFill="1" applyBorder="1" applyAlignment="1">
      <alignment horizontal="center" textRotation="90"/>
    </xf>
    <xf numFmtId="0" fontId="4" fillId="0" borderId="18" xfId="0" applyFont="1" applyBorder="1" applyAlignment="1">
      <alignment horizontal="center" textRotation="90"/>
    </xf>
    <xf numFmtId="0" fontId="4" fillId="0" borderId="19" xfId="0" applyFont="1" applyBorder="1" applyAlignment="1">
      <alignment horizontal="center" textRotation="90" wrapText="1"/>
    </xf>
    <xf numFmtId="0" fontId="4" fillId="0" borderId="19" xfId="0" applyFont="1" applyBorder="1" applyAlignment="1">
      <alignment horizontal="center" textRotation="90"/>
    </xf>
    <xf numFmtId="0" fontId="4" fillId="2" borderId="20" xfId="0" applyFont="1" applyFill="1" applyBorder="1" applyAlignment="1">
      <alignment horizontal="center" textRotation="90"/>
    </xf>
    <xf numFmtId="0" fontId="4" fillId="2" borderId="21" xfId="0" applyFont="1" applyFill="1" applyBorder="1" applyAlignment="1">
      <alignment horizontal="center" textRotation="90"/>
    </xf>
    <xf numFmtId="0" fontId="4" fillId="2" borderId="22" xfId="0" applyFont="1" applyFill="1" applyBorder="1" applyAlignment="1">
      <alignment horizontal="right"/>
    </xf>
    <xf numFmtId="0" fontId="4" fillId="2" borderId="23" xfId="0" applyFont="1" applyFill="1" applyBorder="1" applyAlignment="1">
      <alignment horizontal="right"/>
    </xf>
    <xf numFmtId="0" fontId="4" fillId="2" borderId="23" xfId="0" quotePrefix="1" applyFont="1" applyFill="1" applyBorder="1" applyAlignment="1">
      <alignment horizontal="right"/>
    </xf>
    <xf numFmtId="0" fontId="4" fillId="2" borderId="24" xfId="0" applyFont="1" applyFill="1" applyBorder="1" applyAlignment="1">
      <alignment horizontal="right"/>
    </xf>
    <xf numFmtId="0" fontId="4" fillId="2" borderId="22" xfId="0" applyFont="1" applyFill="1" applyBorder="1"/>
    <xf numFmtId="0" fontId="4" fillId="2" borderId="23" xfId="0" applyFont="1" applyFill="1" applyBorder="1"/>
    <xf numFmtId="0" fontId="4" fillId="2" borderId="24" xfId="0" applyFont="1" applyFill="1" applyBorder="1"/>
    <xf numFmtId="0" fontId="4" fillId="2" borderId="20" xfId="0" quotePrefix="1" applyFont="1" applyFill="1" applyBorder="1" applyAlignment="1">
      <alignment horizontal="center" textRotation="90" wrapText="1"/>
    </xf>
    <xf numFmtId="0" fontId="4" fillId="2" borderId="23" xfId="0" quotePrefix="1" applyFont="1" applyFill="1" applyBorder="1" applyAlignment="1">
      <alignment horizontal="center" textRotation="90" wrapText="1"/>
    </xf>
    <xf numFmtId="0" fontId="4" fillId="2" borderId="25" xfId="0" quotePrefix="1" applyFont="1" applyFill="1" applyBorder="1" applyAlignment="1">
      <alignment horizontal="center" textRotation="90" wrapText="1"/>
    </xf>
    <xf numFmtId="164" fontId="4" fillId="2" borderId="26" xfId="0" quotePrefix="1" applyNumberFormat="1" applyFont="1" applyFill="1" applyBorder="1" applyAlignment="1">
      <alignment horizontal="center" textRotation="90" wrapText="1"/>
    </xf>
    <xf numFmtId="164" fontId="4" fillId="2" borderId="27" xfId="0" quotePrefix="1" applyNumberFormat="1" applyFont="1" applyFill="1" applyBorder="1" applyAlignment="1">
      <alignment horizontal="center" textRotation="90" wrapText="1"/>
    </xf>
    <xf numFmtId="164" fontId="4" fillId="2" borderId="28" xfId="0" quotePrefix="1" applyNumberFormat="1" applyFont="1" applyFill="1" applyBorder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165" fontId="4" fillId="2" borderId="11" xfId="0" applyNumberFormat="1" applyFont="1" applyFill="1" applyBorder="1" applyAlignment="1">
      <alignment horizontal="center"/>
    </xf>
    <xf numFmtId="0" fontId="4" fillId="0" borderId="29" xfId="0" applyFont="1" applyBorder="1"/>
    <xf numFmtId="2" fontId="4" fillId="0" borderId="30" xfId="0" applyNumberFormat="1" applyFont="1" applyBorder="1"/>
    <xf numFmtId="0" fontId="4" fillId="0" borderId="30" xfId="0" applyFont="1" applyBorder="1"/>
    <xf numFmtId="0" fontId="4" fillId="0" borderId="31" xfId="0" applyFont="1" applyBorder="1"/>
    <xf numFmtId="2" fontId="4" fillId="2" borderId="32" xfId="0" applyNumberFormat="1" applyFont="1" applyFill="1" applyBorder="1"/>
    <xf numFmtId="2" fontId="4" fillId="2" borderId="33" xfId="0" applyNumberFormat="1" applyFont="1" applyFill="1" applyBorder="1"/>
    <xf numFmtId="0" fontId="4" fillId="0" borderId="34" xfId="0" applyFont="1" applyBorder="1"/>
    <xf numFmtId="0" fontId="4" fillId="2" borderId="35" xfId="0" applyFont="1" applyFill="1" applyBorder="1"/>
    <xf numFmtId="20" fontId="6" fillId="0" borderId="0" xfId="0" applyNumberFormat="1" applyFont="1"/>
    <xf numFmtId="20" fontId="6" fillId="0" borderId="36" xfId="0" applyNumberFormat="1" applyFont="1" applyBorder="1"/>
    <xf numFmtId="20" fontId="4" fillId="2" borderId="29" xfId="0" applyNumberFormat="1" applyFont="1" applyFill="1" applyBorder="1"/>
    <xf numFmtId="2" fontId="4" fillId="0" borderId="0" xfId="0" applyNumberFormat="1" applyFont="1"/>
    <xf numFmtId="166" fontId="7" fillId="0" borderId="0" xfId="0" applyNumberFormat="1" applyFont="1"/>
    <xf numFmtId="165" fontId="4" fillId="2" borderId="37" xfId="0" applyNumberFormat="1" applyFont="1" applyFill="1" applyBorder="1" applyAlignment="1">
      <alignment horizontal="center"/>
    </xf>
    <xf numFmtId="0" fontId="4" fillId="3" borderId="38" xfId="0" applyFont="1" applyFill="1" applyBorder="1"/>
    <xf numFmtId="2" fontId="4" fillId="3" borderId="39" xfId="0" applyNumberFormat="1" applyFont="1" applyFill="1" applyBorder="1"/>
    <xf numFmtId="0" fontId="4" fillId="3" borderId="39" xfId="0" applyFont="1" applyFill="1" applyBorder="1"/>
    <xf numFmtId="0" fontId="4" fillId="3" borderId="40" xfId="0" applyFont="1" applyFill="1" applyBorder="1"/>
    <xf numFmtId="2" fontId="4" fillId="2" borderId="38" xfId="0" applyNumberFormat="1" applyFont="1" applyFill="1" applyBorder="1"/>
    <xf numFmtId="2" fontId="4" fillId="2" borderId="41" xfId="0" applyNumberFormat="1" applyFont="1" applyFill="1" applyBorder="1"/>
    <xf numFmtId="2" fontId="4" fillId="2" borderId="42" xfId="0" applyNumberFormat="1" applyFont="1" applyFill="1" applyBorder="1"/>
    <xf numFmtId="0" fontId="4" fillId="3" borderId="43" xfId="0" applyFont="1" applyFill="1" applyBorder="1"/>
    <xf numFmtId="0" fontId="4" fillId="2" borderId="44" xfId="0" applyFont="1" applyFill="1" applyBorder="1"/>
    <xf numFmtId="20" fontId="6" fillId="3" borderId="45" xfId="0" applyNumberFormat="1" applyFont="1" applyFill="1" applyBorder="1"/>
    <xf numFmtId="20" fontId="6" fillId="3" borderId="41" xfId="0" applyNumberFormat="1" applyFont="1" applyFill="1" applyBorder="1"/>
    <xf numFmtId="20" fontId="6" fillId="3" borderId="46" xfId="0" applyNumberFormat="1" applyFont="1" applyFill="1" applyBorder="1"/>
    <xf numFmtId="20" fontId="4" fillId="2" borderId="38" xfId="0" applyNumberFormat="1" applyFont="1" applyFill="1" applyBorder="1"/>
    <xf numFmtId="0" fontId="4" fillId="0" borderId="38" xfId="0" applyFont="1" applyBorder="1"/>
    <xf numFmtId="2" fontId="4" fillId="0" borderId="47" xfId="0" applyNumberFormat="1" applyFont="1" applyBorder="1"/>
    <xf numFmtId="20" fontId="6" fillId="0" borderId="47" xfId="0" applyNumberFormat="1" applyFont="1" applyBorder="1"/>
    <xf numFmtId="20" fontId="6" fillId="0" borderId="41" xfId="0" applyNumberFormat="1" applyFont="1" applyBorder="1"/>
    <xf numFmtId="20" fontId="6" fillId="0" borderId="48" xfId="0" applyNumberFormat="1" applyFont="1" applyBorder="1"/>
    <xf numFmtId="0" fontId="4" fillId="3" borderId="49" xfId="0" applyFont="1" applyFill="1" applyBorder="1"/>
    <xf numFmtId="0" fontId="4" fillId="2" borderId="38" xfId="0" applyFont="1" applyFill="1" applyBorder="1"/>
    <xf numFmtId="0" fontId="4" fillId="0" borderId="50" xfId="0" applyFont="1" applyBorder="1"/>
    <xf numFmtId="0" fontId="4" fillId="0" borderId="41" xfId="0" applyFont="1" applyBorder="1"/>
    <xf numFmtId="0" fontId="4" fillId="3" borderId="41" xfId="0" applyFont="1" applyFill="1" applyBorder="1"/>
    <xf numFmtId="165" fontId="4" fillId="2" borderId="17" xfId="0" applyNumberFormat="1" applyFont="1" applyFill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4" fillId="0" borderId="51" xfId="0" applyFont="1" applyBorder="1"/>
    <xf numFmtId="2" fontId="4" fillId="2" borderId="52" xfId="0" applyNumberFormat="1" applyFont="1" applyFill="1" applyBorder="1"/>
    <xf numFmtId="2" fontId="4" fillId="2" borderId="53" xfId="0" applyNumberFormat="1" applyFont="1" applyFill="1" applyBorder="1"/>
    <xf numFmtId="20" fontId="4" fillId="2" borderId="54" xfId="0" applyNumberFormat="1" applyFont="1" applyFill="1" applyBorder="1"/>
    <xf numFmtId="0" fontId="4" fillId="2" borderId="55" xfId="0" applyFont="1" applyFill="1" applyBorder="1" applyAlignment="1">
      <alignment horizontal="center"/>
    </xf>
    <xf numFmtId="0" fontId="4" fillId="2" borderId="56" xfId="0" applyFont="1" applyFill="1" applyBorder="1"/>
    <xf numFmtId="2" fontId="4" fillId="2" borderId="57" xfId="0" applyNumberFormat="1" applyFont="1" applyFill="1" applyBorder="1"/>
    <xf numFmtId="167" fontId="4" fillId="2" borderId="58" xfId="0" applyNumberFormat="1" applyFont="1" applyFill="1" applyBorder="1"/>
    <xf numFmtId="2" fontId="8" fillId="2" borderId="56" xfId="0" applyNumberFormat="1" applyFont="1" applyFill="1" applyBorder="1"/>
    <xf numFmtId="2" fontId="4" fillId="2" borderId="59" xfId="0" applyNumberFormat="1" applyFont="1" applyFill="1" applyBorder="1"/>
    <xf numFmtId="37" fontId="4" fillId="2" borderId="56" xfId="0" applyNumberFormat="1" applyFont="1" applyFill="1" applyBorder="1"/>
    <xf numFmtId="37" fontId="4" fillId="2" borderId="59" xfId="0" applyNumberFormat="1" applyFont="1" applyFill="1" applyBorder="1"/>
    <xf numFmtId="0" fontId="9" fillId="2" borderId="56" xfId="0" applyFont="1" applyFill="1" applyBorder="1"/>
    <xf numFmtId="0" fontId="9" fillId="2" borderId="21" xfId="0" applyFont="1" applyFill="1" applyBorder="1"/>
    <xf numFmtId="2" fontId="4" fillId="2" borderId="60" xfId="0" applyNumberFormat="1" applyFont="1" applyFill="1" applyBorder="1"/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14" fontId="7" fillId="0" borderId="0" xfId="0" applyNumberFormat="1" applyFont="1"/>
    <xf numFmtId="0" fontId="4" fillId="2" borderId="15" xfId="0" applyFont="1" applyFill="1" applyBorder="1"/>
    <xf numFmtId="2" fontId="4" fillId="2" borderId="10" xfId="0" applyNumberFormat="1" applyFont="1" applyFill="1" applyBorder="1" applyAlignment="1">
      <alignment horizontal="left"/>
    </xf>
    <xf numFmtId="0" fontId="4" fillId="2" borderId="62" xfId="0" applyFont="1" applyFill="1" applyBorder="1"/>
    <xf numFmtId="164" fontId="4" fillId="2" borderId="16" xfId="0" applyNumberFormat="1" applyFont="1" applyFill="1" applyBorder="1"/>
    <xf numFmtId="0" fontId="4" fillId="2" borderId="63" xfId="0" applyFont="1" applyFill="1" applyBorder="1"/>
    <xf numFmtId="0" fontId="4" fillId="2" borderId="64" xfId="0" quotePrefix="1" applyFont="1" applyFill="1" applyBorder="1" applyAlignment="1">
      <alignment horizontal="center" textRotation="90" wrapText="1"/>
    </xf>
    <xf numFmtId="164" fontId="4" fillId="2" borderId="22" xfId="0" quotePrefix="1" applyNumberFormat="1" applyFont="1" applyFill="1" applyBorder="1" applyAlignment="1">
      <alignment horizontal="center" textRotation="90" wrapText="1"/>
    </xf>
    <xf numFmtId="164" fontId="4" fillId="2" borderId="23" xfId="0" quotePrefix="1" applyNumberFormat="1" applyFont="1" applyFill="1" applyBorder="1" applyAlignment="1">
      <alignment horizontal="center" textRotation="90" wrapText="1"/>
    </xf>
    <xf numFmtId="164" fontId="4" fillId="2" borderId="24" xfId="0" quotePrefix="1" applyNumberFormat="1" applyFont="1" applyFill="1" applyBorder="1" applyAlignment="1">
      <alignment horizontal="center" textRotation="90" wrapText="1"/>
    </xf>
    <xf numFmtId="0" fontId="4" fillId="0" borderId="65" xfId="0" applyFont="1" applyBorder="1"/>
    <xf numFmtId="0" fontId="4" fillId="0" borderId="66" xfId="0" applyFont="1" applyBorder="1"/>
    <xf numFmtId="0" fontId="4" fillId="0" borderId="67" xfId="0" applyFont="1" applyBorder="1"/>
    <xf numFmtId="0" fontId="4" fillId="3" borderId="20" xfId="0" applyFont="1" applyFill="1" applyBorder="1"/>
    <xf numFmtId="0" fontId="4" fillId="2" borderId="68" xfId="0" applyFont="1" applyFill="1" applyBorder="1"/>
    <xf numFmtId="0" fontId="9" fillId="2" borderId="69" xfId="0" applyFont="1" applyFill="1" applyBorder="1"/>
    <xf numFmtId="0" fontId="11" fillId="0" borderId="0" xfId="0" applyFont="1"/>
    <xf numFmtId="0" fontId="5" fillId="2" borderId="58" xfId="0" applyFont="1" applyFill="1" applyBorder="1"/>
    <xf numFmtId="0" fontId="4" fillId="2" borderId="56" xfId="0" applyFont="1" applyFill="1" applyBorder="1" applyAlignment="1">
      <alignment horizontal="right"/>
    </xf>
    <xf numFmtId="9" fontId="4" fillId="2" borderId="59" xfId="0" applyNumberFormat="1" applyFont="1" applyFill="1" applyBorder="1" applyAlignment="1">
      <alignment horizontal="left"/>
    </xf>
    <xf numFmtId="0" fontId="4" fillId="2" borderId="58" xfId="0" applyFont="1" applyFill="1" applyBorder="1" applyAlignment="1">
      <alignment horizontal="right"/>
    </xf>
    <xf numFmtId="0" fontId="4" fillId="2" borderId="59" xfId="0" applyFont="1" applyFill="1" applyBorder="1" applyAlignment="1">
      <alignment horizontal="center"/>
    </xf>
    <xf numFmtId="0" fontId="4" fillId="0" borderId="71" xfId="0" applyFont="1" applyBorder="1" applyAlignment="1">
      <alignment horizontal="center" textRotation="90" wrapText="1"/>
    </xf>
    <xf numFmtId="0" fontId="4" fillId="0" borderId="72" xfId="0" applyFont="1" applyBorder="1" applyAlignment="1">
      <alignment horizontal="center" textRotation="90" wrapText="1"/>
    </xf>
    <xf numFmtId="0" fontId="4" fillId="2" borderId="22" xfId="0" quotePrefix="1" applyFont="1" applyFill="1" applyBorder="1" applyAlignment="1">
      <alignment horizontal="center" textRotation="90" wrapText="1"/>
    </xf>
    <xf numFmtId="0" fontId="4" fillId="3" borderId="45" xfId="0" applyFont="1" applyFill="1" applyBorder="1"/>
    <xf numFmtId="0" fontId="4" fillId="4" borderId="39" xfId="0" applyFont="1" applyFill="1" applyBorder="1"/>
    <xf numFmtId="0" fontId="4" fillId="4" borderId="40" xfId="0" applyFont="1" applyFill="1" applyBorder="1"/>
    <xf numFmtId="0" fontId="4" fillId="0" borderId="73" xfId="0" applyFont="1" applyBorder="1"/>
    <xf numFmtId="0" fontId="4" fillId="0" borderId="71" xfId="0" applyFont="1" applyBorder="1"/>
    <xf numFmtId="20" fontId="6" fillId="0" borderId="71" xfId="0" applyNumberFormat="1" applyFont="1" applyBorder="1"/>
    <xf numFmtId="20" fontId="6" fillId="0" borderId="74" xfId="0" applyNumberFormat="1" applyFont="1" applyBorder="1"/>
    <xf numFmtId="0" fontId="4" fillId="2" borderId="57" xfId="0" applyFont="1" applyFill="1" applyBorder="1"/>
    <xf numFmtId="20" fontId="9" fillId="2" borderId="69" xfId="0" applyNumberFormat="1" applyFont="1" applyFill="1" applyBorder="1"/>
    <xf numFmtId="20" fontId="9" fillId="2" borderId="56" xfId="0" applyNumberFormat="1" applyFont="1" applyFill="1" applyBorder="1"/>
    <xf numFmtId="0" fontId="5" fillId="2" borderId="12" xfId="0" applyFont="1" applyFill="1" applyBorder="1"/>
    <xf numFmtId="164" fontId="5" fillId="2" borderId="10" xfId="0" applyNumberFormat="1" applyFont="1" applyFill="1" applyBorder="1"/>
    <xf numFmtId="164" fontId="4" fillId="2" borderId="75" xfId="0" quotePrefix="1" applyNumberFormat="1" applyFont="1" applyFill="1" applyBorder="1" applyAlignment="1">
      <alignment horizontal="center" textRotation="90" wrapText="1"/>
    </xf>
    <xf numFmtId="164" fontId="4" fillId="2" borderId="25" xfId="0" quotePrefix="1" applyNumberFormat="1" applyFont="1" applyFill="1" applyBorder="1" applyAlignment="1">
      <alignment horizontal="center" textRotation="90" wrapText="1"/>
    </xf>
    <xf numFmtId="2" fontId="4" fillId="2" borderId="29" xfId="0" applyNumberFormat="1" applyFont="1" applyFill="1" applyBorder="1"/>
    <xf numFmtId="0" fontId="4" fillId="2" borderId="76" xfId="0" applyFont="1" applyFill="1" applyBorder="1"/>
    <xf numFmtId="20" fontId="4" fillId="2" borderId="12" xfId="0" applyNumberFormat="1" applyFont="1" applyFill="1" applyBorder="1"/>
    <xf numFmtId="20" fontId="4" fillId="2" borderId="15" xfId="0" applyNumberFormat="1" applyFont="1" applyFill="1" applyBorder="1"/>
    <xf numFmtId="20" fontId="4" fillId="2" borderId="9" xfId="0" applyNumberFormat="1" applyFont="1" applyFill="1" applyBorder="1"/>
    <xf numFmtId="20" fontId="4" fillId="2" borderId="13" xfId="0" applyNumberFormat="1" applyFont="1" applyFill="1" applyBorder="1"/>
    <xf numFmtId="20" fontId="4" fillId="2" borderId="16" xfId="0" applyNumberFormat="1" applyFont="1" applyFill="1" applyBorder="1"/>
    <xf numFmtId="0" fontId="4" fillId="3" borderId="39" xfId="0" applyFont="1" applyFill="1" applyBorder="1" applyAlignment="1">
      <alignment horizontal="right"/>
    </xf>
    <xf numFmtId="0" fontId="4" fillId="0" borderId="47" xfId="0" applyFont="1" applyBorder="1"/>
    <xf numFmtId="0" fontId="7" fillId="0" borderId="41" xfId="0" applyFont="1" applyBorder="1"/>
    <xf numFmtId="0" fontId="7" fillId="3" borderId="41" xfId="0" applyFont="1" applyFill="1" applyBorder="1"/>
    <xf numFmtId="20" fontId="7" fillId="0" borderId="0" xfId="0" applyNumberFormat="1" applyFont="1"/>
    <xf numFmtId="0" fontId="4" fillId="2" borderId="77" xfId="0" applyFont="1" applyFill="1" applyBorder="1"/>
    <xf numFmtId="0" fontId="4" fillId="2" borderId="27" xfId="0" applyFont="1" applyFill="1" applyBorder="1"/>
    <xf numFmtId="0" fontId="4" fillId="2" borderId="2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right"/>
    </xf>
    <xf numFmtId="0" fontId="4" fillId="2" borderId="26" xfId="0" applyFont="1" applyFill="1" applyBorder="1" applyAlignment="1">
      <alignment horizontal="left"/>
    </xf>
    <xf numFmtId="0" fontId="6" fillId="2" borderId="26" xfId="0" quotePrefix="1" applyFont="1" applyFill="1" applyBorder="1" applyAlignment="1">
      <alignment horizontal="right"/>
    </xf>
    <xf numFmtId="2" fontId="4" fillId="2" borderId="78" xfId="0" applyNumberFormat="1" applyFont="1" applyFill="1" applyBorder="1" applyAlignment="1">
      <alignment horizontal="left"/>
    </xf>
    <xf numFmtId="0" fontId="4" fillId="2" borderId="20" xfId="0" applyFont="1" applyFill="1" applyBorder="1" applyAlignment="1">
      <alignment horizontal="center" textRotation="90" wrapText="1"/>
    </xf>
    <xf numFmtId="0" fontId="4" fillId="2" borderId="11" xfId="0" applyFont="1" applyFill="1" applyBorder="1"/>
    <xf numFmtId="0" fontId="4" fillId="2" borderId="37" xfId="0" applyFont="1" applyFill="1" applyBorder="1"/>
    <xf numFmtId="2" fontId="4" fillId="2" borderId="79" xfId="0" applyNumberFormat="1" applyFont="1" applyFill="1" applyBorder="1"/>
    <xf numFmtId="0" fontId="4" fillId="2" borderId="10" xfId="0" applyFont="1" applyFill="1" applyBorder="1"/>
    <xf numFmtId="0" fontId="4" fillId="2" borderId="8" xfId="0" applyFont="1" applyFill="1" applyBorder="1"/>
    <xf numFmtId="164" fontId="4" fillId="2" borderId="10" xfId="0" applyNumberFormat="1" applyFont="1" applyFill="1" applyBorder="1"/>
    <xf numFmtId="0" fontId="4" fillId="2" borderId="24" xfId="0" quotePrefix="1" applyFont="1" applyFill="1" applyBorder="1" applyAlignment="1">
      <alignment horizontal="center" textRotation="90" wrapText="1"/>
    </xf>
    <xf numFmtId="20" fontId="6" fillId="3" borderId="80" xfId="0" applyNumberFormat="1" applyFont="1" applyFill="1" applyBorder="1"/>
    <xf numFmtId="20" fontId="6" fillId="3" borderId="81" xfId="0" applyNumberFormat="1" applyFont="1" applyFill="1" applyBorder="1"/>
    <xf numFmtId="20" fontId="6" fillId="0" borderId="82" xfId="0" applyNumberFormat="1" applyFont="1" applyBorder="1"/>
    <xf numFmtId="20" fontId="6" fillId="0" borderId="83" xfId="0" applyNumberFormat="1" applyFont="1" applyBorder="1"/>
    <xf numFmtId="0" fontId="4" fillId="0" borderId="84" xfId="0" applyFont="1" applyBorder="1"/>
    <xf numFmtId="0" fontId="4" fillId="0" borderId="85" xfId="0" applyFont="1" applyBorder="1" applyAlignment="1">
      <alignment horizontal="right"/>
    </xf>
    <xf numFmtId="22" fontId="4" fillId="0" borderId="30" xfId="0" applyNumberFormat="1" applyFont="1" applyBorder="1"/>
    <xf numFmtId="0" fontId="12" fillId="0" borderId="0" xfId="0" applyFont="1"/>
    <xf numFmtId="168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0" fontId="12" fillId="0" borderId="0" xfId="0" applyNumberFormat="1" applyFont="1"/>
    <xf numFmtId="0" fontId="12" fillId="0" borderId="0" xfId="0" applyFont="1" applyAlignment="1">
      <alignment horizontal="right"/>
    </xf>
    <xf numFmtId="2" fontId="12" fillId="0" borderId="0" xfId="0" applyNumberFormat="1" applyFont="1"/>
    <xf numFmtId="1" fontId="12" fillId="0" borderId="0" xfId="0" applyNumberFormat="1" applyFont="1"/>
    <xf numFmtId="14" fontId="12" fillId="0" borderId="0" xfId="0" applyNumberFormat="1" applyFont="1"/>
    <xf numFmtId="167" fontId="12" fillId="0" borderId="0" xfId="0" applyNumberFormat="1" applyFont="1"/>
    <xf numFmtId="168" fontId="12" fillId="0" borderId="0" xfId="0" applyNumberFormat="1" applyFont="1" applyAlignment="1">
      <alignment horizontal="right"/>
    </xf>
    <xf numFmtId="17" fontId="12" fillId="0" borderId="0" xfId="0" applyNumberFormat="1" applyFont="1"/>
    <xf numFmtId="167" fontId="12" fillId="0" borderId="0" xfId="0" applyNumberFormat="1" applyFont="1" applyAlignment="1">
      <alignment horizontal="right"/>
    </xf>
    <xf numFmtId="37" fontId="12" fillId="0" borderId="0" xfId="0" applyNumberFormat="1" applyFont="1"/>
    <xf numFmtId="0" fontId="14" fillId="0" borderId="0" xfId="0" applyFont="1"/>
    <xf numFmtId="17" fontId="4" fillId="2" borderId="6" xfId="0" applyNumberFormat="1" applyFont="1" applyFill="1" applyBorder="1" applyAlignment="1">
      <alignment horizontal="left"/>
    </xf>
    <xf numFmtId="0" fontId="2" fillId="0" borderId="7" xfId="0" applyFont="1" applyBorder="1"/>
    <xf numFmtId="0" fontId="4" fillId="2" borderId="4" xfId="0" applyFont="1" applyFill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right"/>
    </xf>
    <xf numFmtId="0" fontId="4" fillId="2" borderId="6" xfId="0" applyFont="1" applyFill="1" applyBorder="1" applyAlignment="1">
      <alignment horizontal="left"/>
    </xf>
    <xf numFmtId="0" fontId="4" fillId="2" borderId="4" xfId="0" quotePrefix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0" borderId="61" xfId="0" applyFont="1" applyBorder="1"/>
    <xf numFmtId="0" fontId="1" fillId="2" borderId="4" xfId="0" applyFont="1" applyFill="1" applyBorder="1" applyAlignment="1">
      <alignment horizontal="left"/>
    </xf>
    <xf numFmtId="17" fontId="4" fillId="2" borderId="70" xfId="0" applyNumberFormat="1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right"/>
    </xf>
    <xf numFmtId="0" fontId="4" fillId="2" borderId="70" xfId="0" applyFont="1" applyFill="1" applyBorder="1" applyAlignment="1">
      <alignment horizontal="left"/>
    </xf>
    <xf numFmtId="0" fontId="4" fillId="2" borderId="1" xfId="0" quotePrefix="1" applyFont="1" applyFill="1" applyBorder="1" applyAlignment="1">
      <alignment horizontal="right"/>
    </xf>
  </cellXfs>
  <cellStyles count="1">
    <cellStyle name="Standard" xfId="0" builtinId="0"/>
  </cellStyles>
  <dxfs count="25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  <col min="39" max="39" width="11.42578125" customWidth="1"/>
    <col min="40" max="40" width="6.7109375" customWidth="1"/>
    <col min="41" max="41" width="6.42578125" customWidth="1"/>
    <col min="42" max="44" width="11.42578125" customWidth="1"/>
  </cols>
  <sheetData>
    <row r="1" spans="1:44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197" t="s">
        <v>1</v>
      </c>
      <c r="I1" s="192"/>
      <c r="J1" s="198" t="str">
        <f>Summen!B3</f>
        <v>Michael Küng</v>
      </c>
      <c r="K1" s="192"/>
      <c r="L1" s="192"/>
      <c r="M1" s="190"/>
      <c r="N1" s="199" t="s">
        <v>2</v>
      </c>
      <c r="O1" s="192"/>
      <c r="P1" s="189">
        <f>Summen!B27</f>
        <v>46023</v>
      </c>
      <c r="Q1" s="190"/>
      <c r="R1" s="1"/>
      <c r="S1" s="2" t="s">
        <v>3</v>
      </c>
      <c r="T1" s="2"/>
      <c r="U1" s="3">
        <f>Summen!B5</f>
        <v>1</v>
      </c>
      <c r="V1" s="1"/>
      <c r="W1" s="4" t="s">
        <v>4</v>
      </c>
      <c r="X1" s="5">
        <v>1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  <c r="AM1" s="6"/>
      <c r="AN1" s="6"/>
      <c r="AO1" s="6"/>
      <c r="AP1" s="6"/>
      <c r="AQ1" s="6"/>
      <c r="AR1" s="6"/>
    </row>
    <row r="2" spans="1:44" ht="12.75" customHeight="1">
      <c r="A2" s="8"/>
      <c r="B2" s="9"/>
      <c r="C2" s="10" t="s">
        <v>5</v>
      </c>
      <c r="D2" s="11"/>
      <c r="E2" s="12">
        <f>Summen!B18</f>
        <v>10.8</v>
      </c>
      <c r="F2" s="11" t="s">
        <v>6</v>
      </c>
      <c r="G2" s="11"/>
      <c r="H2" s="12">
        <v>0</v>
      </c>
      <c r="I2" s="11" t="s">
        <v>7</v>
      </c>
      <c r="J2" s="13">
        <f>E2-H2</f>
        <v>10.8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5">
        <f>Summen!B14</f>
        <v>0</v>
      </c>
      <c r="V2" s="191" t="s">
        <v>9</v>
      </c>
      <c r="W2" s="192"/>
      <c r="X2" s="190"/>
      <c r="Y2" s="17"/>
      <c r="Z2" s="17"/>
      <c r="AA2" s="17"/>
      <c r="AB2" s="17"/>
      <c r="AC2" s="17"/>
      <c r="AD2" s="17"/>
      <c r="AE2" s="17"/>
      <c r="AF2" s="18"/>
      <c r="AG2" s="1"/>
      <c r="AH2" s="19"/>
      <c r="AI2" s="19"/>
      <c r="AJ2" s="20"/>
      <c r="AK2" s="6"/>
      <c r="AL2" s="7"/>
      <c r="AO2" s="21"/>
    </row>
    <row r="3" spans="1:44" ht="69.75" customHeight="1">
      <c r="A3" s="22" t="s">
        <v>10</v>
      </c>
      <c r="B3" s="23"/>
      <c r="C3" s="24" t="s">
        <v>84</v>
      </c>
      <c r="D3" s="24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35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38" t="s">
        <v>26</v>
      </c>
      <c r="AH3" s="39" t="s">
        <v>27</v>
      </c>
      <c r="AI3" s="39" t="s">
        <v>28</v>
      </c>
      <c r="AJ3" s="40" t="s">
        <v>29</v>
      </c>
      <c r="AK3" s="6"/>
      <c r="AL3" s="41" t="s">
        <v>30</v>
      </c>
    </row>
    <row r="4" spans="1:44" ht="13.5" customHeight="1">
      <c r="A4" s="42">
        <f>P1</f>
        <v>46023</v>
      </c>
      <c r="B4" s="43" t="str">
        <f>IFERROR(VLOOKUP(A4, Feiertage!$B:$C, 2, 0), IF(OR(WEEKDAY(A4,2)=6, WEEKDAY(A4,2)=7), Feiertage!$C$23, ""))</f>
        <v>* * * * * * * * Neujahr * * * * * * * * * * * * * * * * * * * * * * * * * * * * * * * * * * * * * * * * * * * * * * * * * * * *</v>
      </c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61">
        <f>IF(OR(WEEKDAY(A4,2)=6,WEEKDAY(A4,2)=7),0,IFERROR(IF(VLOOKUP(A4,Feiertage!$B:$D,3,0)="ja",0,Summen!$B$9),Summen!$B$9))</f>
        <v>0</v>
      </c>
      <c r="S4" s="47">
        <f t="shared" ref="S4:S34" si="0">SUM(C4:Q4)</f>
        <v>0</v>
      </c>
      <c r="T4" s="47">
        <f t="shared" ref="T4:T34" si="1">S4-R4</f>
        <v>0</v>
      </c>
      <c r="U4" s="48">
        <f>U2+T4</f>
        <v>0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</v>
      </c>
      <c r="AH4" s="47">
        <f t="shared" ref="AH4:AH34" si="3">HOUR(AG4)</f>
        <v>0</v>
      </c>
      <c r="AI4" s="47">
        <f t="shared" ref="AI4:AI34" si="4">MINUTE(AG4)/60</f>
        <v>0</v>
      </c>
      <c r="AJ4" s="48">
        <f t="shared" ref="AJ4:AJ34" si="5">AH4+AI4</f>
        <v>0</v>
      </c>
      <c r="AL4" s="54">
        <f t="shared" ref="AL4:AL35" si="6">SUM(C4:Q4)-AJ4</f>
        <v>0</v>
      </c>
      <c r="AN4" s="55"/>
      <c r="AQ4" s="55"/>
    </row>
    <row r="5" spans="1:44" ht="13.5" customHeight="1">
      <c r="A5" s="56">
        <f t="shared" ref="A5:A34" si="7">A4+1</f>
        <v>46024</v>
      </c>
      <c r="B5" s="57" t="str">
        <f>IFERROR(VLOOKUP(A5, Feiertage!$B:$C, 2, 0), IF(OR(WEEKDAY(A5,2)=6, WEEKDAY(A5,2)=7), Feiertage!$C$23, ""))</f>
        <v/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v>0</v>
      </c>
      <c r="S5" s="62">
        <f t="shared" si="0"/>
        <v>0</v>
      </c>
      <c r="T5" s="62">
        <f t="shared" si="1"/>
        <v>0</v>
      </c>
      <c r="U5" s="63">
        <f t="shared" ref="U5:U34" si="8">U4+T5</f>
        <v>0</v>
      </c>
      <c r="V5" s="59"/>
      <c r="W5" s="64"/>
      <c r="X5" s="65">
        <f>V5+W5*Summen!$B$44</f>
        <v>0</v>
      </c>
      <c r="Y5" s="66"/>
      <c r="Z5" s="67"/>
      <c r="AA5" s="67"/>
      <c r="AB5" s="67"/>
      <c r="AC5" s="67"/>
      <c r="AD5" s="67"/>
      <c r="AE5" s="67"/>
      <c r="AF5" s="68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  <c r="AQ5" s="55"/>
    </row>
    <row r="6" spans="1:44" ht="13.5" customHeight="1">
      <c r="A6" s="56">
        <f t="shared" si="7"/>
        <v>46025</v>
      </c>
      <c r="B6" s="70" t="str">
        <f>IFERROR(VLOOKUP(A6, Feiertage!$B:$C, 2, 0), IF(OR(WEEKDAY(A6,2)=6, WEEKDAY(A6,2)=7), Feiertage!$C$23, ""))</f>
        <v>* * * * * * * * Wochenende * * * * * * * * * * * * * * * * * * * * * * * * * * * * * * * * * * * * * * * * * * * * * * * *</v>
      </c>
      <c r="C6" s="71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0</v>
      </c>
      <c r="S6" s="62">
        <f t="shared" si="0"/>
        <v>0</v>
      </c>
      <c r="T6" s="62">
        <f t="shared" si="1"/>
        <v>0</v>
      </c>
      <c r="U6" s="63">
        <f t="shared" si="8"/>
        <v>0</v>
      </c>
      <c r="V6" s="45"/>
      <c r="W6" s="49"/>
      <c r="X6" s="65">
        <f>V6+W6*Summen!$B$44</f>
        <v>0</v>
      </c>
      <c r="Y6" s="72"/>
      <c r="Z6" s="73"/>
      <c r="AA6" s="73"/>
      <c r="AB6" s="73"/>
      <c r="AC6" s="73"/>
      <c r="AD6" s="73"/>
      <c r="AE6" s="73"/>
      <c r="AF6" s="74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  <c r="AQ6" s="55"/>
    </row>
    <row r="7" spans="1:44" ht="13.5" customHeight="1">
      <c r="A7" s="56">
        <f t="shared" si="7"/>
        <v>46026</v>
      </c>
      <c r="B7" s="75" t="str">
        <f>IFERROR(VLOOKUP(A7, Feiertage!$B:$C, 2, 0), IF(OR(WEEKDAY(A7,2)=6, WEEKDAY(A7,2)=7), Feiertage!$C$23, ""))</f>
        <v>* * * * * * * * Wochenende * * * * * * * * * * * * * * * * * * * * * * * * * * * * * * * * * * * * * * * * * * * * * * * *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0</v>
      </c>
      <c r="S7" s="62">
        <f t="shared" si="0"/>
        <v>0</v>
      </c>
      <c r="T7" s="62">
        <f t="shared" si="1"/>
        <v>0</v>
      </c>
      <c r="U7" s="63">
        <f t="shared" si="8"/>
        <v>0</v>
      </c>
      <c r="V7" s="59"/>
      <c r="W7" s="64"/>
      <c r="X7" s="65">
        <f>V7+W7*Summen!$B$44</f>
        <v>0</v>
      </c>
      <c r="Y7" s="66"/>
      <c r="Z7" s="67"/>
      <c r="AA7" s="67"/>
      <c r="AB7" s="67"/>
      <c r="AC7" s="67"/>
      <c r="AD7" s="67"/>
      <c r="AE7" s="67"/>
      <c r="AF7" s="68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  <c r="AQ7" s="55"/>
    </row>
    <row r="8" spans="1:44" ht="13.5" customHeight="1">
      <c r="A8" s="56">
        <f t="shared" si="7"/>
        <v>46027</v>
      </c>
      <c r="B8" s="70" t="str">
        <f>IFERROR(VLOOKUP(A8, Feiertage!$B:$C, 2, 0), IF(OR(WEEKDAY(A8,2)=6, WEEKDAY(A8,2)=7), Feiertage!$C$23, ""))</f>
        <v/>
      </c>
      <c r="C8" s="44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v>0</v>
      </c>
      <c r="S8" s="62">
        <f t="shared" si="0"/>
        <v>0</v>
      </c>
      <c r="T8" s="62">
        <f t="shared" si="1"/>
        <v>0</v>
      </c>
      <c r="U8" s="63">
        <f t="shared" si="8"/>
        <v>0</v>
      </c>
      <c r="V8" s="45"/>
      <c r="W8" s="49"/>
      <c r="X8" s="65">
        <f>V8+W8*Summen!$B$44</f>
        <v>0</v>
      </c>
      <c r="Y8" s="72"/>
      <c r="Z8" s="73"/>
      <c r="AA8" s="73"/>
      <c r="AB8" s="73"/>
      <c r="AC8" s="73"/>
      <c r="AD8" s="73"/>
      <c r="AE8" s="73"/>
      <c r="AF8" s="74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  <c r="AQ8" s="55"/>
    </row>
    <row r="9" spans="1:44" ht="13.5" customHeight="1">
      <c r="A9" s="56">
        <f t="shared" si="7"/>
        <v>46028</v>
      </c>
      <c r="B9" s="57" t="str">
        <f>IFERROR(VLOOKUP(A9, Feiertage!$B:$C, 2, 0), IF(OR(WEEKDAY(A9,2)=6, WEEKDAY(A9,2)=7), Feiertage!$C$23, ""))</f>
        <v/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v>0</v>
      </c>
      <c r="S9" s="62">
        <f t="shared" si="0"/>
        <v>0</v>
      </c>
      <c r="T9" s="62">
        <f t="shared" si="1"/>
        <v>0</v>
      </c>
      <c r="U9" s="63">
        <f t="shared" si="8"/>
        <v>0</v>
      </c>
      <c r="V9" s="59"/>
      <c r="W9" s="64"/>
      <c r="X9" s="65">
        <f>V9+W9*Summen!$B$44</f>
        <v>0</v>
      </c>
      <c r="Y9" s="66"/>
      <c r="Z9" s="67"/>
      <c r="AA9" s="67"/>
      <c r="AB9" s="67"/>
      <c r="AC9" s="67"/>
      <c r="AD9" s="67"/>
      <c r="AE9" s="67"/>
      <c r="AF9" s="68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  <c r="AQ9" s="55"/>
    </row>
    <row r="10" spans="1:44" ht="13.5" customHeight="1">
      <c r="A10" s="56">
        <f t="shared" si="7"/>
        <v>46029</v>
      </c>
      <c r="B10" s="70" t="str">
        <f>IFERROR(VLOOKUP(A10, Feiertage!$B:$C, 2, 0), IF(OR(WEEKDAY(A10,2)=6, WEEKDAY(A10,2)=7), Feiertage!$C$23, ""))</f>
        <v/>
      </c>
      <c r="C10" s="71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v>0</v>
      </c>
      <c r="S10" s="62">
        <f t="shared" si="0"/>
        <v>0</v>
      </c>
      <c r="T10" s="62">
        <f t="shared" si="1"/>
        <v>0</v>
      </c>
      <c r="U10" s="63">
        <f t="shared" si="8"/>
        <v>0</v>
      </c>
      <c r="V10" s="45"/>
      <c r="W10" s="49"/>
      <c r="X10" s="65">
        <f>V10+W10*Summen!$B$44</f>
        <v>0</v>
      </c>
      <c r="Y10" s="72"/>
      <c r="Z10" s="73"/>
      <c r="AA10" s="73"/>
      <c r="AB10" s="73"/>
      <c r="AC10" s="73"/>
      <c r="AD10" s="73"/>
      <c r="AE10" s="73"/>
      <c r="AF10" s="74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  <c r="AQ10" s="55"/>
    </row>
    <row r="11" spans="1:44" ht="13.5" customHeight="1">
      <c r="A11" s="56">
        <f t="shared" si="7"/>
        <v>46030</v>
      </c>
      <c r="B11" s="57" t="str">
        <f>IFERROR(VLOOKUP(A11, Feiertage!$B:$C, 2, 0), IF(OR(WEEKDAY(A11,2)=6, WEEKDAY(A11,2)=7), Feiertage!$C$23, ""))</f>
        <v/>
      </c>
      <c r="C11" s="5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v>0</v>
      </c>
      <c r="S11" s="62">
        <f t="shared" si="0"/>
        <v>0</v>
      </c>
      <c r="T11" s="62">
        <f t="shared" si="1"/>
        <v>0</v>
      </c>
      <c r="U11" s="63">
        <f t="shared" si="8"/>
        <v>0</v>
      </c>
      <c r="V11" s="59"/>
      <c r="W11" s="64"/>
      <c r="X11" s="65">
        <f>V11+W11*Summen!$B$44</f>
        <v>0</v>
      </c>
      <c r="Y11" s="66"/>
      <c r="Z11" s="67"/>
      <c r="AA11" s="67"/>
      <c r="AB11" s="67"/>
      <c r="AC11" s="67"/>
      <c r="AD11" s="67"/>
      <c r="AE11" s="67"/>
      <c r="AF11" s="68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  <c r="AQ11" s="55"/>
    </row>
    <row r="12" spans="1:44" ht="13.5" customHeight="1">
      <c r="A12" s="56">
        <f t="shared" si="7"/>
        <v>46031</v>
      </c>
      <c r="B12" s="77" t="str">
        <f>IFERROR(VLOOKUP(A12, Feiertage!$B:$C, 2, 0), IF(OR(WEEKDAY(A12,2)=6, WEEKDAY(A12,2)=7), Feiertage!$C$23, ""))</f>
        <v/>
      </c>
      <c r="C12" s="44"/>
      <c r="D12" s="78"/>
      <c r="E12" s="78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v>0</v>
      </c>
      <c r="S12" s="62">
        <f t="shared" si="0"/>
        <v>0</v>
      </c>
      <c r="T12" s="62">
        <f t="shared" si="1"/>
        <v>0</v>
      </c>
      <c r="U12" s="63">
        <f t="shared" si="8"/>
        <v>0</v>
      </c>
      <c r="V12" s="45"/>
      <c r="W12" s="49"/>
      <c r="X12" s="65">
        <f>V12+W12*Summen!$B$44</f>
        <v>0</v>
      </c>
      <c r="Y12" s="72"/>
      <c r="Z12" s="73"/>
      <c r="AA12" s="73"/>
      <c r="AB12" s="73"/>
      <c r="AC12" s="73"/>
      <c r="AD12" s="73"/>
      <c r="AE12" s="73"/>
      <c r="AF12" s="74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  <c r="AQ12" s="55"/>
    </row>
    <row r="13" spans="1:44" ht="13.5" customHeight="1">
      <c r="A13" s="56">
        <f t="shared" si="7"/>
        <v>46032</v>
      </c>
      <c r="B13" s="75" t="str">
        <f>IFERROR(VLOOKUP(A13, Feiertage!$B:$C, 2, 0), IF(OR(WEEKDAY(A13,2)=6, WEEKDAY(A13,2)=7), Feiertage!$C$23, ""))</f>
        <v>* * * * * * * * Wochenende * * * * * * * * * * * * * * * * * * * * * * * * * * * * * * * * * * * * * * * * * * * * * * * *</v>
      </c>
      <c r="C13" s="58"/>
      <c r="D13" s="7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0</v>
      </c>
      <c r="S13" s="62">
        <f t="shared" si="0"/>
        <v>0</v>
      </c>
      <c r="T13" s="62">
        <f t="shared" si="1"/>
        <v>0</v>
      </c>
      <c r="U13" s="63">
        <f t="shared" si="8"/>
        <v>0</v>
      </c>
      <c r="V13" s="59"/>
      <c r="W13" s="64"/>
      <c r="X13" s="65">
        <f>V13+W13*Summen!$B$44</f>
        <v>0</v>
      </c>
      <c r="Y13" s="66"/>
      <c r="Z13" s="67"/>
      <c r="AA13" s="67"/>
      <c r="AB13" s="67"/>
      <c r="AC13" s="67"/>
      <c r="AD13" s="67"/>
      <c r="AE13" s="67"/>
      <c r="AF13" s="68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  <c r="AQ13" s="55"/>
    </row>
    <row r="14" spans="1:44" ht="13.5" customHeight="1">
      <c r="A14" s="56">
        <f t="shared" si="7"/>
        <v>46033</v>
      </c>
      <c r="B14" s="77" t="str">
        <f>IFERROR(VLOOKUP(A14, Feiertage!$B:$C, 2, 0), IF(OR(WEEKDAY(A14,2)=6, WEEKDAY(A14,2)=7), Feiertage!$C$23, ""))</f>
        <v>* * * * * * * * Wochenende * * * * * * * * * * * * * * * * * * * * * * * * * * * * * * * * * * * * * * * * * * * * * * * *</v>
      </c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0</v>
      </c>
      <c r="S14" s="62">
        <f t="shared" si="0"/>
        <v>0</v>
      </c>
      <c r="T14" s="62">
        <f t="shared" si="1"/>
        <v>0</v>
      </c>
      <c r="U14" s="63">
        <f t="shared" si="8"/>
        <v>0</v>
      </c>
      <c r="V14" s="45"/>
      <c r="W14" s="49"/>
      <c r="X14" s="65">
        <f>V14+W14*Summen!$B$44</f>
        <v>0</v>
      </c>
      <c r="Y14" s="72"/>
      <c r="Z14" s="73"/>
      <c r="AA14" s="73"/>
      <c r="AB14" s="73"/>
      <c r="AC14" s="73"/>
      <c r="AD14" s="73"/>
      <c r="AE14" s="73"/>
      <c r="AF14" s="74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  <c r="AQ14" s="55"/>
    </row>
    <row r="15" spans="1:44" ht="13.5" customHeight="1">
      <c r="A15" s="56">
        <f t="shared" si="7"/>
        <v>46034</v>
      </c>
      <c r="B15" s="75" t="str">
        <f>IFERROR(VLOOKUP(A15, Feiertage!$B:$C, 2, 0), IF(OR(WEEKDAY(A15,2)=6, WEEKDAY(A15,2)=7), Feiertage!$C$23, ""))</f>
        <v/>
      </c>
      <c r="C15" s="5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v>0</v>
      </c>
      <c r="S15" s="62">
        <f t="shared" si="0"/>
        <v>0</v>
      </c>
      <c r="T15" s="62">
        <f t="shared" si="1"/>
        <v>0</v>
      </c>
      <c r="U15" s="63">
        <f t="shared" si="8"/>
        <v>0</v>
      </c>
      <c r="V15" s="59"/>
      <c r="W15" s="64"/>
      <c r="X15" s="65">
        <f>V15+W15*Summen!$B$44</f>
        <v>0</v>
      </c>
      <c r="Y15" s="66"/>
      <c r="Z15" s="67"/>
      <c r="AA15" s="67"/>
      <c r="AB15" s="67"/>
      <c r="AC15" s="67"/>
      <c r="AD15" s="67"/>
      <c r="AE15" s="67"/>
      <c r="AF15" s="68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  <c r="AQ15" s="55"/>
    </row>
    <row r="16" spans="1:44" ht="13.5" customHeight="1">
      <c r="A16" s="56">
        <f t="shared" si="7"/>
        <v>46035</v>
      </c>
      <c r="B16" s="77" t="str">
        <f>IFERROR(VLOOKUP(A16, Feiertage!$B:$C, 2, 0), IF(OR(WEEKDAY(A16,2)=6, WEEKDAY(A16,2)=7), Feiertage!$C$23, ""))</f>
        <v/>
      </c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v>0</v>
      </c>
      <c r="S16" s="62">
        <f t="shared" si="0"/>
        <v>0</v>
      </c>
      <c r="T16" s="62">
        <f t="shared" si="1"/>
        <v>0</v>
      </c>
      <c r="U16" s="63">
        <f t="shared" si="8"/>
        <v>0</v>
      </c>
      <c r="V16" s="45"/>
      <c r="W16" s="49"/>
      <c r="X16" s="65">
        <f>V16+W16*Summen!$B$44</f>
        <v>0</v>
      </c>
      <c r="Y16" s="72"/>
      <c r="Z16" s="73"/>
      <c r="AA16" s="73"/>
      <c r="AB16" s="73"/>
      <c r="AC16" s="73"/>
      <c r="AD16" s="73"/>
      <c r="AE16" s="73"/>
      <c r="AF16" s="74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  <c r="AQ16" s="55"/>
    </row>
    <row r="17" spans="1:43" ht="13.5" customHeight="1">
      <c r="A17" s="56">
        <f t="shared" si="7"/>
        <v>46036</v>
      </c>
      <c r="B17" s="75" t="str">
        <f>IFERROR(VLOOKUP(A17, Feiertage!$B:$C, 2, 0), IF(OR(WEEKDAY(A17,2)=6, WEEKDAY(A17,2)=7), Feiertage!$C$23, ""))</f>
        <v/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v>0</v>
      </c>
      <c r="S17" s="62">
        <f t="shared" si="0"/>
        <v>0</v>
      </c>
      <c r="T17" s="62">
        <f t="shared" si="1"/>
        <v>0</v>
      </c>
      <c r="U17" s="63">
        <f t="shared" si="8"/>
        <v>0</v>
      </c>
      <c r="V17" s="59"/>
      <c r="W17" s="64"/>
      <c r="X17" s="65">
        <f>V17+W17*Summen!$B$44</f>
        <v>0</v>
      </c>
      <c r="Y17" s="66"/>
      <c r="Z17" s="67"/>
      <c r="AA17" s="67"/>
      <c r="AB17" s="67"/>
      <c r="AC17" s="67"/>
      <c r="AD17" s="67"/>
      <c r="AE17" s="67"/>
      <c r="AF17" s="68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  <c r="AQ17" s="55"/>
    </row>
    <row r="18" spans="1:43" ht="13.5" customHeight="1">
      <c r="A18" s="56">
        <f t="shared" si="7"/>
        <v>46037</v>
      </c>
      <c r="B18" s="77" t="str">
        <f>IFERROR(VLOOKUP(A18, Feiertage!$B:$C, 2, 0), IF(OR(WEEKDAY(A18,2)=6, WEEKDAY(A18,2)=7), Feiertage!$C$23, ""))</f>
        <v/>
      </c>
      <c r="C18" s="44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v>0</v>
      </c>
      <c r="S18" s="62">
        <f t="shared" si="0"/>
        <v>0</v>
      </c>
      <c r="T18" s="62">
        <f t="shared" si="1"/>
        <v>0</v>
      </c>
      <c r="U18" s="63">
        <f t="shared" si="8"/>
        <v>0</v>
      </c>
      <c r="V18" s="45"/>
      <c r="W18" s="49"/>
      <c r="X18" s="65">
        <f>V18+W18*Summen!$B$44</f>
        <v>0</v>
      </c>
      <c r="Y18" s="72"/>
      <c r="Z18" s="73"/>
      <c r="AA18" s="73"/>
      <c r="AB18" s="73"/>
      <c r="AC18" s="73"/>
      <c r="AD18" s="73"/>
      <c r="AE18" s="73"/>
      <c r="AF18" s="74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  <c r="AQ18" s="55"/>
    </row>
    <row r="19" spans="1:43" ht="13.5" customHeight="1">
      <c r="A19" s="56">
        <f t="shared" si="7"/>
        <v>46038</v>
      </c>
      <c r="B19" s="75" t="str">
        <f>IFERROR(VLOOKUP(A19, Feiertage!$B:$C, 2, 0), IF(OR(WEEKDAY(A19,2)=6, WEEKDAY(A19,2)=7), Feiertage!$C$23, ""))</f>
        <v/>
      </c>
      <c r="C19" s="5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v>0</v>
      </c>
      <c r="S19" s="62">
        <f t="shared" si="0"/>
        <v>0</v>
      </c>
      <c r="T19" s="62">
        <f t="shared" si="1"/>
        <v>0</v>
      </c>
      <c r="U19" s="63">
        <f t="shared" si="8"/>
        <v>0</v>
      </c>
      <c r="V19" s="59"/>
      <c r="W19" s="64"/>
      <c r="X19" s="65">
        <f>V19+W19*Summen!$B$44</f>
        <v>0</v>
      </c>
      <c r="Y19" s="66"/>
      <c r="Z19" s="67"/>
      <c r="AA19" s="67"/>
      <c r="AB19" s="67"/>
      <c r="AC19" s="67"/>
      <c r="AD19" s="67"/>
      <c r="AE19" s="67"/>
      <c r="AF19" s="68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  <c r="AQ19" s="55"/>
    </row>
    <row r="20" spans="1:43" ht="13.5" customHeight="1">
      <c r="A20" s="56">
        <f t="shared" si="7"/>
        <v>46039</v>
      </c>
      <c r="B20" s="77" t="str">
        <f>IFERROR(VLOOKUP(A20, Feiertage!$B:$C, 2, 0), IF(OR(WEEKDAY(A20,2)=6, WEEKDAY(A20,2)=7), Feiertage!$C$23, ""))</f>
        <v>* * * * * * * * Wochenende * * * * * * * * * * * * * * * * * * * * * * * * * * * * * * * * * * * * * * * * * * * * * * * *</v>
      </c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0</v>
      </c>
      <c r="S20" s="62">
        <f t="shared" si="0"/>
        <v>0</v>
      </c>
      <c r="T20" s="62">
        <f t="shared" si="1"/>
        <v>0</v>
      </c>
      <c r="U20" s="63">
        <f t="shared" si="8"/>
        <v>0</v>
      </c>
      <c r="V20" s="45"/>
      <c r="W20" s="49"/>
      <c r="X20" s="65">
        <f>V20+W20*Summen!$B$44</f>
        <v>0</v>
      </c>
      <c r="Y20" s="72"/>
      <c r="Z20" s="73"/>
      <c r="AA20" s="73"/>
      <c r="AB20" s="73"/>
      <c r="AC20" s="73"/>
      <c r="AD20" s="73"/>
      <c r="AE20" s="73"/>
      <c r="AF20" s="74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  <c r="AQ20" s="55"/>
    </row>
    <row r="21" spans="1:43" ht="13.5" customHeight="1">
      <c r="A21" s="56">
        <f t="shared" si="7"/>
        <v>46040</v>
      </c>
      <c r="B21" s="75" t="str">
        <f>IFERROR(VLOOKUP(A21, Feiertage!$B:$C, 2, 0), IF(OR(WEEKDAY(A21,2)=6, WEEKDAY(A21,2)=7), Feiertage!$C$23, ""))</f>
        <v>* * * * * * * * Wochenende * * * * * * * * * * * * * * * * * * * * * * * * * * * * * * * * * * * * * * * * * * * * * * * *</v>
      </c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0</v>
      </c>
      <c r="S21" s="62">
        <f t="shared" si="0"/>
        <v>0</v>
      </c>
      <c r="T21" s="62">
        <f t="shared" si="1"/>
        <v>0</v>
      </c>
      <c r="U21" s="63">
        <f t="shared" si="8"/>
        <v>0</v>
      </c>
      <c r="V21" s="59"/>
      <c r="W21" s="64"/>
      <c r="X21" s="65">
        <f>V21+W21*Summen!$B$44</f>
        <v>0</v>
      </c>
      <c r="Y21" s="66"/>
      <c r="Z21" s="67"/>
      <c r="AA21" s="67"/>
      <c r="AB21" s="67"/>
      <c r="AC21" s="67"/>
      <c r="AD21" s="67"/>
      <c r="AE21" s="67"/>
      <c r="AF21" s="68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  <c r="AQ21" s="55"/>
    </row>
    <row r="22" spans="1:43" ht="13.5" customHeight="1">
      <c r="A22" s="56">
        <f t="shared" si="7"/>
        <v>46041</v>
      </c>
      <c r="B22" s="77" t="str">
        <f>IFERROR(VLOOKUP(A22, Feiertage!$B:$C, 2, 0), IF(OR(WEEKDAY(A22,2)=6, WEEKDAY(A22,2)=7), Feiertage!$C$23, ""))</f>
        <v/>
      </c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v>0</v>
      </c>
      <c r="S22" s="62">
        <f t="shared" si="0"/>
        <v>0</v>
      </c>
      <c r="T22" s="62">
        <f t="shared" si="1"/>
        <v>0</v>
      </c>
      <c r="U22" s="63">
        <f t="shared" si="8"/>
        <v>0</v>
      </c>
      <c r="V22" s="45"/>
      <c r="W22" s="49"/>
      <c r="X22" s="65">
        <f>V22+W22*Summen!$B$44</f>
        <v>0</v>
      </c>
      <c r="Y22" s="72"/>
      <c r="Z22" s="73"/>
      <c r="AA22" s="73"/>
      <c r="AB22" s="73"/>
      <c r="AC22" s="73"/>
      <c r="AD22" s="73"/>
      <c r="AE22" s="73"/>
      <c r="AF22" s="74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  <c r="AQ22" s="55"/>
    </row>
    <row r="23" spans="1:43" ht="13.5" customHeight="1">
      <c r="A23" s="56">
        <f t="shared" si="7"/>
        <v>46042</v>
      </c>
      <c r="B23" s="75" t="str">
        <f>IFERROR(VLOOKUP(A23, Feiertage!$B:$C, 2, 0), IF(OR(WEEKDAY(A23,2)=6, WEEKDAY(A23,2)=7), Feiertage!$C$23, ""))</f>
        <v/>
      </c>
      <c r="C23" s="5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v>0</v>
      </c>
      <c r="S23" s="62">
        <f t="shared" si="0"/>
        <v>0</v>
      </c>
      <c r="T23" s="62">
        <f t="shared" si="1"/>
        <v>0</v>
      </c>
      <c r="U23" s="63">
        <f t="shared" si="8"/>
        <v>0</v>
      </c>
      <c r="V23" s="59"/>
      <c r="W23" s="64"/>
      <c r="X23" s="65">
        <f>V23+W23*Summen!$B$44</f>
        <v>0</v>
      </c>
      <c r="Y23" s="66"/>
      <c r="Z23" s="67"/>
      <c r="AA23" s="67"/>
      <c r="AB23" s="67"/>
      <c r="AC23" s="67"/>
      <c r="AD23" s="67"/>
      <c r="AE23" s="67"/>
      <c r="AF23" s="68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  <c r="AQ23" s="55"/>
    </row>
    <row r="24" spans="1:43" ht="13.5" customHeight="1">
      <c r="A24" s="56">
        <f t="shared" si="7"/>
        <v>46043</v>
      </c>
      <c r="B24" s="77" t="str">
        <f>IFERROR(VLOOKUP(A24, Feiertage!$B:$C, 2, 0), IF(OR(WEEKDAY(A24,2)=6, WEEKDAY(A24,2)=7), Feiertage!$C$23, ""))</f>
        <v/>
      </c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v>0</v>
      </c>
      <c r="S24" s="62">
        <f t="shared" si="0"/>
        <v>0</v>
      </c>
      <c r="T24" s="62">
        <f t="shared" si="1"/>
        <v>0</v>
      </c>
      <c r="U24" s="63">
        <f t="shared" si="8"/>
        <v>0</v>
      </c>
      <c r="V24" s="45"/>
      <c r="W24" s="49"/>
      <c r="X24" s="65">
        <f>V24+W24*Summen!$B$44</f>
        <v>0</v>
      </c>
      <c r="Y24" s="72"/>
      <c r="Z24" s="73"/>
      <c r="AA24" s="73"/>
      <c r="AB24" s="73"/>
      <c r="AC24" s="73"/>
      <c r="AD24" s="73"/>
      <c r="AE24" s="73"/>
      <c r="AF24" s="74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  <c r="AQ24" s="55"/>
    </row>
    <row r="25" spans="1:43" ht="13.5" customHeight="1">
      <c r="A25" s="56">
        <f t="shared" si="7"/>
        <v>46044</v>
      </c>
      <c r="B25" s="75" t="str">
        <f>IFERROR(VLOOKUP(A25, Feiertage!$B:$C, 2, 0), IF(OR(WEEKDAY(A25,2)=6, WEEKDAY(A25,2)=7), Feiertage!$C$23, ""))</f>
        <v/>
      </c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v>0</v>
      </c>
      <c r="S25" s="62">
        <f t="shared" si="0"/>
        <v>0</v>
      </c>
      <c r="T25" s="62">
        <f t="shared" si="1"/>
        <v>0</v>
      </c>
      <c r="U25" s="63">
        <f t="shared" si="8"/>
        <v>0</v>
      </c>
      <c r="V25" s="59"/>
      <c r="W25" s="64"/>
      <c r="X25" s="65">
        <f>V25+W25*Summen!$B$44</f>
        <v>0</v>
      </c>
      <c r="Y25" s="66"/>
      <c r="Z25" s="67"/>
      <c r="AA25" s="67"/>
      <c r="AB25" s="67"/>
      <c r="AC25" s="67"/>
      <c r="AD25" s="67"/>
      <c r="AE25" s="67"/>
      <c r="AF25" s="68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  <c r="AQ25" s="55"/>
    </row>
    <row r="26" spans="1:43" ht="13.5" customHeight="1">
      <c r="A26" s="56">
        <f t="shared" si="7"/>
        <v>46045</v>
      </c>
      <c r="B26" s="77" t="str">
        <f>IFERROR(VLOOKUP(A26, Feiertage!$B:$C, 2, 0), IF(OR(WEEKDAY(A26,2)=6, WEEKDAY(A26,2)=7), Feiertage!$C$23, ""))</f>
        <v/>
      </c>
      <c r="C26" s="4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v>0</v>
      </c>
      <c r="S26" s="62">
        <f t="shared" si="0"/>
        <v>0</v>
      </c>
      <c r="T26" s="62">
        <f t="shared" si="1"/>
        <v>0</v>
      </c>
      <c r="U26" s="63">
        <f t="shared" si="8"/>
        <v>0</v>
      </c>
      <c r="V26" s="45"/>
      <c r="W26" s="49"/>
      <c r="X26" s="65">
        <f>V26+W26*Summen!$B$44</f>
        <v>0</v>
      </c>
      <c r="Y26" s="72"/>
      <c r="Z26" s="73"/>
      <c r="AA26" s="73"/>
      <c r="AB26" s="73"/>
      <c r="AC26" s="73"/>
      <c r="AD26" s="73"/>
      <c r="AE26" s="73"/>
      <c r="AF26" s="74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  <c r="AQ26" s="55"/>
    </row>
    <row r="27" spans="1:43" ht="13.5" customHeight="1">
      <c r="A27" s="56">
        <f t="shared" si="7"/>
        <v>46046</v>
      </c>
      <c r="B27" s="75" t="str">
        <f>IFERROR(VLOOKUP(A27, Feiertage!$B:$C, 2, 0), IF(OR(WEEKDAY(A27,2)=6, WEEKDAY(A27,2)=7), Feiertage!$C$23, ""))</f>
        <v>* * * * * * * * Wochenende * * * * * * * * * * * * * * * * * * * * * * * * * * * * * * * * * * * * * * * * * * * * * * * *</v>
      </c>
      <c r="C27" s="5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0</v>
      </c>
      <c r="S27" s="62">
        <f t="shared" si="0"/>
        <v>0</v>
      </c>
      <c r="T27" s="62">
        <f t="shared" si="1"/>
        <v>0</v>
      </c>
      <c r="U27" s="63">
        <f t="shared" si="8"/>
        <v>0</v>
      </c>
      <c r="V27" s="59"/>
      <c r="W27" s="64"/>
      <c r="X27" s="65">
        <f>V27+W27*Summen!$B$44</f>
        <v>0</v>
      </c>
      <c r="Y27" s="66"/>
      <c r="Z27" s="67"/>
      <c r="AA27" s="67"/>
      <c r="AB27" s="67"/>
      <c r="AC27" s="67"/>
      <c r="AD27" s="67"/>
      <c r="AE27" s="67"/>
      <c r="AF27" s="68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  <c r="AQ27" s="55"/>
    </row>
    <row r="28" spans="1:43" ht="13.5" customHeight="1">
      <c r="A28" s="56">
        <f t="shared" si="7"/>
        <v>46047</v>
      </c>
      <c r="B28" s="77" t="str">
        <f>IFERROR(VLOOKUP(A28, Feiertage!$B:$C, 2, 0), IF(OR(WEEKDAY(A28,2)=6, WEEKDAY(A28,2)=7), Feiertage!$C$23, ""))</f>
        <v>* * * * * * * * Wochenende * * * * * * * * * * * * * * * * * * * * * * * * * * * * * * * * * * * * * * * * * * * * * * * *</v>
      </c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0</v>
      </c>
      <c r="S28" s="62">
        <f t="shared" si="0"/>
        <v>0</v>
      </c>
      <c r="T28" s="62">
        <f t="shared" si="1"/>
        <v>0</v>
      </c>
      <c r="U28" s="63">
        <f t="shared" si="8"/>
        <v>0</v>
      </c>
      <c r="V28" s="45"/>
      <c r="W28" s="49"/>
      <c r="X28" s="65">
        <f>V28+W28*Summen!$B$44</f>
        <v>0</v>
      </c>
      <c r="Y28" s="72"/>
      <c r="Z28" s="73"/>
      <c r="AA28" s="73"/>
      <c r="AB28" s="73"/>
      <c r="AC28" s="73"/>
      <c r="AD28" s="73"/>
      <c r="AE28" s="73"/>
      <c r="AF28" s="74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  <c r="AQ28" s="55"/>
    </row>
    <row r="29" spans="1:43" ht="13.5" customHeight="1">
      <c r="A29" s="56">
        <f t="shared" si="7"/>
        <v>46048</v>
      </c>
      <c r="B29" s="75" t="str">
        <f>IFERROR(VLOOKUP(A29, Feiertage!$B:$C, 2, 0), IF(OR(WEEKDAY(A29,2)=6, WEEKDAY(A29,2)=7), Feiertage!$C$23, ""))</f>
        <v/>
      </c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v>0</v>
      </c>
      <c r="S29" s="62">
        <f t="shared" si="0"/>
        <v>0</v>
      </c>
      <c r="T29" s="62">
        <f t="shared" si="1"/>
        <v>0</v>
      </c>
      <c r="U29" s="63">
        <f t="shared" si="8"/>
        <v>0</v>
      </c>
      <c r="V29" s="59"/>
      <c r="W29" s="64"/>
      <c r="X29" s="65">
        <f>V29+W29*Summen!$B$44</f>
        <v>0</v>
      </c>
      <c r="Y29" s="66"/>
      <c r="Z29" s="67"/>
      <c r="AA29" s="67"/>
      <c r="AB29" s="67"/>
      <c r="AC29" s="67"/>
      <c r="AD29" s="67"/>
      <c r="AE29" s="67"/>
      <c r="AF29" s="68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  <c r="AQ29" s="55"/>
    </row>
    <row r="30" spans="1:43" ht="13.5" customHeight="1">
      <c r="A30" s="56">
        <f t="shared" si="7"/>
        <v>46049</v>
      </c>
      <c r="B30" s="77" t="str">
        <f>IFERROR(VLOOKUP(A30, Feiertage!$B:$C, 2, 0), IF(OR(WEEKDAY(A30,2)=6, WEEKDAY(A30,2)=7), Feiertage!$C$23, ""))</f>
        <v/>
      </c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v>0</v>
      </c>
      <c r="S30" s="62">
        <f t="shared" si="0"/>
        <v>0</v>
      </c>
      <c r="T30" s="62">
        <f t="shared" si="1"/>
        <v>0</v>
      </c>
      <c r="U30" s="63">
        <f t="shared" si="8"/>
        <v>0</v>
      </c>
      <c r="V30" s="45"/>
      <c r="W30" s="49"/>
      <c r="X30" s="65">
        <f>V30+W30*Summen!$B$44</f>
        <v>0</v>
      </c>
      <c r="Y30" s="72"/>
      <c r="Z30" s="73"/>
      <c r="AA30" s="73"/>
      <c r="AB30" s="73"/>
      <c r="AC30" s="73"/>
      <c r="AD30" s="73"/>
      <c r="AE30" s="73"/>
      <c r="AF30" s="74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  <c r="AQ30" s="55"/>
    </row>
    <row r="31" spans="1:43" ht="13.5" customHeight="1">
      <c r="A31" s="56">
        <f t="shared" si="7"/>
        <v>46050</v>
      </c>
      <c r="B31" s="75" t="str">
        <f>IFERROR(VLOOKUP(A31, Feiertage!$B:$C, 2, 0), IF(OR(WEEKDAY(A31,2)=6, WEEKDAY(A31,2)=7), Feiertage!$C$23, ""))</f>
        <v/>
      </c>
      <c r="C31" s="58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v>0</v>
      </c>
      <c r="S31" s="62">
        <f t="shared" si="0"/>
        <v>0</v>
      </c>
      <c r="T31" s="62">
        <f t="shared" si="1"/>
        <v>0</v>
      </c>
      <c r="U31" s="63">
        <f t="shared" si="8"/>
        <v>0</v>
      </c>
      <c r="V31" s="59"/>
      <c r="W31" s="64"/>
      <c r="X31" s="65">
        <f>V31+W31*Summen!$B$44</f>
        <v>0</v>
      </c>
      <c r="Y31" s="66"/>
      <c r="Z31" s="67"/>
      <c r="AA31" s="67"/>
      <c r="AB31" s="67"/>
      <c r="AC31" s="67"/>
      <c r="AD31" s="67"/>
      <c r="AE31" s="67"/>
      <c r="AF31" s="68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  <c r="AQ31" s="55"/>
    </row>
    <row r="32" spans="1:43" ht="13.5" customHeight="1">
      <c r="A32" s="56">
        <f t="shared" si="7"/>
        <v>46051</v>
      </c>
      <c r="B32" s="77" t="str">
        <f>IFERROR(VLOOKUP(A32, Feiertage!$B:$C, 2, 0), IF(OR(WEEKDAY(A32,2)=6, WEEKDAY(A32,2)=7), Feiertage!$C$23, ""))</f>
        <v/>
      </c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v>0</v>
      </c>
      <c r="S32" s="62">
        <f t="shared" si="0"/>
        <v>0</v>
      </c>
      <c r="T32" s="62">
        <f t="shared" si="1"/>
        <v>0</v>
      </c>
      <c r="U32" s="63">
        <f t="shared" si="8"/>
        <v>0</v>
      </c>
      <c r="V32" s="45"/>
      <c r="W32" s="49"/>
      <c r="X32" s="65">
        <f>V32+W32*Summen!$B$44</f>
        <v>0</v>
      </c>
      <c r="Y32" s="72"/>
      <c r="Z32" s="73"/>
      <c r="AA32" s="73"/>
      <c r="AB32" s="73"/>
      <c r="AC32" s="73"/>
      <c r="AD32" s="73"/>
      <c r="AE32" s="73"/>
      <c r="AF32" s="74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  <c r="AQ32" s="55"/>
    </row>
    <row r="33" spans="1:43" ht="13.5" customHeight="1">
      <c r="A33" s="56">
        <f t="shared" si="7"/>
        <v>46052</v>
      </c>
      <c r="B33" s="75" t="str">
        <f>IFERROR(VLOOKUP(A33, Feiertage!$B:$C, 2, 0), IF(OR(WEEKDAY(A33,2)=6, WEEKDAY(A33,2)=7), Feiertage!$C$23, ""))</f>
        <v/>
      </c>
      <c r="C33" s="58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v>0</v>
      </c>
      <c r="S33" s="62">
        <f t="shared" si="0"/>
        <v>0</v>
      </c>
      <c r="T33" s="62">
        <f t="shared" si="1"/>
        <v>0</v>
      </c>
      <c r="U33" s="63">
        <f t="shared" si="8"/>
        <v>0</v>
      </c>
      <c r="V33" s="59"/>
      <c r="W33" s="64"/>
      <c r="X33" s="65">
        <f>V33+W33*Summen!$B$44</f>
        <v>0</v>
      </c>
      <c r="Y33" s="66"/>
      <c r="Z33" s="67"/>
      <c r="AA33" s="67"/>
      <c r="AB33" s="67"/>
      <c r="AC33" s="67"/>
      <c r="AD33" s="67"/>
      <c r="AE33" s="67"/>
      <c r="AF33" s="68"/>
      <c r="AG33" s="69">
        <f t="shared" si="2"/>
        <v>0</v>
      </c>
      <c r="AH33" s="62">
        <f t="shared" si="3"/>
        <v>0</v>
      </c>
      <c r="AI33" s="62">
        <f t="shared" si="4"/>
        <v>0</v>
      </c>
      <c r="AJ33" s="63">
        <f t="shared" si="5"/>
        <v>0</v>
      </c>
      <c r="AL33" s="54">
        <f t="shared" si="6"/>
        <v>0</v>
      </c>
      <c r="AQ33" s="55"/>
    </row>
    <row r="34" spans="1:43" ht="13.5" customHeight="1">
      <c r="A34" s="80">
        <f t="shared" si="7"/>
        <v>46053</v>
      </c>
      <c r="B34" s="81" t="str">
        <f>IFERROR(VLOOKUP(A34, Feiertage!$B:$C, 2, 0), IF(OR(WEEKDAY(A34,2)=6, WEEKDAY(A34,2)=7), Feiertage!$C$23, ""))</f>
        <v>* * * * * * * * Wochenende * * * * * * * * * * * * * * * * * * * * * * * * * * * * * * * * * * * * * * * * * * * * * * * *</v>
      </c>
      <c r="C34" s="44"/>
      <c r="D34" s="45"/>
      <c r="E34" s="45"/>
      <c r="F34" s="45"/>
      <c r="G34" s="45"/>
      <c r="H34" s="45"/>
      <c r="I34" s="45"/>
      <c r="J34" s="45"/>
      <c r="K34" s="82"/>
      <c r="L34" s="82"/>
      <c r="M34" s="82"/>
      <c r="N34" s="82"/>
      <c r="O34" s="82"/>
      <c r="P34" s="82"/>
      <c r="Q34" s="83"/>
      <c r="R34" s="61">
        <f>IF(OR(WEEKDAY(A34,2)=6,WEEKDAY(A34,2)=7),0,IFERROR(IF(VLOOKUP(A34,Feiertage!$B:$D,3,0)="ja",0,Summen!$B$9),Summen!$B$9))</f>
        <v>0</v>
      </c>
      <c r="S34" s="84">
        <f t="shared" si="0"/>
        <v>0</v>
      </c>
      <c r="T34" s="84">
        <f t="shared" si="1"/>
        <v>0</v>
      </c>
      <c r="U34" s="85">
        <f t="shared" si="8"/>
        <v>0</v>
      </c>
      <c r="V34" s="45"/>
      <c r="W34" s="49"/>
      <c r="X34" s="65">
        <f>V34+W34*Summen!$B$44</f>
        <v>0</v>
      </c>
      <c r="Y34" s="51"/>
      <c r="Z34" s="52"/>
      <c r="AA34" s="52"/>
      <c r="AB34" s="52"/>
      <c r="AC34" s="52"/>
      <c r="AD34" s="52"/>
      <c r="AE34" s="52"/>
      <c r="AF34" s="52"/>
      <c r="AG34" s="86">
        <f t="shared" si="2"/>
        <v>0</v>
      </c>
      <c r="AH34" s="84">
        <f t="shared" si="3"/>
        <v>0</v>
      </c>
      <c r="AI34" s="84">
        <f t="shared" si="4"/>
        <v>0</v>
      </c>
      <c r="AJ34" s="85">
        <f t="shared" si="5"/>
        <v>0</v>
      </c>
      <c r="AL34" s="54">
        <f t="shared" si="6"/>
        <v>0</v>
      </c>
      <c r="AQ34" s="55"/>
    </row>
    <row r="35" spans="1:43" ht="18" customHeight="1">
      <c r="A35" s="87" t="s">
        <v>31</v>
      </c>
      <c r="B35" s="88"/>
      <c r="C35" s="89">
        <f t="shared" ref="C35:T35" si="9">SUM(C4:C34)</f>
        <v>0</v>
      </c>
      <c r="D35" s="88">
        <f t="shared" si="9"/>
        <v>0</v>
      </c>
      <c r="E35" s="88">
        <f t="shared" si="9"/>
        <v>0</v>
      </c>
      <c r="F35" s="88">
        <f t="shared" si="9"/>
        <v>0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0</v>
      </c>
      <c r="L35" s="88">
        <f t="shared" si="9"/>
        <v>0</v>
      </c>
      <c r="M35" s="88">
        <f t="shared" si="9"/>
        <v>0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0</v>
      </c>
      <c r="S35" s="91">
        <f t="shared" si="9"/>
        <v>0</v>
      </c>
      <c r="T35" s="91">
        <f t="shared" si="9"/>
        <v>0</v>
      </c>
      <c r="U35" s="92">
        <f>U34</f>
        <v>0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95"/>
      <c r="Z35" s="95"/>
      <c r="AA35" s="95"/>
      <c r="AB35" s="95"/>
      <c r="AC35" s="95"/>
      <c r="AD35" s="95"/>
      <c r="AE35" s="95"/>
      <c r="AF35" s="95"/>
      <c r="AG35" s="96"/>
      <c r="AH35" s="96"/>
      <c r="AI35" s="96"/>
      <c r="AJ35" s="97">
        <f>SUM(AJ4:AJ34)</f>
        <v>0</v>
      </c>
      <c r="AK35" s="98"/>
      <c r="AL35" s="54">
        <f t="shared" si="6"/>
        <v>0</v>
      </c>
      <c r="AQ35" s="55"/>
    </row>
    <row r="36" spans="1:43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101"/>
      <c r="AQ36" s="55"/>
    </row>
    <row r="37" spans="1:43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L37" s="101"/>
      <c r="AQ37" s="55"/>
    </row>
    <row r="38" spans="1:43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00"/>
      <c r="Z38" s="100"/>
      <c r="AL38" s="101"/>
    </row>
    <row r="39" spans="1:43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101"/>
    </row>
    <row r="40" spans="1:43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101"/>
    </row>
    <row r="41" spans="1:43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L41" s="101"/>
    </row>
    <row r="42" spans="1:43" ht="12.75" customHeight="1">
      <c r="A42" s="99"/>
      <c r="AL42" s="101"/>
    </row>
    <row r="43" spans="1:43" ht="12.75" customHeight="1">
      <c r="A43" s="99"/>
      <c r="AL43" s="101"/>
    </row>
    <row r="44" spans="1:43" ht="12.75" customHeight="1">
      <c r="A44" s="99"/>
      <c r="AL44" s="101"/>
    </row>
    <row r="45" spans="1:43" ht="12.75" customHeight="1">
      <c r="A45" s="99"/>
      <c r="AL45" s="101"/>
    </row>
    <row r="46" spans="1:43" ht="12.75" customHeight="1">
      <c r="A46" s="99"/>
      <c r="AL46" s="101"/>
    </row>
    <row r="47" spans="1:43" ht="12.75" customHeight="1">
      <c r="A47" s="99"/>
      <c r="AL47" s="101"/>
    </row>
    <row r="48" spans="1:43" ht="12.75" customHeight="1">
      <c r="A48" s="99"/>
      <c r="AL48" s="101"/>
    </row>
    <row r="49" spans="1:38" ht="12.75" customHeight="1">
      <c r="A49" s="99"/>
      <c r="AL49" s="101"/>
    </row>
    <row r="50" spans="1:38" ht="12.75" customHeight="1">
      <c r="A50" s="99"/>
      <c r="AL50" s="101"/>
    </row>
    <row r="51" spans="1:38" ht="12.75" customHeight="1">
      <c r="A51" s="99"/>
      <c r="AL51" s="101"/>
    </row>
    <row r="52" spans="1:38" ht="12.75" customHeight="1">
      <c r="A52" s="99"/>
      <c r="AL52" s="101"/>
    </row>
    <row r="53" spans="1:38" ht="12.75" customHeight="1">
      <c r="A53" s="99"/>
      <c r="AL53" s="101"/>
    </row>
    <row r="54" spans="1:38" ht="12.75" customHeight="1">
      <c r="A54" s="99"/>
      <c r="AL54" s="101"/>
    </row>
    <row r="55" spans="1:38" ht="12.75" customHeight="1">
      <c r="A55" s="99"/>
      <c r="AL55" s="101"/>
    </row>
    <row r="56" spans="1:38" ht="12.75" customHeight="1">
      <c r="A56" s="99"/>
      <c r="AL56" s="101"/>
    </row>
    <row r="57" spans="1:38" ht="12.75" customHeight="1">
      <c r="A57" s="99"/>
      <c r="AL57" s="101"/>
    </row>
    <row r="58" spans="1:38" ht="12.75" customHeight="1">
      <c r="A58" s="99"/>
      <c r="AL58" s="101"/>
    </row>
    <row r="59" spans="1:38" ht="12.75" customHeight="1">
      <c r="A59" s="99"/>
      <c r="AL59" s="101"/>
    </row>
    <row r="60" spans="1:38" ht="12.75" customHeight="1">
      <c r="A60" s="99"/>
      <c r="AL60" s="101"/>
    </row>
    <row r="61" spans="1:38" ht="12.75" customHeight="1">
      <c r="A61" s="99"/>
      <c r="AL61" s="101"/>
    </row>
    <row r="62" spans="1:38" ht="12.75" customHeight="1">
      <c r="A62" s="99"/>
      <c r="AL62" s="101"/>
    </row>
    <row r="63" spans="1:38" ht="12.75" customHeight="1">
      <c r="A63" s="99"/>
      <c r="AL63" s="101"/>
    </row>
    <row r="64" spans="1:38" ht="12.75" customHeight="1">
      <c r="A64" s="99"/>
      <c r="AL64" s="101"/>
    </row>
    <row r="65" spans="1:38" ht="12.75" customHeight="1">
      <c r="A65" s="99"/>
      <c r="AL65" s="101"/>
    </row>
    <row r="66" spans="1:38" ht="12.75" customHeight="1">
      <c r="A66" s="99"/>
      <c r="AL66" s="101"/>
    </row>
    <row r="67" spans="1:38" ht="12.75" customHeight="1">
      <c r="A67" s="99"/>
      <c r="AL67" s="101"/>
    </row>
    <row r="68" spans="1:38" ht="12.75" customHeight="1">
      <c r="A68" s="99"/>
      <c r="AL68" s="101"/>
    </row>
    <row r="69" spans="1:38" ht="12.75" customHeight="1">
      <c r="A69" s="99"/>
      <c r="AL69" s="101"/>
    </row>
    <row r="70" spans="1:38" ht="12.75" customHeight="1">
      <c r="A70" s="99"/>
      <c r="AL70" s="101"/>
    </row>
    <row r="71" spans="1:38" ht="12.75" customHeight="1">
      <c r="A71" s="99"/>
      <c r="AL71" s="101"/>
    </row>
    <row r="72" spans="1:38" ht="12.75" customHeight="1">
      <c r="A72" s="99"/>
      <c r="AL72" s="101"/>
    </row>
    <row r="73" spans="1:38" ht="12.75" customHeight="1">
      <c r="A73" s="99"/>
      <c r="AL73" s="101"/>
    </row>
    <row r="74" spans="1:38" ht="12.75" customHeight="1">
      <c r="A74" s="99"/>
      <c r="AL74" s="101"/>
    </row>
    <row r="75" spans="1:38" ht="12.75" customHeight="1">
      <c r="A75" s="99"/>
      <c r="AL75" s="101"/>
    </row>
    <row r="76" spans="1:38" ht="12.75" customHeight="1">
      <c r="A76" s="99"/>
      <c r="AL76" s="101"/>
    </row>
    <row r="77" spans="1:38" ht="12.75" customHeight="1">
      <c r="A77" s="99"/>
      <c r="AL77" s="101"/>
    </row>
    <row r="78" spans="1:38" ht="12.75" customHeight="1">
      <c r="A78" s="99"/>
      <c r="AL78" s="101"/>
    </row>
    <row r="79" spans="1:38" ht="12.75" customHeight="1">
      <c r="A79" s="99"/>
      <c r="AL79" s="101"/>
    </row>
    <row r="80" spans="1:38" ht="12.75" customHeight="1">
      <c r="A80" s="99"/>
      <c r="AL80" s="101"/>
    </row>
    <row r="81" spans="1:38" ht="12.75" customHeight="1">
      <c r="A81" s="99"/>
      <c r="AL81" s="101"/>
    </row>
    <row r="82" spans="1:38" ht="12.75" customHeight="1">
      <c r="A82" s="99"/>
      <c r="AL82" s="101"/>
    </row>
    <row r="83" spans="1:38" ht="12.75" customHeight="1">
      <c r="A83" s="99"/>
      <c r="AL83" s="101"/>
    </row>
    <row r="84" spans="1:38" ht="12.75" customHeight="1">
      <c r="A84" s="99"/>
      <c r="AL84" s="101"/>
    </row>
    <row r="85" spans="1:38" ht="12.75" customHeight="1">
      <c r="A85" s="99"/>
      <c r="AL85" s="101"/>
    </row>
    <row r="86" spans="1:38" ht="12.75" customHeight="1">
      <c r="A86" s="99"/>
      <c r="AL86" s="101"/>
    </row>
    <row r="87" spans="1:38" ht="12.75" customHeight="1">
      <c r="A87" s="99"/>
      <c r="AL87" s="101"/>
    </row>
    <row r="88" spans="1:38" ht="12.75" customHeight="1">
      <c r="A88" s="99"/>
      <c r="AL88" s="101"/>
    </row>
    <row r="89" spans="1:38" ht="12.75" customHeight="1">
      <c r="A89" s="99"/>
      <c r="AL89" s="101"/>
    </row>
    <row r="90" spans="1:38" ht="12.75" customHeight="1">
      <c r="A90" s="99"/>
      <c r="AL90" s="101"/>
    </row>
    <row r="91" spans="1:38" ht="12.75" customHeight="1">
      <c r="A91" s="99"/>
      <c r="AL91" s="101"/>
    </row>
    <row r="92" spans="1:38" ht="12.75" customHeight="1">
      <c r="A92" s="99"/>
      <c r="AL92" s="101"/>
    </row>
    <row r="93" spans="1:38" ht="12.75" customHeight="1">
      <c r="A93" s="99"/>
      <c r="AL93" s="101"/>
    </row>
    <row r="94" spans="1:38" ht="12.75" customHeight="1">
      <c r="A94" s="99"/>
      <c r="AL94" s="101"/>
    </row>
    <row r="95" spans="1:38" ht="12.75" customHeight="1">
      <c r="A95" s="99"/>
      <c r="AL95" s="101"/>
    </row>
    <row r="96" spans="1:38" ht="12.75" customHeight="1">
      <c r="A96" s="99"/>
      <c r="AL96" s="101"/>
    </row>
    <row r="97" spans="1:38" ht="12.75" customHeight="1">
      <c r="A97" s="99"/>
      <c r="AL97" s="101"/>
    </row>
    <row r="98" spans="1:38" ht="12.75" customHeight="1">
      <c r="A98" s="99"/>
      <c r="AL98" s="101"/>
    </row>
    <row r="99" spans="1:38" ht="12.75" customHeight="1">
      <c r="A99" s="99"/>
      <c r="AL99" s="101"/>
    </row>
    <row r="100" spans="1:38" ht="12.75" customHeight="1">
      <c r="A100" s="99"/>
      <c r="AL100" s="101"/>
    </row>
    <row r="101" spans="1:38" ht="12.75" customHeight="1">
      <c r="A101" s="99"/>
      <c r="AL101" s="101"/>
    </row>
    <row r="102" spans="1:38" ht="12.75" customHeight="1">
      <c r="A102" s="99"/>
      <c r="AL102" s="101"/>
    </row>
    <row r="103" spans="1:38" ht="12.75" customHeight="1">
      <c r="A103" s="99"/>
      <c r="AL103" s="101"/>
    </row>
    <row r="104" spans="1:38" ht="12.75" customHeight="1">
      <c r="A104" s="99"/>
      <c r="AL104" s="101"/>
    </row>
    <row r="105" spans="1:38" ht="12.75" customHeight="1">
      <c r="A105" s="99"/>
      <c r="AL105" s="101"/>
    </row>
    <row r="106" spans="1:38" ht="12.75" customHeight="1">
      <c r="A106" s="99"/>
      <c r="AL106" s="101"/>
    </row>
    <row r="107" spans="1:38" ht="12.75" customHeight="1">
      <c r="A107" s="99"/>
      <c r="AL107" s="101"/>
    </row>
    <row r="108" spans="1:38" ht="12.75" customHeight="1">
      <c r="A108" s="99"/>
      <c r="AL108" s="101"/>
    </row>
    <row r="109" spans="1:38" ht="12.75" customHeight="1">
      <c r="A109" s="99"/>
      <c r="AL109" s="101"/>
    </row>
    <row r="110" spans="1:38" ht="12.75" customHeight="1">
      <c r="A110" s="99"/>
      <c r="AL110" s="101"/>
    </row>
    <row r="111" spans="1:38" ht="12.75" customHeight="1">
      <c r="A111" s="99"/>
      <c r="AL111" s="101"/>
    </row>
    <row r="112" spans="1:38" ht="12.75" customHeight="1">
      <c r="A112" s="99"/>
      <c r="AL112" s="101"/>
    </row>
    <row r="113" spans="1:38" ht="12.75" customHeight="1">
      <c r="A113" s="99"/>
      <c r="AL113" s="101"/>
    </row>
    <row r="114" spans="1:38" ht="12.75" customHeight="1">
      <c r="A114" s="99"/>
      <c r="AL114" s="101"/>
    </row>
    <row r="115" spans="1:38" ht="12.75" customHeight="1">
      <c r="A115" s="99"/>
      <c r="AL115" s="101"/>
    </row>
    <row r="116" spans="1:38" ht="12.75" customHeight="1">
      <c r="A116" s="99"/>
      <c r="AL116" s="101"/>
    </row>
    <row r="117" spans="1:38" ht="12.75" customHeight="1">
      <c r="A117" s="99"/>
      <c r="AL117" s="101"/>
    </row>
    <row r="118" spans="1:38" ht="12.75" customHeight="1">
      <c r="A118" s="99"/>
      <c r="AL118" s="101"/>
    </row>
    <row r="119" spans="1:38" ht="12.75" customHeight="1">
      <c r="A119" s="99"/>
      <c r="AL119" s="101"/>
    </row>
    <row r="120" spans="1:38" ht="12.75" customHeight="1">
      <c r="A120" s="99"/>
      <c r="AL120" s="101"/>
    </row>
    <row r="121" spans="1:38" ht="12.75" customHeight="1">
      <c r="A121" s="99"/>
      <c r="AL121" s="101"/>
    </row>
    <row r="122" spans="1:38" ht="12.75" customHeight="1">
      <c r="A122" s="99"/>
      <c r="AL122" s="101"/>
    </row>
    <row r="123" spans="1:38" ht="12.75" customHeight="1">
      <c r="A123" s="99"/>
      <c r="AL123" s="101"/>
    </row>
    <row r="124" spans="1:38" ht="12.75" customHeight="1">
      <c r="A124" s="99"/>
      <c r="AL124" s="101"/>
    </row>
    <row r="125" spans="1:38" ht="12.75" customHeight="1">
      <c r="A125" s="99"/>
      <c r="AL125" s="101"/>
    </row>
    <row r="126" spans="1:38" ht="12.75" customHeight="1">
      <c r="A126" s="99"/>
      <c r="AL126" s="101"/>
    </row>
    <row r="127" spans="1:38" ht="12.75" customHeight="1">
      <c r="A127" s="99"/>
      <c r="AL127" s="101"/>
    </row>
    <row r="128" spans="1:38" ht="12.75" customHeight="1">
      <c r="A128" s="99"/>
      <c r="AL128" s="101"/>
    </row>
    <row r="129" spans="1:38" ht="12.75" customHeight="1">
      <c r="A129" s="99"/>
      <c r="AL129" s="101"/>
    </row>
    <row r="130" spans="1:38" ht="12.75" customHeight="1">
      <c r="A130" s="99"/>
      <c r="AL130" s="101"/>
    </row>
    <row r="131" spans="1:38" ht="12.75" customHeight="1">
      <c r="A131" s="99"/>
      <c r="AL131" s="101"/>
    </row>
    <row r="132" spans="1:38" ht="12.75" customHeight="1">
      <c r="A132" s="99"/>
      <c r="AL132" s="101"/>
    </row>
    <row r="133" spans="1:38" ht="12.75" customHeight="1">
      <c r="A133" s="99"/>
      <c r="AL133" s="101"/>
    </row>
    <row r="134" spans="1:38" ht="12.75" customHeight="1">
      <c r="A134" s="99"/>
      <c r="AL134" s="101"/>
    </row>
    <row r="135" spans="1:38" ht="12.75" customHeight="1">
      <c r="A135" s="99"/>
      <c r="AL135" s="101"/>
    </row>
    <row r="136" spans="1:38" ht="12.75" customHeight="1">
      <c r="A136" s="99"/>
      <c r="AL136" s="101"/>
    </row>
    <row r="137" spans="1:38" ht="12.75" customHeight="1">
      <c r="A137" s="99"/>
      <c r="AL137" s="101"/>
    </row>
    <row r="138" spans="1:38" ht="12.75" customHeight="1">
      <c r="A138" s="99"/>
      <c r="AL138" s="101"/>
    </row>
    <row r="139" spans="1:38" ht="12.75" customHeight="1">
      <c r="A139" s="99"/>
      <c r="AL139" s="101"/>
    </row>
    <row r="140" spans="1:38" ht="12.75" customHeight="1">
      <c r="A140" s="99"/>
      <c r="AL140" s="101"/>
    </row>
    <row r="141" spans="1:38" ht="12.75" customHeight="1">
      <c r="A141" s="99"/>
      <c r="AL141" s="101"/>
    </row>
    <row r="142" spans="1:38" ht="12.75" customHeight="1">
      <c r="A142" s="99"/>
      <c r="AL142" s="101"/>
    </row>
    <row r="143" spans="1:38" ht="12.75" customHeight="1">
      <c r="A143" s="99"/>
      <c r="AL143" s="101"/>
    </row>
    <row r="144" spans="1:38" ht="12.75" customHeight="1">
      <c r="A144" s="99"/>
      <c r="AL144" s="101"/>
    </row>
    <row r="145" spans="1:38" ht="12.75" customHeight="1">
      <c r="A145" s="99"/>
      <c r="AL145" s="101"/>
    </row>
    <row r="146" spans="1:38" ht="12.75" customHeight="1">
      <c r="A146" s="99"/>
      <c r="AL146" s="101"/>
    </row>
    <row r="147" spans="1:38" ht="12.75" customHeight="1">
      <c r="A147" s="99"/>
      <c r="AL147" s="101"/>
    </row>
    <row r="148" spans="1:38" ht="12.75" customHeight="1">
      <c r="A148" s="99"/>
      <c r="AL148" s="101"/>
    </row>
    <row r="149" spans="1:38" ht="12.75" customHeight="1">
      <c r="A149" s="99"/>
      <c r="AL149" s="101"/>
    </row>
    <row r="150" spans="1:38" ht="12.75" customHeight="1">
      <c r="A150" s="99"/>
      <c r="AL150" s="101"/>
    </row>
    <row r="151" spans="1:38" ht="12.75" customHeight="1">
      <c r="A151" s="99"/>
      <c r="AL151" s="101"/>
    </row>
    <row r="152" spans="1:38" ht="12.75" customHeight="1">
      <c r="A152" s="99"/>
      <c r="AL152" s="101"/>
    </row>
    <row r="153" spans="1:38" ht="12.75" customHeight="1">
      <c r="A153" s="99"/>
      <c r="AL153" s="101"/>
    </row>
    <row r="154" spans="1:38" ht="12.75" customHeight="1">
      <c r="A154" s="99"/>
      <c r="AL154" s="101"/>
    </row>
    <row r="155" spans="1:38" ht="12.75" customHeight="1">
      <c r="A155" s="99"/>
      <c r="AL155" s="101"/>
    </row>
    <row r="156" spans="1:38" ht="12.75" customHeight="1">
      <c r="A156" s="99"/>
      <c r="AL156" s="101"/>
    </row>
    <row r="157" spans="1:38" ht="12.75" customHeight="1">
      <c r="A157" s="99"/>
      <c r="AL157" s="101"/>
    </row>
    <row r="158" spans="1:38" ht="12.75" customHeight="1">
      <c r="A158" s="99"/>
      <c r="AL158" s="101"/>
    </row>
    <row r="159" spans="1:38" ht="12.75" customHeight="1">
      <c r="A159" s="99"/>
      <c r="AL159" s="101"/>
    </row>
    <row r="160" spans="1:38" ht="12.75" customHeight="1">
      <c r="A160" s="99"/>
      <c r="AL160" s="101"/>
    </row>
    <row r="161" spans="1:38" ht="12.75" customHeight="1">
      <c r="A161" s="99"/>
      <c r="AL161" s="101"/>
    </row>
    <row r="162" spans="1:38" ht="12.75" customHeight="1">
      <c r="A162" s="99"/>
      <c r="AL162" s="101"/>
    </row>
    <row r="163" spans="1:38" ht="12.75" customHeight="1">
      <c r="A163" s="99"/>
      <c r="AL163" s="101"/>
    </row>
    <row r="164" spans="1:38" ht="12.75" customHeight="1">
      <c r="A164" s="99"/>
      <c r="AL164" s="101"/>
    </row>
    <row r="165" spans="1:38" ht="12.75" customHeight="1">
      <c r="A165" s="99"/>
      <c r="AL165" s="101"/>
    </row>
    <row r="166" spans="1:38" ht="12.75" customHeight="1">
      <c r="A166" s="99"/>
      <c r="AL166" s="101"/>
    </row>
    <row r="167" spans="1:38" ht="12.75" customHeight="1">
      <c r="A167" s="99"/>
      <c r="AL167" s="101"/>
    </row>
    <row r="168" spans="1:38" ht="12.75" customHeight="1">
      <c r="A168" s="99"/>
      <c r="AL168" s="101"/>
    </row>
    <row r="169" spans="1:38" ht="12.75" customHeight="1">
      <c r="A169" s="99"/>
      <c r="AL169" s="101"/>
    </row>
    <row r="170" spans="1:38" ht="12.75" customHeight="1">
      <c r="A170" s="99"/>
      <c r="AL170" s="101"/>
    </row>
    <row r="171" spans="1:38" ht="12.75" customHeight="1">
      <c r="A171" s="99"/>
      <c r="AL171" s="101"/>
    </row>
    <row r="172" spans="1:38" ht="12.75" customHeight="1">
      <c r="A172" s="99"/>
      <c r="AL172" s="101"/>
    </row>
    <row r="173" spans="1:38" ht="12.75" customHeight="1">
      <c r="A173" s="99"/>
      <c r="AL173" s="101"/>
    </row>
    <row r="174" spans="1:38" ht="12.75" customHeight="1">
      <c r="A174" s="99"/>
      <c r="AL174" s="101"/>
    </row>
    <row r="175" spans="1:38" ht="12.75" customHeight="1">
      <c r="A175" s="99"/>
      <c r="AL175" s="101"/>
    </row>
    <row r="176" spans="1:38" ht="12.75" customHeight="1">
      <c r="A176" s="99"/>
      <c r="AL176" s="101"/>
    </row>
    <row r="177" spans="1:38" ht="12.75" customHeight="1">
      <c r="A177" s="99"/>
      <c r="AL177" s="101"/>
    </row>
    <row r="178" spans="1:38" ht="12.75" customHeight="1">
      <c r="A178" s="99"/>
      <c r="AL178" s="101"/>
    </row>
    <row r="179" spans="1:38" ht="12.75" customHeight="1">
      <c r="A179" s="99"/>
      <c r="AL179" s="101"/>
    </row>
    <row r="180" spans="1:38" ht="12.75" customHeight="1">
      <c r="A180" s="99"/>
      <c r="AL180" s="101"/>
    </row>
    <row r="181" spans="1:38" ht="12.75" customHeight="1">
      <c r="A181" s="99"/>
      <c r="AL181" s="101"/>
    </row>
    <row r="182" spans="1:38" ht="12.75" customHeight="1">
      <c r="A182" s="99"/>
      <c r="AL182" s="101"/>
    </row>
    <row r="183" spans="1:38" ht="12.75" customHeight="1">
      <c r="A183" s="99"/>
      <c r="AL183" s="101"/>
    </row>
    <row r="184" spans="1:38" ht="12.75" customHeight="1">
      <c r="A184" s="99"/>
      <c r="AL184" s="101"/>
    </row>
    <row r="185" spans="1:38" ht="12.75" customHeight="1">
      <c r="A185" s="99"/>
      <c r="AL185" s="101"/>
    </row>
    <row r="186" spans="1:38" ht="12.75" customHeight="1">
      <c r="A186" s="99"/>
      <c r="AL186" s="101"/>
    </row>
    <row r="187" spans="1:38" ht="12.75" customHeight="1">
      <c r="A187" s="99"/>
      <c r="AL187" s="101"/>
    </row>
    <row r="188" spans="1:38" ht="12.75" customHeight="1">
      <c r="A188" s="99"/>
      <c r="AL188" s="101"/>
    </row>
    <row r="189" spans="1:38" ht="12.75" customHeight="1">
      <c r="A189" s="99"/>
      <c r="AL189" s="101"/>
    </row>
    <row r="190" spans="1:38" ht="12.75" customHeight="1">
      <c r="A190" s="99"/>
      <c r="AL190" s="101"/>
    </row>
    <row r="191" spans="1:38" ht="12.75" customHeight="1">
      <c r="A191" s="99"/>
      <c r="AL191" s="101"/>
    </row>
    <row r="192" spans="1:38" ht="12.75" customHeight="1">
      <c r="A192" s="99"/>
      <c r="AL192" s="101"/>
    </row>
    <row r="193" spans="1:38" ht="12.75" customHeight="1">
      <c r="A193" s="99"/>
      <c r="AL193" s="101"/>
    </row>
    <row r="194" spans="1:38" ht="12.75" customHeight="1">
      <c r="A194" s="99"/>
      <c r="AL194" s="101"/>
    </row>
    <row r="195" spans="1:38" ht="12.75" customHeight="1">
      <c r="A195" s="99"/>
      <c r="AL195" s="101"/>
    </row>
    <row r="196" spans="1:38" ht="12.75" customHeight="1">
      <c r="A196" s="99"/>
      <c r="AL196" s="101"/>
    </row>
    <row r="197" spans="1:38" ht="12.75" customHeight="1">
      <c r="A197" s="99"/>
      <c r="AL197" s="101"/>
    </row>
    <row r="198" spans="1:38" ht="12.75" customHeight="1">
      <c r="A198" s="99"/>
      <c r="AL198" s="101"/>
    </row>
    <row r="199" spans="1:38" ht="12.75" customHeight="1">
      <c r="A199" s="99"/>
      <c r="AL199" s="101"/>
    </row>
    <row r="200" spans="1:38" ht="12.75" customHeight="1">
      <c r="A200" s="99"/>
      <c r="AL200" s="101"/>
    </row>
    <row r="201" spans="1:38" ht="12.75" customHeight="1">
      <c r="A201" s="99"/>
      <c r="AL201" s="101"/>
    </row>
    <row r="202" spans="1:38" ht="12.75" customHeight="1">
      <c r="A202" s="99"/>
      <c r="AL202" s="101"/>
    </row>
    <row r="203" spans="1:38" ht="12.75" customHeight="1">
      <c r="A203" s="99"/>
      <c r="AL203" s="101"/>
    </row>
    <row r="204" spans="1:38" ht="12.75" customHeight="1">
      <c r="A204" s="99"/>
      <c r="AL204" s="101"/>
    </row>
    <row r="205" spans="1:38" ht="12.75" customHeight="1">
      <c r="A205" s="99"/>
      <c r="AL205" s="101"/>
    </row>
    <row r="206" spans="1:38" ht="12.75" customHeight="1">
      <c r="A206" s="99"/>
      <c r="AL206" s="101"/>
    </row>
    <row r="207" spans="1:38" ht="12.75" customHeight="1">
      <c r="A207" s="99"/>
      <c r="AL207" s="101"/>
    </row>
    <row r="208" spans="1:38" ht="12.75" customHeight="1">
      <c r="A208" s="99"/>
      <c r="AL208" s="101"/>
    </row>
    <row r="209" spans="1:38" ht="12.75" customHeight="1">
      <c r="A209" s="99"/>
      <c r="AL209" s="101"/>
    </row>
    <row r="210" spans="1:38" ht="12.75" customHeight="1">
      <c r="A210" s="99"/>
      <c r="AL210" s="101"/>
    </row>
    <row r="211" spans="1:38" ht="12.75" customHeight="1">
      <c r="A211" s="99"/>
      <c r="AL211" s="101"/>
    </row>
    <row r="212" spans="1:38" ht="12.75" customHeight="1">
      <c r="A212" s="99"/>
      <c r="AL212" s="101"/>
    </row>
    <row r="213" spans="1:38" ht="12.75" customHeight="1">
      <c r="A213" s="99"/>
      <c r="AL213" s="101"/>
    </row>
    <row r="214" spans="1:38" ht="12.75" customHeight="1">
      <c r="A214" s="99"/>
      <c r="AL214" s="101"/>
    </row>
    <row r="215" spans="1:38" ht="12.75" customHeight="1">
      <c r="A215" s="99"/>
      <c r="AL215" s="101"/>
    </row>
    <row r="216" spans="1:38" ht="12.75" customHeight="1">
      <c r="A216" s="99"/>
      <c r="AL216" s="101"/>
    </row>
    <row r="217" spans="1:38" ht="12.75" customHeight="1">
      <c r="A217" s="99"/>
      <c r="AL217" s="101"/>
    </row>
    <row r="218" spans="1:38" ht="12.75" customHeight="1">
      <c r="A218" s="99"/>
      <c r="AL218" s="101"/>
    </row>
    <row r="219" spans="1:38" ht="12.75" customHeight="1">
      <c r="A219" s="99"/>
      <c r="AL219" s="101"/>
    </row>
    <row r="220" spans="1:38" ht="12.75" customHeight="1">
      <c r="A220" s="99"/>
      <c r="AL220" s="101"/>
    </row>
    <row r="221" spans="1:38" ht="12.75" customHeight="1">
      <c r="A221" s="99"/>
      <c r="AL221" s="101"/>
    </row>
    <row r="222" spans="1:38" ht="12.75" customHeight="1">
      <c r="A222" s="99"/>
      <c r="AL222" s="101"/>
    </row>
    <row r="223" spans="1:38" ht="12.75" customHeight="1">
      <c r="A223" s="99"/>
      <c r="AL223" s="101"/>
    </row>
    <row r="224" spans="1:38" ht="12.75" customHeight="1">
      <c r="A224" s="99"/>
      <c r="AL224" s="101"/>
    </row>
    <row r="225" spans="1:38" ht="12.75" customHeight="1">
      <c r="A225" s="99"/>
      <c r="AL225" s="101"/>
    </row>
    <row r="226" spans="1:38" ht="12.75" customHeight="1">
      <c r="A226" s="99"/>
      <c r="AL226" s="101"/>
    </row>
    <row r="227" spans="1:38" ht="12.75" customHeight="1">
      <c r="A227" s="99"/>
      <c r="AL227" s="101"/>
    </row>
    <row r="228" spans="1:38" ht="12.75" customHeight="1">
      <c r="A228" s="99"/>
      <c r="AL228" s="101"/>
    </row>
    <row r="229" spans="1:38" ht="12.75" customHeight="1">
      <c r="A229" s="99"/>
      <c r="AL229" s="101"/>
    </row>
    <row r="230" spans="1:38" ht="12.75" customHeight="1">
      <c r="A230" s="99"/>
      <c r="AL230" s="101"/>
    </row>
    <row r="231" spans="1:38" ht="12.75" customHeight="1">
      <c r="A231" s="99"/>
      <c r="AL231" s="101"/>
    </row>
    <row r="232" spans="1:38" ht="12.75" customHeight="1">
      <c r="A232" s="99"/>
      <c r="AL232" s="101"/>
    </row>
    <row r="233" spans="1:38" ht="12.75" customHeight="1">
      <c r="A233" s="99"/>
      <c r="AL233" s="101"/>
    </row>
    <row r="234" spans="1:38" ht="12.75" customHeight="1">
      <c r="A234" s="99"/>
      <c r="AL234" s="101"/>
    </row>
    <row r="235" spans="1:38" ht="12.75" customHeight="1">
      <c r="A235" s="99"/>
      <c r="AL235" s="101"/>
    </row>
    <row r="236" spans="1:38" ht="12.75" customHeight="1">
      <c r="A236" s="99"/>
      <c r="AL236" s="101"/>
    </row>
    <row r="237" spans="1:38" ht="12.75" customHeight="1">
      <c r="A237" s="99"/>
      <c r="AL237" s="101"/>
    </row>
    <row r="238" spans="1:38" ht="12.75" customHeight="1">
      <c r="A238" s="99"/>
      <c r="AL238" s="101"/>
    </row>
    <row r="239" spans="1:38" ht="12.75" customHeight="1">
      <c r="A239" s="99"/>
      <c r="AL239" s="101"/>
    </row>
    <row r="240" spans="1:38" ht="12.75" customHeight="1">
      <c r="A240" s="99"/>
      <c r="AL240" s="101"/>
    </row>
    <row r="241" spans="1:38" ht="12.75" customHeight="1">
      <c r="A241" s="99"/>
      <c r="AL241" s="101"/>
    </row>
    <row r="242" spans="1:38" ht="12.75" customHeight="1">
      <c r="A242" s="99"/>
      <c r="AL242" s="101"/>
    </row>
    <row r="243" spans="1:38" ht="12.75" customHeight="1">
      <c r="A243" s="99"/>
      <c r="AL243" s="101"/>
    </row>
    <row r="244" spans="1:38" ht="12.75" customHeight="1">
      <c r="A244" s="99"/>
      <c r="AL244" s="101"/>
    </row>
    <row r="245" spans="1:38" ht="12.75" customHeight="1">
      <c r="A245" s="99"/>
      <c r="AL245" s="101"/>
    </row>
    <row r="246" spans="1:38" ht="12.75" customHeight="1">
      <c r="A246" s="99"/>
      <c r="AL246" s="101"/>
    </row>
    <row r="247" spans="1:38" ht="12.75" customHeight="1">
      <c r="A247" s="99"/>
      <c r="AL247" s="101"/>
    </row>
    <row r="248" spans="1:38" ht="12.75" customHeight="1">
      <c r="A248" s="99"/>
      <c r="AL248" s="101"/>
    </row>
    <row r="249" spans="1:38" ht="12.75" customHeight="1">
      <c r="A249" s="99"/>
      <c r="AL249" s="101"/>
    </row>
    <row r="250" spans="1:38" ht="12.75" customHeight="1">
      <c r="A250" s="99"/>
      <c r="AL250" s="101"/>
    </row>
    <row r="251" spans="1:38" ht="12.75" customHeight="1">
      <c r="A251" s="99"/>
      <c r="AL251" s="101"/>
    </row>
    <row r="252" spans="1:38" ht="12.75" customHeight="1">
      <c r="A252" s="99"/>
      <c r="AL252" s="101"/>
    </row>
    <row r="253" spans="1:38" ht="12.75" customHeight="1">
      <c r="A253" s="99"/>
      <c r="AL253" s="101"/>
    </row>
    <row r="254" spans="1:38" ht="12.75" customHeight="1">
      <c r="A254" s="99"/>
      <c r="AL254" s="101"/>
    </row>
    <row r="255" spans="1:38" ht="12.75" customHeight="1">
      <c r="A255" s="99"/>
      <c r="AL255" s="101"/>
    </row>
    <row r="256" spans="1:38" ht="12.75" customHeight="1">
      <c r="A256" s="99"/>
      <c r="AL256" s="101"/>
    </row>
    <row r="257" spans="1:38" ht="12.75" customHeight="1">
      <c r="A257" s="99"/>
      <c r="AL257" s="101"/>
    </row>
    <row r="258" spans="1:38" ht="12.75" customHeight="1">
      <c r="A258" s="99"/>
      <c r="AL258" s="101"/>
    </row>
    <row r="259" spans="1:38" ht="12.75" customHeight="1">
      <c r="A259" s="99"/>
      <c r="AL259" s="101"/>
    </row>
    <row r="260" spans="1:38" ht="12.75" customHeight="1">
      <c r="A260" s="99"/>
      <c r="AL260" s="101"/>
    </row>
    <row r="261" spans="1:38" ht="12.75" customHeight="1">
      <c r="A261" s="99"/>
      <c r="AL261" s="101"/>
    </row>
    <row r="262" spans="1:38" ht="12.75" customHeight="1">
      <c r="A262" s="99"/>
      <c r="AL262" s="101"/>
    </row>
    <row r="263" spans="1:38" ht="12.75" customHeight="1">
      <c r="A263" s="99"/>
      <c r="AL263" s="101"/>
    </row>
    <row r="264" spans="1:38" ht="12.75" customHeight="1">
      <c r="A264" s="99"/>
      <c r="AL264" s="101"/>
    </row>
    <row r="265" spans="1:38" ht="12.75" customHeight="1">
      <c r="A265" s="99"/>
      <c r="AL265" s="101"/>
    </row>
    <row r="266" spans="1:38" ht="12.75" customHeight="1">
      <c r="A266" s="99"/>
      <c r="AL266" s="101"/>
    </row>
    <row r="267" spans="1:38" ht="12.75" customHeight="1">
      <c r="A267" s="99"/>
      <c r="AL267" s="101"/>
    </row>
    <row r="268" spans="1:38" ht="12.75" customHeight="1">
      <c r="A268" s="99"/>
      <c r="AL268" s="101"/>
    </row>
    <row r="269" spans="1:38" ht="12.75" customHeight="1">
      <c r="A269" s="99"/>
      <c r="AL269" s="101"/>
    </row>
    <row r="270" spans="1:38" ht="12.75" customHeight="1">
      <c r="A270" s="99"/>
      <c r="AL270" s="101"/>
    </row>
    <row r="271" spans="1:38" ht="12.75" customHeight="1">
      <c r="A271" s="99"/>
      <c r="AL271" s="101"/>
    </row>
    <row r="272" spans="1:38" ht="12.75" customHeight="1">
      <c r="A272" s="99"/>
      <c r="AL272" s="101"/>
    </row>
    <row r="273" spans="1:38" ht="12.75" customHeight="1">
      <c r="A273" s="99"/>
      <c r="AL273" s="101"/>
    </row>
    <row r="274" spans="1:38" ht="12.75" customHeight="1">
      <c r="A274" s="99"/>
      <c r="AL274" s="101"/>
    </row>
    <row r="275" spans="1:38" ht="12.75" customHeight="1">
      <c r="A275" s="99"/>
      <c r="AL275" s="101"/>
    </row>
    <row r="276" spans="1:38" ht="12.75" customHeight="1">
      <c r="A276" s="99"/>
      <c r="AL276" s="101"/>
    </row>
    <row r="277" spans="1:38" ht="12.75" customHeight="1">
      <c r="A277" s="99"/>
      <c r="AL277" s="101"/>
    </row>
    <row r="278" spans="1:38" ht="12.75" customHeight="1">
      <c r="A278" s="99"/>
      <c r="AL278" s="101"/>
    </row>
    <row r="279" spans="1:38" ht="12.75" customHeight="1">
      <c r="A279" s="99"/>
      <c r="AL279" s="101"/>
    </row>
    <row r="280" spans="1:38" ht="12.75" customHeight="1">
      <c r="A280" s="99"/>
      <c r="AL280" s="101"/>
    </row>
    <row r="281" spans="1:38" ht="12.75" customHeight="1">
      <c r="A281" s="99"/>
      <c r="AL281" s="101"/>
    </row>
    <row r="282" spans="1:38" ht="12.75" customHeight="1">
      <c r="A282" s="99"/>
      <c r="AL282" s="101"/>
    </row>
    <row r="283" spans="1:38" ht="12.75" customHeight="1">
      <c r="A283" s="99"/>
      <c r="AL283" s="101"/>
    </row>
    <row r="284" spans="1:38" ht="12.75" customHeight="1">
      <c r="A284" s="99"/>
      <c r="AL284" s="101"/>
    </row>
    <row r="285" spans="1:38" ht="12.75" customHeight="1">
      <c r="A285" s="99"/>
      <c r="AL285" s="101"/>
    </row>
    <row r="286" spans="1:38" ht="12.75" customHeight="1">
      <c r="A286" s="99"/>
      <c r="AL286" s="101"/>
    </row>
    <row r="287" spans="1:38" ht="12.75" customHeight="1">
      <c r="A287" s="99"/>
      <c r="AL287" s="101"/>
    </row>
    <row r="288" spans="1:38" ht="12.75" customHeight="1">
      <c r="A288" s="99"/>
      <c r="AL288" s="101"/>
    </row>
    <row r="289" spans="1:38" ht="12.75" customHeight="1">
      <c r="A289" s="99"/>
      <c r="AL289" s="101"/>
    </row>
    <row r="290" spans="1:38" ht="12.75" customHeight="1">
      <c r="A290" s="99"/>
      <c r="AL290" s="101"/>
    </row>
    <row r="291" spans="1:38" ht="12.75" customHeight="1">
      <c r="A291" s="99"/>
      <c r="AL291" s="101"/>
    </row>
    <row r="292" spans="1:38" ht="12.75" customHeight="1">
      <c r="A292" s="99"/>
      <c r="AL292" s="101"/>
    </row>
    <row r="293" spans="1:38" ht="12.75" customHeight="1">
      <c r="A293" s="99"/>
      <c r="AL293" s="101"/>
    </row>
    <row r="294" spans="1:38" ht="12.75" customHeight="1">
      <c r="A294" s="99"/>
      <c r="AL294" s="101"/>
    </row>
    <row r="295" spans="1:38" ht="12.75" customHeight="1">
      <c r="A295" s="99"/>
      <c r="AL295" s="101"/>
    </row>
    <row r="296" spans="1:38" ht="12.75" customHeight="1">
      <c r="A296" s="99"/>
      <c r="AL296" s="101"/>
    </row>
    <row r="297" spans="1:38" ht="12.75" customHeight="1">
      <c r="A297" s="99"/>
      <c r="AL297" s="101"/>
    </row>
    <row r="298" spans="1:38" ht="12.75" customHeight="1">
      <c r="A298" s="99"/>
      <c r="AL298" s="101"/>
    </row>
    <row r="299" spans="1:38" ht="12.75" customHeight="1">
      <c r="A299" s="99"/>
      <c r="AL299" s="101"/>
    </row>
    <row r="300" spans="1:38" ht="12.75" customHeight="1">
      <c r="A300" s="99"/>
      <c r="AL300" s="101"/>
    </row>
    <row r="301" spans="1:38" ht="12.75" customHeight="1">
      <c r="A301" s="99"/>
      <c r="AL301" s="101"/>
    </row>
    <row r="302" spans="1:38" ht="12.75" customHeight="1">
      <c r="A302" s="99"/>
      <c r="AL302" s="101"/>
    </row>
    <row r="303" spans="1:38" ht="12.75" customHeight="1">
      <c r="A303" s="99"/>
      <c r="AL303" s="101"/>
    </row>
    <row r="304" spans="1:38" ht="12.75" customHeight="1">
      <c r="A304" s="99"/>
      <c r="AL304" s="101"/>
    </row>
    <row r="305" spans="1:38" ht="12.75" customHeight="1">
      <c r="A305" s="99"/>
      <c r="AL305" s="101"/>
    </row>
    <row r="306" spans="1:38" ht="12.75" customHeight="1">
      <c r="A306" s="99"/>
      <c r="AL306" s="101"/>
    </row>
    <row r="307" spans="1:38" ht="12.75" customHeight="1">
      <c r="A307" s="99"/>
      <c r="AL307" s="101"/>
    </row>
    <row r="308" spans="1:38" ht="12.75" customHeight="1">
      <c r="A308" s="99"/>
      <c r="AL308" s="101"/>
    </row>
    <row r="309" spans="1:38" ht="12.75" customHeight="1">
      <c r="A309" s="99"/>
      <c r="AL309" s="101"/>
    </row>
    <row r="310" spans="1:38" ht="12.75" customHeight="1">
      <c r="A310" s="99"/>
      <c r="AL310" s="101"/>
    </row>
    <row r="311" spans="1:38" ht="12.75" customHeight="1">
      <c r="A311" s="99"/>
      <c r="AL311" s="101"/>
    </row>
    <row r="312" spans="1:38" ht="12.75" customHeight="1">
      <c r="A312" s="99"/>
      <c r="AL312" s="101"/>
    </row>
    <row r="313" spans="1:38" ht="12.75" customHeight="1">
      <c r="A313" s="99"/>
      <c r="AL313" s="101"/>
    </row>
    <row r="314" spans="1:38" ht="12.75" customHeight="1">
      <c r="A314" s="99"/>
      <c r="AL314" s="101"/>
    </row>
    <row r="315" spans="1:38" ht="12.75" customHeight="1">
      <c r="A315" s="99"/>
      <c r="AL315" s="101"/>
    </row>
    <row r="316" spans="1:38" ht="12.75" customHeight="1">
      <c r="A316" s="99"/>
      <c r="AL316" s="101"/>
    </row>
    <row r="317" spans="1:38" ht="12.75" customHeight="1">
      <c r="A317" s="99"/>
      <c r="AL317" s="101"/>
    </row>
    <row r="318" spans="1:38" ht="12.75" customHeight="1">
      <c r="A318" s="99"/>
      <c r="AL318" s="101"/>
    </row>
    <row r="319" spans="1:38" ht="12.75" customHeight="1">
      <c r="A319" s="99"/>
      <c r="AL319" s="101"/>
    </row>
    <row r="320" spans="1:38" ht="12.75" customHeight="1">
      <c r="A320" s="99"/>
      <c r="AL320" s="101"/>
    </row>
    <row r="321" spans="1:38" ht="12.75" customHeight="1">
      <c r="A321" s="99"/>
      <c r="AL321" s="101"/>
    </row>
    <row r="322" spans="1:38" ht="12.75" customHeight="1">
      <c r="A322" s="99"/>
      <c r="AL322" s="101"/>
    </row>
    <row r="323" spans="1:38" ht="12.75" customHeight="1">
      <c r="A323" s="99"/>
      <c r="AL323" s="101"/>
    </row>
    <row r="324" spans="1:38" ht="12.75" customHeight="1">
      <c r="A324" s="99"/>
      <c r="AL324" s="101"/>
    </row>
    <row r="325" spans="1:38" ht="12.75" customHeight="1">
      <c r="A325" s="99"/>
      <c r="AL325" s="101"/>
    </row>
    <row r="326" spans="1:38" ht="12.75" customHeight="1">
      <c r="A326" s="99"/>
      <c r="AL326" s="101"/>
    </row>
    <row r="327" spans="1:38" ht="12.75" customHeight="1">
      <c r="A327" s="99"/>
      <c r="AL327" s="101"/>
    </row>
    <row r="328" spans="1:38" ht="12.75" customHeight="1">
      <c r="A328" s="99"/>
      <c r="AL328" s="101"/>
    </row>
    <row r="329" spans="1:38" ht="12.75" customHeight="1">
      <c r="A329" s="99"/>
      <c r="AL329" s="101"/>
    </row>
    <row r="330" spans="1:38" ht="12.75" customHeight="1">
      <c r="A330" s="99"/>
      <c r="AL330" s="101"/>
    </row>
    <row r="331" spans="1:38" ht="12.75" customHeight="1">
      <c r="A331" s="99"/>
      <c r="AL331" s="101"/>
    </row>
    <row r="332" spans="1:38" ht="12.75" customHeight="1">
      <c r="A332" s="99"/>
      <c r="AL332" s="101"/>
    </row>
    <row r="333" spans="1:38" ht="12.75" customHeight="1">
      <c r="A333" s="99"/>
      <c r="AL333" s="101"/>
    </row>
    <row r="334" spans="1:38" ht="12.75" customHeight="1">
      <c r="A334" s="99"/>
      <c r="AL334" s="101"/>
    </row>
    <row r="335" spans="1:38" ht="12.75" customHeight="1">
      <c r="A335" s="99"/>
      <c r="AL335" s="101"/>
    </row>
    <row r="336" spans="1:38" ht="12.75" customHeight="1">
      <c r="A336" s="99"/>
      <c r="AL336" s="101"/>
    </row>
    <row r="337" spans="1:38" ht="12.75" customHeight="1">
      <c r="A337" s="99"/>
      <c r="AL337" s="101"/>
    </row>
    <row r="338" spans="1:38" ht="12.75" customHeight="1">
      <c r="A338" s="99"/>
      <c r="AL338" s="101"/>
    </row>
    <row r="339" spans="1:38" ht="12.75" customHeight="1">
      <c r="A339" s="99"/>
      <c r="AL339" s="101"/>
    </row>
    <row r="340" spans="1:38" ht="12.75" customHeight="1">
      <c r="A340" s="99"/>
      <c r="AL340" s="101"/>
    </row>
    <row r="341" spans="1:38" ht="12.75" customHeight="1">
      <c r="A341" s="99"/>
      <c r="AL341" s="101"/>
    </row>
    <row r="342" spans="1:38" ht="12.75" customHeight="1">
      <c r="A342" s="99"/>
      <c r="AL342" s="101"/>
    </row>
    <row r="343" spans="1:38" ht="12.75" customHeight="1">
      <c r="A343" s="99"/>
      <c r="AL343" s="101"/>
    </row>
    <row r="344" spans="1:38" ht="12.75" customHeight="1">
      <c r="A344" s="99"/>
      <c r="AL344" s="101"/>
    </row>
    <row r="345" spans="1:38" ht="12.75" customHeight="1">
      <c r="A345" s="99"/>
      <c r="AL345" s="101"/>
    </row>
    <row r="346" spans="1:38" ht="12.75" customHeight="1">
      <c r="A346" s="99"/>
      <c r="AL346" s="101"/>
    </row>
    <row r="347" spans="1:38" ht="12.75" customHeight="1">
      <c r="A347" s="99"/>
      <c r="AL347" s="101"/>
    </row>
    <row r="348" spans="1:38" ht="12.75" customHeight="1">
      <c r="A348" s="99"/>
      <c r="AL348" s="101"/>
    </row>
    <row r="349" spans="1:38" ht="12.75" customHeight="1">
      <c r="A349" s="99"/>
      <c r="AL349" s="101"/>
    </row>
    <row r="350" spans="1:38" ht="12.75" customHeight="1">
      <c r="A350" s="99"/>
      <c r="AL350" s="101"/>
    </row>
    <row r="351" spans="1:38" ht="12.75" customHeight="1">
      <c r="A351" s="99"/>
      <c r="AL351" s="101"/>
    </row>
    <row r="352" spans="1:38" ht="12.75" customHeight="1">
      <c r="A352" s="99"/>
      <c r="AL352" s="101"/>
    </row>
    <row r="353" spans="1:38" ht="12.75" customHeight="1">
      <c r="A353" s="99"/>
      <c r="AL353" s="101"/>
    </row>
    <row r="354" spans="1:38" ht="12.75" customHeight="1">
      <c r="A354" s="99"/>
      <c r="AL354" s="101"/>
    </row>
    <row r="355" spans="1:38" ht="12.75" customHeight="1">
      <c r="A355" s="99"/>
      <c r="AL355" s="101"/>
    </row>
    <row r="356" spans="1:38" ht="12.75" customHeight="1">
      <c r="A356" s="99"/>
      <c r="AL356" s="101"/>
    </row>
    <row r="357" spans="1:38" ht="12.75" customHeight="1">
      <c r="A357" s="99"/>
      <c r="AL357" s="101"/>
    </row>
    <row r="358" spans="1:38" ht="12.75" customHeight="1">
      <c r="A358" s="99"/>
      <c r="AL358" s="101"/>
    </row>
    <row r="359" spans="1:38" ht="12.75" customHeight="1">
      <c r="A359" s="99"/>
      <c r="AL359" s="101"/>
    </row>
    <row r="360" spans="1:38" ht="12.75" customHeight="1">
      <c r="A360" s="99"/>
      <c r="AL360" s="101"/>
    </row>
    <row r="361" spans="1:38" ht="12.75" customHeight="1">
      <c r="A361" s="99"/>
      <c r="AL361" s="101"/>
    </row>
    <row r="362" spans="1:38" ht="12.75" customHeight="1">
      <c r="A362" s="99"/>
      <c r="AL362" s="101"/>
    </row>
    <row r="363" spans="1:38" ht="12.75" customHeight="1">
      <c r="A363" s="99"/>
      <c r="AL363" s="101"/>
    </row>
    <row r="364" spans="1:38" ht="12.75" customHeight="1">
      <c r="A364" s="99"/>
      <c r="AL364" s="101"/>
    </row>
    <row r="365" spans="1:38" ht="12.75" customHeight="1">
      <c r="A365" s="99"/>
      <c r="AL365" s="101"/>
    </row>
    <row r="366" spans="1:38" ht="12.75" customHeight="1">
      <c r="A366" s="99"/>
      <c r="AL366" s="101"/>
    </row>
    <row r="367" spans="1:38" ht="12.75" customHeight="1">
      <c r="A367" s="99"/>
      <c r="AL367" s="101"/>
    </row>
    <row r="368" spans="1:38" ht="12.75" customHeight="1">
      <c r="A368" s="99"/>
      <c r="AL368" s="101"/>
    </row>
    <row r="369" spans="1:38" ht="12.75" customHeight="1">
      <c r="A369" s="99"/>
      <c r="AL369" s="101"/>
    </row>
    <row r="370" spans="1:38" ht="12.75" customHeight="1">
      <c r="A370" s="99"/>
      <c r="AL370" s="101"/>
    </row>
    <row r="371" spans="1:38" ht="12.75" customHeight="1">
      <c r="A371" s="99"/>
      <c r="AL371" s="101"/>
    </row>
    <row r="372" spans="1:38" ht="12.75" customHeight="1">
      <c r="A372" s="99"/>
      <c r="AL372" s="101"/>
    </row>
    <row r="373" spans="1:38" ht="12.75" customHeight="1">
      <c r="A373" s="99"/>
      <c r="AL373" s="101"/>
    </row>
    <row r="374" spans="1:38" ht="12.75" customHeight="1">
      <c r="A374" s="99"/>
      <c r="AL374" s="101"/>
    </row>
    <row r="375" spans="1:38" ht="12.75" customHeight="1">
      <c r="A375" s="99"/>
      <c r="AL375" s="101"/>
    </row>
    <row r="376" spans="1:38" ht="12.75" customHeight="1">
      <c r="A376" s="99"/>
      <c r="AL376" s="101"/>
    </row>
    <row r="377" spans="1:38" ht="12.75" customHeight="1">
      <c r="A377" s="99"/>
      <c r="AL377" s="101"/>
    </row>
    <row r="378" spans="1:38" ht="12.75" customHeight="1">
      <c r="A378" s="99"/>
      <c r="AL378" s="101"/>
    </row>
    <row r="379" spans="1:38" ht="12.75" customHeight="1">
      <c r="A379" s="99"/>
      <c r="AL379" s="101"/>
    </row>
    <row r="380" spans="1:38" ht="12.75" customHeight="1">
      <c r="A380" s="99"/>
      <c r="AL380" s="101"/>
    </row>
    <row r="381" spans="1:38" ht="12.75" customHeight="1">
      <c r="A381" s="99"/>
      <c r="AL381" s="101"/>
    </row>
    <row r="382" spans="1:38" ht="12.75" customHeight="1">
      <c r="A382" s="99"/>
      <c r="AL382" s="101"/>
    </row>
    <row r="383" spans="1:38" ht="12.75" customHeight="1">
      <c r="A383" s="99"/>
      <c r="AL383" s="101"/>
    </row>
    <row r="384" spans="1:38" ht="12.75" customHeight="1">
      <c r="A384" s="99"/>
      <c r="AL384" s="101"/>
    </row>
    <row r="385" spans="1:38" ht="12.75" customHeight="1">
      <c r="A385" s="99"/>
      <c r="AL385" s="101"/>
    </row>
    <row r="386" spans="1:38" ht="12.75" customHeight="1">
      <c r="A386" s="99"/>
      <c r="AL386" s="101"/>
    </row>
    <row r="387" spans="1:38" ht="12.75" customHeight="1">
      <c r="A387" s="99"/>
      <c r="AL387" s="101"/>
    </row>
    <row r="388" spans="1:38" ht="12.75" customHeight="1">
      <c r="A388" s="99"/>
      <c r="AL388" s="101"/>
    </row>
    <row r="389" spans="1:38" ht="12.75" customHeight="1">
      <c r="A389" s="99"/>
      <c r="AL389" s="101"/>
    </row>
    <row r="390" spans="1:38" ht="12.75" customHeight="1">
      <c r="A390" s="99"/>
      <c r="AL390" s="101"/>
    </row>
    <row r="391" spans="1:38" ht="12.75" customHeight="1">
      <c r="A391" s="99"/>
      <c r="AL391" s="101"/>
    </row>
    <row r="392" spans="1:38" ht="12.75" customHeight="1">
      <c r="A392" s="99"/>
      <c r="AL392" s="101"/>
    </row>
    <row r="393" spans="1:38" ht="12.75" customHeight="1">
      <c r="A393" s="99"/>
      <c r="AL393" s="101"/>
    </row>
    <row r="394" spans="1:38" ht="12.75" customHeight="1">
      <c r="A394" s="99"/>
      <c r="AL394" s="101"/>
    </row>
    <row r="395" spans="1:38" ht="12.75" customHeight="1">
      <c r="A395" s="99"/>
      <c r="AL395" s="101"/>
    </row>
    <row r="396" spans="1:38" ht="12.75" customHeight="1">
      <c r="A396" s="99"/>
      <c r="AL396" s="101"/>
    </row>
    <row r="397" spans="1:38" ht="12.75" customHeight="1">
      <c r="A397" s="99"/>
      <c r="AL397" s="101"/>
    </row>
    <row r="398" spans="1:38" ht="12.75" customHeight="1">
      <c r="A398" s="99"/>
      <c r="AL398" s="101"/>
    </row>
    <row r="399" spans="1:38" ht="12.75" customHeight="1">
      <c r="A399" s="99"/>
      <c r="AL399" s="101"/>
    </row>
    <row r="400" spans="1:38" ht="12.75" customHeight="1">
      <c r="A400" s="99"/>
      <c r="AL400" s="101"/>
    </row>
    <row r="401" spans="1:38" ht="12.75" customHeight="1">
      <c r="A401" s="99"/>
      <c r="AL401" s="101"/>
    </row>
    <row r="402" spans="1:38" ht="12.75" customHeight="1">
      <c r="A402" s="99"/>
      <c r="AL402" s="101"/>
    </row>
    <row r="403" spans="1:38" ht="12.75" customHeight="1">
      <c r="A403" s="99"/>
      <c r="AL403" s="101"/>
    </row>
    <row r="404" spans="1:38" ht="12.75" customHeight="1">
      <c r="A404" s="99"/>
      <c r="AL404" s="101"/>
    </row>
    <row r="405" spans="1:38" ht="12.75" customHeight="1">
      <c r="A405" s="99"/>
      <c r="AL405" s="101"/>
    </row>
    <row r="406" spans="1:38" ht="12.75" customHeight="1">
      <c r="A406" s="99"/>
      <c r="AL406" s="101"/>
    </row>
    <row r="407" spans="1:38" ht="12.75" customHeight="1">
      <c r="A407" s="99"/>
      <c r="AL407" s="101"/>
    </row>
    <row r="408" spans="1:38" ht="12.75" customHeight="1">
      <c r="A408" s="99"/>
      <c r="AL408" s="101"/>
    </row>
    <row r="409" spans="1:38" ht="12.75" customHeight="1">
      <c r="A409" s="99"/>
      <c r="AL409" s="101"/>
    </row>
    <row r="410" spans="1:38" ht="12.75" customHeight="1">
      <c r="A410" s="99"/>
      <c r="AL410" s="101"/>
    </row>
    <row r="411" spans="1:38" ht="12.75" customHeight="1">
      <c r="A411" s="99"/>
      <c r="AL411" s="101"/>
    </row>
    <row r="412" spans="1:38" ht="12.75" customHeight="1">
      <c r="A412" s="99"/>
      <c r="AL412" s="101"/>
    </row>
    <row r="413" spans="1:38" ht="12.75" customHeight="1">
      <c r="A413" s="99"/>
      <c r="AL413" s="101"/>
    </row>
    <row r="414" spans="1:38" ht="12.75" customHeight="1">
      <c r="A414" s="99"/>
      <c r="AL414" s="101"/>
    </row>
    <row r="415" spans="1:38" ht="12.75" customHeight="1">
      <c r="A415" s="99"/>
      <c r="AL415" s="101"/>
    </row>
    <row r="416" spans="1:38" ht="12.75" customHeight="1">
      <c r="A416" s="99"/>
      <c r="AL416" s="101"/>
    </row>
    <row r="417" spans="1:38" ht="12.75" customHeight="1">
      <c r="A417" s="99"/>
      <c r="AL417" s="101"/>
    </row>
    <row r="418" spans="1:38" ht="12.75" customHeight="1">
      <c r="A418" s="99"/>
      <c r="AL418" s="101"/>
    </row>
    <row r="419" spans="1:38" ht="12.75" customHeight="1">
      <c r="A419" s="99"/>
      <c r="AL419" s="101"/>
    </row>
    <row r="420" spans="1:38" ht="12.75" customHeight="1">
      <c r="A420" s="99"/>
      <c r="AL420" s="101"/>
    </row>
    <row r="421" spans="1:38" ht="12.75" customHeight="1">
      <c r="A421" s="99"/>
      <c r="AL421" s="101"/>
    </row>
    <row r="422" spans="1:38" ht="12.75" customHeight="1">
      <c r="A422" s="99"/>
      <c r="AL422" s="101"/>
    </row>
    <row r="423" spans="1:38" ht="12.75" customHeight="1">
      <c r="A423" s="99"/>
      <c r="AL423" s="101"/>
    </row>
    <row r="424" spans="1:38" ht="12.75" customHeight="1">
      <c r="A424" s="99"/>
      <c r="AL424" s="101"/>
    </row>
    <row r="425" spans="1:38" ht="12.75" customHeight="1">
      <c r="A425" s="99"/>
      <c r="AL425" s="101"/>
    </row>
    <row r="426" spans="1:38" ht="12.75" customHeight="1">
      <c r="A426" s="99"/>
      <c r="AL426" s="101"/>
    </row>
    <row r="427" spans="1:38" ht="12.75" customHeight="1">
      <c r="A427" s="99"/>
      <c r="AL427" s="101"/>
    </row>
    <row r="428" spans="1:38" ht="12.75" customHeight="1">
      <c r="A428" s="99"/>
      <c r="AL428" s="101"/>
    </row>
    <row r="429" spans="1:38" ht="12.75" customHeight="1">
      <c r="A429" s="99"/>
      <c r="AL429" s="101"/>
    </row>
    <row r="430" spans="1:38" ht="12.75" customHeight="1">
      <c r="A430" s="99"/>
      <c r="AL430" s="101"/>
    </row>
    <row r="431" spans="1:38" ht="12.75" customHeight="1">
      <c r="A431" s="99"/>
      <c r="AL431" s="101"/>
    </row>
    <row r="432" spans="1:38" ht="12.75" customHeight="1">
      <c r="A432" s="99"/>
      <c r="AL432" s="101"/>
    </row>
    <row r="433" spans="1:38" ht="12.75" customHeight="1">
      <c r="A433" s="99"/>
      <c r="AL433" s="101"/>
    </row>
    <row r="434" spans="1:38" ht="12.75" customHeight="1">
      <c r="A434" s="99"/>
      <c r="AL434" s="101"/>
    </row>
    <row r="435" spans="1:38" ht="12.75" customHeight="1">
      <c r="A435" s="99"/>
      <c r="AL435" s="101"/>
    </row>
    <row r="436" spans="1:38" ht="12.75" customHeight="1">
      <c r="A436" s="99"/>
      <c r="AL436" s="101"/>
    </row>
    <row r="437" spans="1:38" ht="12.75" customHeight="1">
      <c r="A437" s="99"/>
      <c r="AL437" s="101"/>
    </row>
    <row r="438" spans="1:38" ht="12.75" customHeight="1">
      <c r="A438" s="99"/>
      <c r="AL438" s="101"/>
    </row>
    <row r="439" spans="1:38" ht="12.75" customHeight="1">
      <c r="A439" s="99"/>
      <c r="AL439" s="101"/>
    </row>
    <row r="440" spans="1:38" ht="12.75" customHeight="1">
      <c r="A440" s="99"/>
      <c r="AL440" s="101"/>
    </row>
    <row r="441" spans="1:38" ht="12.75" customHeight="1">
      <c r="A441" s="99"/>
      <c r="AL441" s="101"/>
    </row>
    <row r="442" spans="1:38" ht="12.75" customHeight="1">
      <c r="A442" s="99"/>
      <c r="AL442" s="101"/>
    </row>
    <row r="443" spans="1:38" ht="12.75" customHeight="1">
      <c r="A443" s="99"/>
      <c r="AL443" s="101"/>
    </row>
    <row r="444" spans="1:38" ht="12.75" customHeight="1">
      <c r="A444" s="99"/>
      <c r="AL444" s="101"/>
    </row>
    <row r="445" spans="1:38" ht="12.75" customHeight="1">
      <c r="A445" s="99"/>
      <c r="AL445" s="101"/>
    </row>
    <row r="446" spans="1:38" ht="12.75" customHeight="1">
      <c r="A446" s="99"/>
      <c r="AL446" s="101"/>
    </row>
    <row r="447" spans="1:38" ht="12.75" customHeight="1">
      <c r="A447" s="99"/>
      <c r="AL447" s="101"/>
    </row>
    <row r="448" spans="1:38" ht="12.75" customHeight="1">
      <c r="A448" s="99"/>
      <c r="AL448" s="101"/>
    </row>
    <row r="449" spans="1:38" ht="12.75" customHeight="1">
      <c r="A449" s="99"/>
      <c r="AL449" s="101"/>
    </row>
    <row r="450" spans="1:38" ht="12.75" customHeight="1">
      <c r="A450" s="99"/>
      <c r="AL450" s="101"/>
    </row>
    <row r="451" spans="1:38" ht="12.75" customHeight="1">
      <c r="A451" s="99"/>
      <c r="AL451" s="101"/>
    </row>
    <row r="452" spans="1:38" ht="12.75" customHeight="1">
      <c r="A452" s="99"/>
      <c r="AL452" s="101"/>
    </row>
    <row r="453" spans="1:38" ht="12.75" customHeight="1">
      <c r="A453" s="99"/>
      <c r="AL453" s="101"/>
    </row>
    <row r="454" spans="1:38" ht="12.75" customHeight="1">
      <c r="A454" s="99"/>
      <c r="AL454" s="101"/>
    </row>
    <row r="455" spans="1:38" ht="12.75" customHeight="1">
      <c r="A455" s="99"/>
      <c r="AL455" s="101"/>
    </row>
    <row r="456" spans="1:38" ht="12.75" customHeight="1">
      <c r="A456" s="99"/>
      <c r="AL456" s="101"/>
    </row>
    <row r="457" spans="1:38" ht="12.75" customHeight="1">
      <c r="A457" s="99"/>
      <c r="AL457" s="101"/>
    </row>
    <row r="458" spans="1:38" ht="12.75" customHeight="1">
      <c r="A458" s="99"/>
      <c r="AL458" s="101"/>
    </row>
    <row r="459" spans="1:38" ht="12.75" customHeight="1">
      <c r="A459" s="99"/>
      <c r="AL459" s="101"/>
    </row>
    <row r="460" spans="1:38" ht="12.75" customHeight="1">
      <c r="A460" s="99"/>
      <c r="AL460" s="101"/>
    </row>
    <row r="461" spans="1:38" ht="12.75" customHeight="1">
      <c r="A461" s="99"/>
      <c r="AL461" s="101"/>
    </row>
    <row r="462" spans="1:38" ht="12.75" customHeight="1">
      <c r="A462" s="99"/>
      <c r="AL462" s="101"/>
    </row>
    <row r="463" spans="1:38" ht="12.75" customHeight="1">
      <c r="A463" s="99"/>
      <c r="AL463" s="101"/>
    </row>
    <row r="464" spans="1:38" ht="12.75" customHeight="1">
      <c r="A464" s="99"/>
      <c r="AL464" s="101"/>
    </row>
    <row r="465" spans="1:38" ht="12.75" customHeight="1">
      <c r="A465" s="99"/>
      <c r="AL465" s="101"/>
    </row>
    <row r="466" spans="1:38" ht="12.75" customHeight="1">
      <c r="A466" s="99"/>
      <c r="AL466" s="101"/>
    </row>
    <row r="467" spans="1:38" ht="12.75" customHeight="1">
      <c r="A467" s="99"/>
      <c r="AL467" s="101"/>
    </row>
    <row r="468" spans="1:38" ht="12.75" customHeight="1">
      <c r="A468" s="99"/>
      <c r="AL468" s="101"/>
    </row>
    <row r="469" spans="1:38" ht="12.75" customHeight="1">
      <c r="A469" s="99"/>
      <c r="AL469" s="101"/>
    </row>
    <row r="470" spans="1:38" ht="12.75" customHeight="1">
      <c r="A470" s="99"/>
      <c r="AL470" s="101"/>
    </row>
    <row r="471" spans="1:38" ht="12.75" customHeight="1">
      <c r="A471" s="99"/>
      <c r="AL471" s="101"/>
    </row>
    <row r="472" spans="1:38" ht="12.75" customHeight="1">
      <c r="A472" s="99"/>
      <c r="AL472" s="101"/>
    </row>
    <row r="473" spans="1:38" ht="12.75" customHeight="1">
      <c r="A473" s="99"/>
      <c r="AL473" s="101"/>
    </row>
    <row r="474" spans="1:38" ht="12.75" customHeight="1">
      <c r="A474" s="99"/>
      <c r="AL474" s="101"/>
    </row>
    <row r="475" spans="1:38" ht="12.75" customHeight="1">
      <c r="A475" s="99"/>
      <c r="AL475" s="101"/>
    </row>
    <row r="476" spans="1:38" ht="12.75" customHeight="1">
      <c r="A476" s="99"/>
      <c r="AL476" s="101"/>
    </row>
    <row r="477" spans="1:38" ht="12.75" customHeight="1">
      <c r="A477" s="99"/>
      <c r="AL477" s="101"/>
    </row>
    <row r="478" spans="1:38" ht="12.75" customHeight="1">
      <c r="A478" s="99"/>
      <c r="AL478" s="101"/>
    </row>
    <row r="479" spans="1:38" ht="12.75" customHeight="1">
      <c r="A479" s="99"/>
      <c r="AL479" s="101"/>
    </row>
    <row r="480" spans="1:38" ht="12.75" customHeight="1">
      <c r="A480" s="99"/>
      <c r="AL480" s="101"/>
    </row>
    <row r="481" spans="1:38" ht="12.75" customHeight="1">
      <c r="A481" s="99"/>
      <c r="AL481" s="101"/>
    </row>
    <row r="482" spans="1:38" ht="12.75" customHeight="1">
      <c r="A482" s="99"/>
      <c r="AL482" s="101"/>
    </row>
    <row r="483" spans="1:38" ht="12.75" customHeight="1">
      <c r="A483" s="99"/>
      <c r="AL483" s="101"/>
    </row>
    <row r="484" spans="1:38" ht="12.75" customHeight="1">
      <c r="A484" s="99"/>
      <c r="AL484" s="101"/>
    </row>
    <row r="485" spans="1:38" ht="12.75" customHeight="1">
      <c r="A485" s="99"/>
      <c r="AL485" s="101"/>
    </row>
    <row r="486" spans="1:38" ht="12.75" customHeight="1">
      <c r="A486" s="99"/>
      <c r="AL486" s="101"/>
    </row>
    <row r="487" spans="1:38" ht="12.75" customHeight="1">
      <c r="A487" s="99"/>
      <c r="AL487" s="101"/>
    </row>
    <row r="488" spans="1:38" ht="12.75" customHeight="1">
      <c r="A488" s="99"/>
      <c r="AL488" s="101"/>
    </row>
    <row r="489" spans="1:38" ht="12.75" customHeight="1">
      <c r="A489" s="99"/>
      <c r="AL489" s="101"/>
    </row>
    <row r="490" spans="1:38" ht="12.75" customHeight="1">
      <c r="A490" s="99"/>
      <c r="AL490" s="101"/>
    </row>
    <row r="491" spans="1:38" ht="12.75" customHeight="1">
      <c r="A491" s="99"/>
      <c r="AL491" s="101"/>
    </row>
    <row r="492" spans="1:38" ht="12.75" customHeight="1">
      <c r="A492" s="99"/>
      <c r="AL492" s="101"/>
    </row>
    <row r="493" spans="1:38" ht="12.75" customHeight="1">
      <c r="A493" s="99"/>
      <c r="AL493" s="101"/>
    </row>
    <row r="494" spans="1:38" ht="12.75" customHeight="1">
      <c r="A494" s="99"/>
      <c r="AL494" s="101"/>
    </row>
    <row r="495" spans="1:38" ht="12.75" customHeight="1">
      <c r="A495" s="99"/>
      <c r="AL495" s="101"/>
    </row>
    <row r="496" spans="1:38" ht="12.75" customHeight="1">
      <c r="A496" s="99"/>
      <c r="AL496" s="101"/>
    </row>
    <row r="497" spans="1:38" ht="12.75" customHeight="1">
      <c r="A497" s="99"/>
      <c r="AL497" s="101"/>
    </row>
    <row r="498" spans="1:38" ht="12.75" customHeight="1">
      <c r="A498" s="99"/>
      <c r="AL498" s="101"/>
    </row>
    <row r="499" spans="1:38" ht="12.75" customHeight="1">
      <c r="A499" s="99"/>
      <c r="AL499" s="101"/>
    </row>
    <row r="500" spans="1:38" ht="12.75" customHeight="1">
      <c r="A500" s="99"/>
      <c r="AL500" s="101"/>
    </row>
    <row r="501" spans="1:38" ht="12.75" customHeight="1">
      <c r="A501" s="99"/>
      <c r="AL501" s="101"/>
    </row>
    <row r="502" spans="1:38" ht="12.75" customHeight="1">
      <c r="A502" s="99"/>
      <c r="AL502" s="101"/>
    </row>
    <row r="503" spans="1:38" ht="12.75" customHeight="1">
      <c r="A503" s="99"/>
      <c r="AL503" s="101"/>
    </row>
    <row r="504" spans="1:38" ht="12.75" customHeight="1">
      <c r="A504" s="99"/>
      <c r="AL504" s="101"/>
    </row>
    <row r="505" spans="1:38" ht="12.75" customHeight="1">
      <c r="A505" s="99"/>
      <c r="AL505" s="101"/>
    </row>
    <row r="506" spans="1:38" ht="12.75" customHeight="1">
      <c r="A506" s="99"/>
      <c r="AL506" s="101"/>
    </row>
    <row r="507" spans="1:38" ht="12.75" customHeight="1">
      <c r="A507" s="99"/>
      <c r="AL507" s="101"/>
    </row>
    <row r="508" spans="1:38" ht="12.75" customHeight="1">
      <c r="A508" s="99"/>
      <c r="AL508" s="101"/>
    </row>
    <row r="509" spans="1:38" ht="12.75" customHeight="1">
      <c r="A509" s="99"/>
      <c r="AL509" s="101"/>
    </row>
    <row r="510" spans="1:38" ht="12.75" customHeight="1">
      <c r="A510" s="99"/>
      <c r="AL510" s="101"/>
    </row>
    <row r="511" spans="1:38" ht="12.75" customHeight="1">
      <c r="A511" s="99"/>
      <c r="AL511" s="101"/>
    </row>
    <row r="512" spans="1:38" ht="12.75" customHeight="1">
      <c r="A512" s="99"/>
      <c r="AL512" s="101"/>
    </row>
    <row r="513" spans="1:38" ht="12.75" customHeight="1">
      <c r="A513" s="99"/>
      <c r="AL513" s="101"/>
    </row>
    <row r="514" spans="1:38" ht="12.75" customHeight="1">
      <c r="A514" s="99"/>
      <c r="AL514" s="101"/>
    </row>
    <row r="515" spans="1:38" ht="12.75" customHeight="1">
      <c r="A515" s="99"/>
      <c r="AL515" s="101"/>
    </row>
    <row r="516" spans="1:38" ht="12.75" customHeight="1">
      <c r="A516" s="99"/>
      <c r="AL516" s="101"/>
    </row>
    <row r="517" spans="1:38" ht="12.75" customHeight="1">
      <c r="A517" s="99"/>
      <c r="AL517" s="101"/>
    </row>
    <row r="518" spans="1:38" ht="12.75" customHeight="1">
      <c r="A518" s="99"/>
      <c r="AL518" s="101"/>
    </row>
    <row r="519" spans="1:38" ht="12.75" customHeight="1">
      <c r="A519" s="99"/>
      <c r="AL519" s="101"/>
    </row>
    <row r="520" spans="1:38" ht="12.75" customHeight="1">
      <c r="A520" s="99"/>
      <c r="AL520" s="101"/>
    </row>
    <row r="521" spans="1:38" ht="12.75" customHeight="1">
      <c r="A521" s="99"/>
      <c r="AL521" s="101"/>
    </row>
    <row r="522" spans="1:38" ht="12.75" customHeight="1">
      <c r="A522" s="99"/>
      <c r="AL522" s="101"/>
    </row>
    <row r="523" spans="1:38" ht="12.75" customHeight="1">
      <c r="A523" s="99"/>
      <c r="AL523" s="101"/>
    </row>
    <row r="524" spans="1:38" ht="12.75" customHeight="1">
      <c r="A524" s="99"/>
      <c r="AL524" s="101"/>
    </row>
    <row r="525" spans="1:38" ht="12.75" customHeight="1">
      <c r="A525" s="99"/>
      <c r="AL525" s="101"/>
    </row>
    <row r="526" spans="1:38" ht="12.75" customHeight="1">
      <c r="A526" s="99"/>
      <c r="AL526" s="101"/>
    </row>
    <row r="527" spans="1:38" ht="12.75" customHeight="1">
      <c r="A527" s="99"/>
      <c r="AL527" s="101"/>
    </row>
    <row r="528" spans="1:38" ht="12.75" customHeight="1">
      <c r="A528" s="99"/>
      <c r="AL528" s="101"/>
    </row>
    <row r="529" spans="1:38" ht="12.75" customHeight="1">
      <c r="A529" s="99"/>
      <c r="AL529" s="101"/>
    </row>
    <row r="530" spans="1:38" ht="12.75" customHeight="1">
      <c r="A530" s="99"/>
      <c r="AL530" s="101"/>
    </row>
    <row r="531" spans="1:38" ht="12.75" customHeight="1">
      <c r="A531" s="99"/>
      <c r="AL531" s="101"/>
    </row>
    <row r="532" spans="1:38" ht="12.75" customHeight="1">
      <c r="A532" s="99"/>
      <c r="AL532" s="101"/>
    </row>
    <row r="533" spans="1:38" ht="12.75" customHeight="1">
      <c r="A533" s="99"/>
      <c r="AL533" s="101"/>
    </row>
    <row r="534" spans="1:38" ht="12.75" customHeight="1">
      <c r="A534" s="99"/>
      <c r="AL534" s="101"/>
    </row>
    <row r="535" spans="1:38" ht="12.75" customHeight="1">
      <c r="A535" s="99"/>
      <c r="AL535" s="101"/>
    </row>
    <row r="536" spans="1:38" ht="12.75" customHeight="1">
      <c r="A536" s="99"/>
      <c r="AL536" s="101"/>
    </row>
    <row r="537" spans="1:38" ht="12.75" customHeight="1">
      <c r="A537" s="99"/>
      <c r="AL537" s="101"/>
    </row>
    <row r="538" spans="1:38" ht="12.75" customHeight="1">
      <c r="A538" s="99"/>
      <c r="AL538" s="101"/>
    </row>
    <row r="539" spans="1:38" ht="12.75" customHeight="1">
      <c r="A539" s="99"/>
      <c r="AL539" s="101"/>
    </row>
    <row r="540" spans="1:38" ht="12.75" customHeight="1">
      <c r="A540" s="99"/>
      <c r="AL540" s="101"/>
    </row>
    <row r="541" spans="1:38" ht="12.75" customHeight="1">
      <c r="A541" s="99"/>
      <c r="AL541" s="101"/>
    </row>
    <row r="542" spans="1:38" ht="12.75" customHeight="1">
      <c r="A542" s="99"/>
      <c r="AL542" s="101"/>
    </row>
    <row r="543" spans="1:38" ht="12.75" customHeight="1">
      <c r="A543" s="99"/>
      <c r="AL543" s="101"/>
    </row>
    <row r="544" spans="1:38" ht="12.75" customHeight="1">
      <c r="A544" s="99"/>
      <c r="AL544" s="101"/>
    </row>
    <row r="545" spans="1:38" ht="12.75" customHeight="1">
      <c r="A545" s="99"/>
      <c r="AL545" s="101"/>
    </row>
    <row r="546" spans="1:38" ht="12.75" customHeight="1">
      <c r="A546" s="99"/>
      <c r="AL546" s="101"/>
    </row>
    <row r="547" spans="1:38" ht="12.75" customHeight="1">
      <c r="A547" s="99"/>
      <c r="AL547" s="101"/>
    </row>
    <row r="548" spans="1:38" ht="12.75" customHeight="1">
      <c r="A548" s="99"/>
      <c r="AL548" s="101"/>
    </row>
    <row r="549" spans="1:38" ht="12.75" customHeight="1">
      <c r="A549" s="99"/>
      <c r="AL549" s="101"/>
    </row>
    <row r="550" spans="1:38" ht="12.75" customHeight="1">
      <c r="A550" s="99"/>
      <c r="AL550" s="101"/>
    </row>
    <row r="551" spans="1:38" ht="12.75" customHeight="1">
      <c r="A551" s="99"/>
      <c r="AL551" s="101"/>
    </row>
    <row r="552" spans="1:38" ht="12.75" customHeight="1">
      <c r="A552" s="99"/>
      <c r="AL552" s="101"/>
    </row>
    <row r="553" spans="1:38" ht="12.75" customHeight="1">
      <c r="A553" s="99"/>
      <c r="AL553" s="101"/>
    </row>
    <row r="554" spans="1:38" ht="12.75" customHeight="1">
      <c r="A554" s="99"/>
      <c r="AL554" s="101"/>
    </row>
    <row r="555" spans="1:38" ht="12.75" customHeight="1">
      <c r="A555" s="99"/>
      <c r="AL555" s="101"/>
    </row>
    <row r="556" spans="1:38" ht="12.75" customHeight="1">
      <c r="A556" s="99"/>
      <c r="AL556" s="101"/>
    </row>
    <row r="557" spans="1:38" ht="12.75" customHeight="1">
      <c r="A557" s="99"/>
      <c r="AL557" s="101"/>
    </row>
    <row r="558" spans="1:38" ht="12.75" customHeight="1">
      <c r="A558" s="99"/>
      <c r="AL558" s="101"/>
    </row>
    <row r="559" spans="1:38" ht="12.75" customHeight="1">
      <c r="A559" s="99"/>
      <c r="AL559" s="101"/>
    </row>
    <row r="560" spans="1:38" ht="12.75" customHeight="1">
      <c r="A560" s="99"/>
      <c r="AL560" s="101"/>
    </row>
    <row r="561" spans="1:38" ht="12.75" customHeight="1">
      <c r="A561" s="99"/>
      <c r="AL561" s="101"/>
    </row>
    <row r="562" spans="1:38" ht="12.75" customHeight="1">
      <c r="A562" s="99"/>
      <c r="AL562" s="101"/>
    </row>
    <row r="563" spans="1:38" ht="12.75" customHeight="1">
      <c r="A563" s="99"/>
      <c r="AL563" s="101"/>
    </row>
    <row r="564" spans="1:38" ht="12.75" customHeight="1">
      <c r="A564" s="99"/>
      <c r="AL564" s="101"/>
    </row>
    <row r="565" spans="1:38" ht="12.75" customHeight="1">
      <c r="A565" s="99"/>
      <c r="AL565" s="101"/>
    </row>
    <row r="566" spans="1:38" ht="12.75" customHeight="1">
      <c r="A566" s="99"/>
      <c r="AL566" s="101"/>
    </row>
    <row r="567" spans="1:38" ht="12.75" customHeight="1">
      <c r="A567" s="99"/>
      <c r="AL567" s="101"/>
    </row>
    <row r="568" spans="1:38" ht="12.75" customHeight="1">
      <c r="A568" s="99"/>
      <c r="AL568" s="101"/>
    </row>
    <row r="569" spans="1:38" ht="12.75" customHeight="1">
      <c r="A569" s="99"/>
      <c r="AL569" s="101"/>
    </row>
    <row r="570" spans="1:38" ht="12.75" customHeight="1">
      <c r="A570" s="99"/>
      <c r="AL570" s="101"/>
    </row>
    <row r="571" spans="1:38" ht="12.75" customHeight="1">
      <c r="A571" s="99"/>
      <c r="AL571" s="101"/>
    </row>
    <row r="572" spans="1:38" ht="12.75" customHeight="1">
      <c r="A572" s="99"/>
      <c r="AL572" s="101"/>
    </row>
    <row r="573" spans="1:38" ht="12.75" customHeight="1">
      <c r="A573" s="99"/>
      <c r="AL573" s="101"/>
    </row>
    <row r="574" spans="1:38" ht="12.75" customHeight="1">
      <c r="A574" s="99"/>
      <c r="AL574" s="101"/>
    </row>
    <row r="575" spans="1:38" ht="12.75" customHeight="1">
      <c r="A575" s="99"/>
      <c r="AL575" s="101"/>
    </row>
    <row r="576" spans="1:38" ht="12.75" customHeight="1">
      <c r="A576" s="99"/>
      <c r="AL576" s="101"/>
    </row>
    <row r="577" spans="1:38" ht="12.75" customHeight="1">
      <c r="A577" s="99"/>
      <c r="AL577" s="101"/>
    </row>
    <row r="578" spans="1:38" ht="12.75" customHeight="1">
      <c r="A578" s="99"/>
      <c r="AL578" s="101"/>
    </row>
    <row r="579" spans="1:38" ht="12.75" customHeight="1">
      <c r="A579" s="99"/>
      <c r="AL579" s="101"/>
    </row>
    <row r="580" spans="1:38" ht="12.75" customHeight="1">
      <c r="A580" s="99"/>
      <c r="AL580" s="101"/>
    </row>
    <row r="581" spans="1:38" ht="12.75" customHeight="1">
      <c r="A581" s="99"/>
      <c r="AL581" s="101"/>
    </row>
    <row r="582" spans="1:38" ht="12.75" customHeight="1">
      <c r="A582" s="99"/>
      <c r="AL582" s="101"/>
    </row>
    <row r="583" spans="1:38" ht="12.75" customHeight="1">
      <c r="A583" s="99"/>
      <c r="AL583" s="101"/>
    </row>
    <row r="584" spans="1:38" ht="12.75" customHeight="1">
      <c r="A584" s="99"/>
      <c r="AL584" s="101"/>
    </row>
    <row r="585" spans="1:38" ht="12.75" customHeight="1">
      <c r="A585" s="99"/>
      <c r="AL585" s="101"/>
    </row>
    <row r="586" spans="1:38" ht="12.75" customHeight="1">
      <c r="A586" s="99"/>
      <c r="AL586" s="101"/>
    </row>
    <row r="587" spans="1:38" ht="12.75" customHeight="1">
      <c r="A587" s="99"/>
      <c r="AL587" s="101"/>
    </row>
    <row r="588" spans="1:38" ht="12.75" customHeight="1">
      <c r="A588" s="99"/>
      <c r="AL588" s="101"/>
    </row>
    <row r="589" spans="1:38" ht="12.75" customHeight="1">
      <c r="A589" s="99"/>
      <c r="AL589" s="101"/>
    </row>
    <row r="590" spans="1:38" ht="12.75" customHeight="1">
      <c r="A590" s="99"/>
      <c r="AL590" s="101"/>
    </row>
    <row r="591" spans="1:38" ht="12.75" customHeight="1">
      <c r="A591" s="99"/>
      <c r="AL591" s="101"/>
    </row>
    <row r="592" spans="1:38" ht="12.75" customHeight="1">
      <c r="A592" s="99"/>
      <c r="AL592" s="101"/>
    </row>
    <row r="593" spans="1:38" ht="12.75" customHeight="1">
      <c r="A593" s="99"/>
      <c r="AL593" s="101"/>
    </row>
    <row r="594" spans="1:38" ht="12.75" customHeight="1">
      <c r="A594" s="99"/>
      <c r="AL594" s="101"/>
    </row>
    <row r="595" spans="1:38" ht="12.75" customHeight="1">
      <c r="A595" s="99"/>
      <c r="AL595" s="101"/>
    </row>
    <row r="596" spans="1:38" ht="12.75" customHeight="1">
      <c r="A596" s="99"/>
      <c r="AL596" s="101"/>
    </row>
    <row r="597" spans="1:38" ht="12.75" customHeight="1">
      <c r="A597" s="99"/>
      <c r="AL597" s="101"/>
    </row>
    <row r="598" spans="1:38" ht="12.75" customHeight="1">
      <c r="A598" s="99"/>
      <c r="AL598" s="101"/>
    </row>
    <row r="599" spans="1:38" ht="12.75" customHeight="1">
      <c r="A599" s="99"/>
      <c r="AL599" s="101"/>
    </row>
    <row r="600" spans="1:38" ht="12.75" customHeight="1">
      <c r="A600" s="99"/>
      <c r="AL600" s="101"/>
    </row>
    <row r="601" spans="1:38" ht="12.75" customHeight="1">
      <c r="A601" s="99"/>
      <c r="AL601" s="101"/>
    </row>
    <row r="602" spans="1:38" ht="12.75" customHeight="1">
      <c r="A602" s="99"/>
      <c r="AL602" s="101"/>
    </row>
    <row r="603" spans="1:38" ht="12.75" customHeight="1">
      <c r="A603" s="99"/>
      <c r="AL603" s="101"/>
    </row>
    <row r="604" spans="1:38" ht="12.75" customHeight="1">
      <c r="A604" s="99"/>
      <c r="AL604" s="101"/>
    </row>
    <row r="605" spans="1:38" ht="12.75" customHeight="1">
      <c r="A605" s="99"/>
      <c r="AL605" s="101"/>
    </row>
    <row r="606" spans="1:38" ht="12.75" customHeight="1">
      <c r="A606" s="99"/>
      <c r="AL606" s="101"/>
    </row>
    <row r="607" spans="1:38" ht="12.75" customHeight="1">
      <c r="A607" s="99"/>
      <c r="AL607" s="101"/>
    </row>
    <row r="608" spans="1:38" ht="12.75" customHeight="1">
      <c r="A608" s="99"/>
      <c r="AL608" s="101"/>
    </row>
    <row r="609" spans="1:38" ht="12.75" customHeight="1">
      <c r="A609" s="99"/>
      <c r="AL609" s="101"/>
    </row>
    <row r="610" spans="1:38" ht="12.75" customHeight="1">
      <c r="A610" s="99"/>
      <c r="AL610" s="101"/>
    </row>
    <row r="611" spans="1:38" ht="12.75" customHeight="1">
      <c r="A611" s="99"/>
      <c r="AL611" s="101"/>
    </row>
    <row r="612" spans="1:38" ht="12.75" customHeight="1">
      <c r="A612" s="99"/>
      <c r="AL612" s="101"/>
    </row>
    <row r="613" spans="1:38" ht="12.75" customHeight="1">
      <c r="A613" s="99"/>
      <c r="AL613" s="101"/>
    </row>
    <row r="614" spans="1:38" ht="12.75" customHeight="1">
      <c r="A614" s="99"/>
      <c r="AL614" s="101"/>
    </row>
    <row r="615" spans="1:38" ht="12.75" customHeight="1">
      <c r="A615" s="99"/>
      <c r="AL615" s="101"/>
    </row>
    <row r="616" spans="1:38" ht="12.75" customHeight="1">
      <c r="A616" s="99"/>
      <c r="AL616" s="101"/>
    </row>
    <row r="617" spans="1:38" ht="12.75" customHeight="1">
      <c r="A617" s="99"/>
      <c r="AL617" s="101"/>
    </row>
    <row r="618" spans="1:38" ht="12.75" customHeight="1">
      <c r="A618" s="99"/>
      <c r="AL618" s="101"/>
    </row>
    <row r="619" spans="1:38" ht="12.75" customHeight="1">
      <c r="A619" s="99"/>
      <c r="AL619" s="101"/>
    </row>
    <row r="620" spans="1:38" ht="12.75" customHeight="1">
      <c r="A620" s="99"/>
      <c r="AL620" s="101"/>
    </row>
    <row r="621" spans="1:38" ht="12.75" customHeight="1">
      <c r="A621" s="99"/>
      <c r="AL621" s="101"/>
    </row>
    <row r="622" spans="1:38" ht="12.75" customHeight="1">
      <c r="A622" s="99"/>
      <c r="AL622" s="101"/>
    </row>
    <row r="623" spans="1:38" ht="12.75" customHeight="1">
      <c r="A623" s="99"/>
      <c r="AL623" s="101"/>
    </row>
    <row r="624" spans="1:38" ht="12.75" customHeight="1">
      <c r="A624" s="99"/>
      <c r="AL624" s="101"/>
    </row>
    <row r="625" spans="1:38" ht="12.75" customHeight="1">
      <c r="A625" s="99"/>
      <c r="AL625" s="101"/>
    </row>
    <row r="626" spans="1:38" ht="12.75" customHeight="1">
      <c r="A626" s="99"/>
      <c r="AL626" s="101"/>
    </row>
    <row r="627" spans="1:38" ht="12.75" customHeight="1">
      <c r="A627" s="99"/>
      <c r="AL627" s="101"/>
    </row>
    <row r="628" spans="1:38" ht="12.75" customHeight="1">
      <c r="A628" s="99"/>
      <c r="AL628" s="101"/>
    </row>
    <row r="629" spans="1:38" ht="12.75" customHeight="1">
      <c r="A629" s="99"/>
      <c r="AL629" s="101"/>
    </row>
    <row r="630" spans="1:38" ht="12.75" customHeight="1">
      <c r="A630" s="99"/>
      <c r="AL630" s="101"/>
    </row>
    <row r="631" spans="1:38" ht="12.75" customHeight="1">
      <c r="A631" s="99"/>
      <c r="AL631" s="101"/>
    </row>
    <row r="632" spans="1:38" ht="12.75" customHeight="1">
      <c r="A632" s="99"/>
      <c r="AL632" s="101"/>
    </row>
    <row r="633" spans="1:38" ht="12.75" customHeight="1">
      <c r="A633" s="99"/>
      <c r="AL633" s="101"/>
    </row>
    <row r="634" spans="1:38" ht="12.75" customHeight="1">
      <c r="A634" s="99"/>
      <c r="AL634" s="101"/>
    </row>
    <row r="635" spans="1:38" ht="12.75" customHeight="1">
      <c r="A635" s="99"/>
      <c r="AL635" s="101"/>
    </row>
    <row r="636" spans="1:38" ht="12.75" customHeight="1">
      <c r="A636" s="99"/>
      <c r="AL636" s="101"/>
    </row>
    <row r="637" spans="1:38" ht="12.75" customHeight="1">
      <c r="A637" s="99"/>
      <c r="AL637" s="101"/>
    </row>
    <row r="638" spans="1:38" ht="12.75" customHeight="1">
      <c r="A638" s="99"/>
      <c r="AL638" s="101"/>
    </row>
    <row r="639" spans="1:38" ht="12.75" customHeight="1">
      <c r="A639" s="99"/>
      <c r="AL639" s="101"/>
    </row>
    <row r="640" spans="1:38" ht="12.75" customHeight="1">
      <c r="A640" s="99"/>
      <c r="AL640" s="101"/>
    </row>
    <row r="641" spans="1:38" ht="12.75" customHeight="1">
      <c r="A641" s="99"/>
      <c r="AL641" s="101"/>
    </row>
    <row r="642" spans="1:38" ht="12.75" customHeight="1">
      <c r="A642" s="99"/>
      <c r="AL642" s="101"/>
    </row>
    <row r="643" spans="1:38" ht="12.75" customHeight="1">
      <c r="A643" s="99"/>
      <c r="AL643" s="101"/>
    </row>
    <row r="644" spans="1:38" ht="12.75" customHeight="1">
      <c r="A644" s="99"/>
      <c r="AL644" s="101"/>
    </row>
    <row r="645" spans="1:38" ht="12.75" customHeight="1">
      <c r="A645" s="99"/>
      <c r="AL645" s="101"/>
    </row>
    <row r="646" spans="1:38" ht="12.75" customHeight="1">
      <c r="A646" s="99"/>
      <c r="AL646" s="101"/>
    </row>
    <row r="647" spans="1:38" ht="12.75" customHeight="1">
      <c r="A647" s="99"/>
      <c r="AL647" s="101"/>
    </row>
    <row r="648" spans="1:38" ht="12.75" customHeight="1">
      <c r="A648" s="99"/>
      <c r="AL648" s="101"/>
    </row>
    <row r="649" spans="1:38" ht="12.75" customHeight="1">
      <c r="A649" s="99"/>
      <c r="AL649" s="101"/>
    </row>
    <row r="650" spans="1:38" ht="12.75" customHeight="1">
      <c r="A650" s="99"/>
      <c r="AL650" s="101"/>
    </row>
    <row r="651" spans="1:38" ht="12.75" customHeight="1">
      <c r="A651" s="99"/>
      <c r="AL651" s="101"/>
    </row>
    <row r="652" spans="1:38" ht="12.75" customHeight="1">
      <c r="A652" s="99"/>
      <c r="AL652" s="101"/>
    </row>
    <row r="653" spans="1:38" ht="12.75" customHeight="1">
      <c r="A653" s="99"/>
      <c r="AL653" s="101"/>
    </row>
    <row r="654" spans="1:38" ht="12.75" customHeight="1">
      <c r="A654" s="99"/>
      <c r="AL654" s="101"/>
    </row>
    <row r="655" spans="1:38" ht="12.75" customHeight="1">
      <c r="A655" s="99"/>
      <c r="AL655" s="101"/>
    </row>
    <row r="656" spans="1:38" ht="12.75" customHeight="1">
      <c r="A656" s="99"/>
      <c r="AL656" s="101"/>
    </row>
    <row r="657" spans="1:38" ht="12.75" customHeight="1">
      <c r="A657" s="99"/>
      <c r="AL657" s="101"/>
    </row>
    <row r="658" spans="1:38" ht="12.75" customHeight="1">
      <c r="A658" s="99"/>
      <c r="AL658" s="101"/>
    </row>
    <row r="659" spans="1:38" ht="12.75" customHeight="1">
      <c r="A659" s="99"/>
      <c r="AL659" s="101"/>
    </row>
    <row r="660" spans="1:38" ht="12.75" customHeight="1">
      <c r="A660" s="99"/>
      <c r="AL660" s="101"/>
    </row>
    <row r="661" spans="1:38" ht="12.75" customHeight="1">
      <c r="A661" s="99"/>
      <c r="AL661" s="101"/>
    </row>
    <row r="662" spans="1:38" ht="12.75" customHeight="1">
      <c r="A662" s="99"/>
      <c r="AL662" s="101"/>
    </row>
    <row r="663" spans="1:38" ht="12.75" customHeight="1">
      <c r="A663" s="99"/>
      <c r="AL663" s="101"/>
    </row>
    <row r="664" spans="1:38" ht="12.75" customHeight="1">
      <c r="A664" s="99"/>
      <c r="AL664" s="101"/>
    </row>
    <row r="665" spans="1:38" ht="12.75" customHeight="1">
      <c r="A665" s="99"/>
      <c r="AL665" s="101"/>
    </row>
    <row r="666" spans="1:38" ht="12.75" customHeight="1">
      <c r="A666" s="99"/>
      <c r="AL666" s="101"/>
    </row>
    <row r="667" spans="1:38" ht="12.75" customHeight="1">
      <c r="A667" s="99"/>
      <c r="AL667" s="101"/>
    </row>
    <row r="668" spans="1:38" ht="12.75" customHeight="1">
      <c r="A668" s="99"/>
      <c r="AL668" s="101"/>
    </row>
    <row r="669" spans="1:38" ht="12.75" customHeight="1">
      <c r="A669" s="99"/>
      <c r="AL669" s="101"/>
    </row>
    <row r="670" spans="1:38" ht="12.75" customHeight="1">
      <c r="A670" s="99"/>
      <c r="AL670" s="101"/>
    </row>
    <row r="671" spans="1:38" ht="12.75" customHeight="1">
      <c r="A671" s="99"/>
      <c r="AL671" s="101"/>
    </row>
    <row r="672" spans="1:38" ht="12.75" customHeight="1">
      <c r="A672" s="99"/>
      <c r="AL672" s="101"/>
    </row>
    <row r="673" spans="1:38" ht="12.75" customHeight="1">
      <c r="A673" s="99"/>
      <c r="AL673" s="101"/>
    </row>
    <row r="674" spans="1:38" ht="12.75" customHeight="1">
      <c r="A674" s="99"/>
      <c r="AL674" s="101"/>
    </row>
    <row r="675" spans="1:38" ht="12.75" customHeight="1">
      <c r="A675" s="99"/>
      <c r="AL675" s="101"/>
    </row>
    <row r="676" spans="1:38" ht="12.75" customHeight="1">
      <c r="A676" s="99"/>
      <c r="AL676" s="101"/>
    </row>
    <row r="677" spans="1:38" ht="12.75" customHeight="1">
      <c r="A677" s="99"/>
      <c r="AL677" s="101"/>
    </row>
    <row r="678" spans="1:38" ht="12.75" customHeight="1">
      <c r="A678" s="99"/>
      <c r="AL678" s="101"/>
    </row>
    <row r="679" spans="1:38" ht="12.75" customHeight="1">
      <c r="A679" s="99"/>
      <c r="AL679" s="101"/>
    </row>
    <row r="680" spans="1:38" ht="12.75" customHeight="1">
      <c r="A680" s="99"/>
      <c r="AL680" s="101"/>
    </row>
    <row r="681" spans="1:38" ht="12.75" customHeight="1">
      <c r="A681" s="99"/>
      <c r="AL681" s="101"/>
    </row>
    <row r="682" spans="1:38" ht="12.75" customHeight="1">
      <c r="A682" s="99"/>
      <c r="AL682" s="101"/>
    </row>
    <row r="683" spans="1:38" ht="12.75" customHeight="1">
      <c r="A683" s="99"/>
      <c r="AL683" s="101"/>
    </row>
    <row r="684" spans="1:38" ht="12.75" customHeight="1">
      <c r="A684" s="99"/>
      <c r="AL684" s="101"/>
    </row>
    <row r="685" spans="1:38" ht="12.75" customHeight="1">
      <c r="A685" s="99"/>
      <c r="AL685" s="101"/>
    </row>
    <row r="686" spans="1:38" ht="12.75" customHeight="1">
      <c r="A686" s="99"/>
      <c r="AL686" s="101"/>
    </row>
    <row r="687" spans="1:38" ht="12.75" customHeight="1">
      <c r="A687" s="99"/>
      <c r="AL687" s="101"/>
    </row>
    <row r="688" spans="1:38" ht="12.75" customHeight="1">
      <c r="A688" s="99"/>
      <c r="AL688" s="101"/>
    </row>
    <row r="689" spans="1:38" ht="12.75" customHeight="1">
      <c r="A689" s="99"/>
      <c r="AL689" s="101"/>
    </row>
    <row r="690" spans="1:38" ht="12.75" customHeight="1">
      <c r="A690" s="99"/>
      <c r="AL690" s="101"/>
    </row>
    <row r="691" spans="1:38" ht="12.75" customHeight="1">
      <c r="A691" s="99"/>
      <c r="AL691" s="101"/>
    </row>
    <row r="692" spans="1:38" ht="12.75" customHeight="1">
      <c r="A692" s="99"/>
      <c r="AL692" s="101"/>
    </row>
    <row r="693" spans="1:38" ht="12.75" customHeight="1">
      <c r="A693" s="99"/>
      <c r="AL693" s="101"/>
    </row>
    <row r="694" spans="1:38" ht="12.75" customHeight="1">
      <c r="A694" s="99"/>
      <c r="AL694" s="101"/>
    </row>
    <row r="695" spans="1:38" ht="12.75" customHeight="1">
      <c r="A695" s="99"/>
      <c r="AL695" s="101"/>
    </row>
    <row r="696" spans="1:38" ht="12.75" customHeight="1">
      <c r="A696" s="99"/>
      <c r="AL696" s="101"/>
    </row>
    <row r="697" spans="1:38" ht="12.75" customHeight="1">
      <c r="A697" s="99"/>
      <c r="AL697" s="101"/>
    </row>
    <row r="698" spans="1:38" ht="12.75" customHeight="1">
      <c r="A698" s="99"/>
      <c r="AL698" s="101"/>
    </row>
    <row r="699" spans="1:38" ht="12.75" customHeight="1">
      <c r="A699" s="99"/>
      <c r="AL699" s="101"/>
    </row>
    <row r="700" spans="1:38" ht="12.75" customHeight="1">
      <c r="A700" s="99"/>
      <c r="AL700" s="101"/>
    </row>
    <row r="701" spans="1:38" ht="12.75" customHeight="1">
      <c r="A701" s="99"/>
      <c r="AL701" s="101"/>
    </row>
    <row r="702" spans="1:38" ht="12.75" customHeight="1">
      <c r="A702" s="99"/>
      <c r="AL702" s="101"/>
    </row>
    <row r="703" spans="1:38" ht="12.75" customHeight="1">
      <c r="A703" s="99"/>
      <c r="AL703" s="101"/>
    </row>
    <row r="704" spans="1:38" ht="12.75" customHeight="1">
      <c r="A704" s="99"/>
      <c r="AL704" s="101"/>
    </row>
    <row r="705" spans="1:38" ht="12.75" customHeight="1">
      <c r="A705" s="99"/>
      <c r="AL705" s="101"/>
    </row>
    <row r="706" spans="1:38" ht="12.75" customHeight="1">
      <c r="A706" s="99"/>
      <c r="AL706" s="101"/>
    </row>
    <row r="707" spans="1:38" ht="12.75" customHeight="1">
      <c r="A707" s="99"/>
      <c r="AL707" s="101"/>
    </row>
    <row r="708" spans="1:38" ht="12.75" customHeight="1">
      <c r="A708" s="99"/>
      <c r="AL708" s="101"/>
    </row>
    <row r="709" spans="1:38" ht="12.75" customHeight="1">
      <c r="A709" s="99"/>
      <c r="AL709" s="101"/>
    </row>
    <row r="710" spans="1:38" ht="12.75" customHeight="1">
      <c r="A710" s="99"/>
      <c r="AL710" s="101"/>
    </row>
    <row r="711" spans="1:38" ht="12.75" customHeight="1">
      <c r="A711" s="99"/>
      <c r="AL711" s="101"/>
    </row>
    <row r="712" spans="1:38" ht="12.75" customHeight="1">
      <c r="A712" s="99"/>
      <c r="AL712" s="101"/>
    </row>
    <row r="713" spans="1:38" ht="12.75" customHeight="1">
      <c r="A713" s="99"/>
      <c r="AL713" s="101"/>
    </row>
    <row r="714" spans="1:38" ht="12.75" customHeight="1">
      <c r="A714" s="99"/>
      <c r="AL714" s="101"/>
    </row>
    <row r="715" spans="1:38" ht="12.75" customHeight="1">
      <c r="A715" s="99"/>
      <c r="AL715" s="101"/>
    </row>
    <row r="716" spans="1:38" ht="12.75" customHeight="1">
      <c r="A716" s="99"/>
      <c r="AL716" s="101"/>
    </row>
    <row r="717" spans="1:38" ht="12.75" customHeight="1">
      <c r="A717" s="99"/>
      <c r="AL717" s="101"/>
    </row>
    <row r="718" spans="1:38" ht="12.75" customHeight="1">
      <c r="A718" s="99"/>
      <c r="AL718" s="101"/>
    </row>
    <row r="719" spans="1:38" ht="12.75" customHeight="1">
      <c r="A719" s="99"/>
      <c r="AL719" s="101"/>
    </row>
    <row r="720" spans="1:38" ht="12.75" customHeight="1">
      <c r="A720" s="99"/>
      <c r="AL720" s="101"/>
    </row>
    <row r="721" spans="1:38" ht="12.75" customHeight="1">
      <c r="A721" s="99"/>
      <c r="AL721" s="101"/>
    </row>
    <row r="722" spans="1:38" ht="12.75" customHeight="1">
      <c r="A722" s="99"/>
      <c r="AL722" s="101"/>
    </row>
    <row r="723" spans="1:38" ht="12.75" customHeight="1">
      <c r="A723" s="99"/>
      <c r="AL723" s="101"/>
    </row>
    <row r="724" spans="1:38" ht="12.75" customHeight="1">
      <c r="A724" s="99"/>
      <c r="AL724" s="101"/>
    </row>
    <row r="725" spans="1:38" ht="12.75" customHeight="1">
      <c r="A725" s="99"/>
      <c r="AL725" s="101"/>
    </row>
    <row r="726" spans="1:38" ht="12.75" customHeight="1">
      <c r="A726" s="99"/>
      <c r="AL726" s="101"/>
    </row>
    <row r="727" spans="1:38" ht="12.75" customHeight="1">
      <c r="A727" s="99"/>
      <c r="AL727" s="101"/>
    </row>
    <row r="728" spans="1:38" ht="12.75" customHeight="1">
      <c r="A728" s="99"/>
      <c r="AL728" s="101"/>
    </row>
    <row r="729" spans="1:38" ht="12.75" customHeight="1">
      <c r="A729" s="99"/>
      <c r="AL729" s="101"/>
    </row>
    <row r="730" spans="1:38" ht="12.75" customHeight="1">
      <c r="A730" s="99"/>
      <c r="AL730" s="101"/>
    </row>
    <row r="731" spans="1:38" ht="12.75" customHeight="1">
      <c r="A731" s="99"/>
      <c r="AL731" s="101"/>
    </row>
    <row r="732" spans="1:38" ht="12.75" customHeight="1">
      <c r="A732" s="99"/>
      <c r="AL732" s="101"/>
    </row>
    <row r="733" spans="1:38" ht="12.75" customHeight="1">
      <c r="A733" s="99"/>
      <c r="AL733" s="101"/>
    </row>
    <row r="734" spans="1:38" ht="12.75" customHeight="1">
      <c r="A734" s="99"/>
      <c r="AL734" s="101"/>
    </row>
    <row r="735" spans="1:38" ht="12.75" customHeight="1">
      <c r="A735" s="99"/>
      <c r="AL735" s="101"/>
    </row>
    <row r="736" spans="1:38" ht="12.75" customHeight="1">
      <c r="A736" s="99"/>
      <c r="AL736" s="101"/>
    </row>
    <row r="737" spans="1:38" ht="12.75" customHeight="1">
      <c r="A737" s="99"/>
      <c r="AL737" s="101"/>
    </row>
    <row r="738" spans="1:38" ht="12.75" customHeight="1">
      <c r="A738" s="99"/>
      <c r="AL738" s="101"/>
    </row>
    <row r="739" spans="1:38" ht="12.75" customHeight="1">
      <c r="A739" s="99"/>
      <c r="AL739" s="101"/>
    </row>
    <row r="740" spans="1:38" ht="12.75" customHeight="1">
      <c r="A740" s="99"/>
      <c r="AL740" s="101"/>
    </row>
    <row r="741" spans="1:38" ht="12.75" customHeight="1">
      <c r="A741" s="99"/>
      <c r="AL741" s="101"/>
    </row>
    <row r="742" spans="1:38" ht="12.75" customHeight="1">
      <c r="A742" s="99"/>
      <c r="AL742" s="101"/>
    </row>
    <row r="743" spans="1:38" ht="12.75" customHeight="1">
      <c r="A743" s="99"/>
      <c r="AL743" s="101"/>
    </row>
    <row r="744" spans="1:38" ht="12.75" customHeight="1">
      <c r="A744" s="99"/>
      <c r="AL744" s="101"/>
    </row>
    <row r="745" spans="1:38" ht="12.75" customHeight="1">
      <c r="A745" s="99"/>
      <c r="AL745" s="101"/>
    </row>
    <row r="746" spans="1:38" ht="12.75" customHeight="1">
      <c r="A746" s="99"/>
      <c r="AL746" s="101"/>
    </row>
    <row r="747" spans="1:38" ht="12.75" customHeight="1">
      <c r="A747" s="99"/>
      <c r="AL747" s="101"/>
    </row>
    <row r="748" spans="1:38" ht="12.75" customHeight="1">
      <c r="A748" s="99"/>
      <c r="AL748" s="101"/>
    </row>
    <row r="749" spans="1:38" ht="12.75" customHeight="1">
      <c r="A749" s="99"/>
      <c r="AL749" s="101"/>
    </row>
    <row r="750" spans="1:38" ht="12.75" customHeight="1">
      <c r="A750" s="99"/>
      <c r="AL750" s="101"/>
    </row>
    <row r="751" spans="1:38" ht="12.75" customHeight="1">
      <c r="A751" s="99"/>
      <c r="AL751" s="101"/>
    </row>
    <row r="752" spans="1:38" ht="12.75" customHeight="1">
      <c r="A752" s="99"/>
      <c r="AL752" s="101"/>
    </row>
    <row r="753" spans="1:38" ht="12.75" customHeight="1">
      <c r="A753" s="99"/>
      <c r="AL753" s="101"/>
    </row>
    <row r="754" spans="1:38" ht="12.75" customHeight="1">
      <c r="A754" s="99"/>
      <c r="AL754" s="101"/>
    </row>
    <row r="755" spans="1:38" ht="12.75" customHeight="1">
      <c r="A755" s="99"/>
      <c r="AL755" s="101"/>
    </row>
    <row r="756" spans="1:38" ht="12.75" customHeight="1">
      <c r="A756" s="99"/>
      <c r="AL756" s="101"/>
    </row>
    <row r="757" spans="1:38" ht="12.75" customHeight="1">
      <c r="A757" s="99"/>
      <c r="AL757" s="101"/>
    </row>
    <row r="758" spans="1:38" ht="12.75" customHeight="1">
      <c r="A758" s="99"/>
      <c r="AL758" s="101"/>
    </row>
    <row r="759" spans="1:38" ht="12.75" customHeight="1">
      <c r="A759" s="99"/>
      <c r="AL759" s="101"/>
    </row>
    <row r="760" spans="1:38" ht="12.75" customHeight="1">
      <c r="A760" s="99"/>
      <c r="AL760" s="101"/>
    </row>
    <row r="761" spans="1:38" ht="12.75" customHeight="1">
      <c r="A761" s="99"/>
      <c r="AL761" s="101"/>
    </row>
    <row r="762" spans="1:38" ht="12.75" customHeight="1">
      <c r="A762" s="99"/>
      <c r="AL762" s="101"/>
    </row>
    <row r="763" spans="1:38" ht="12.75" customHeight="1">
      <c r="A763" s="99"/>
      <c r="AL763" s="101"/>
    </row>
    <row r="764" spans="1:38" ht="12.75" customHeight="1">
      <c r="A764" s="99"/>
      <c r="AL764" s="101"/>
    </row>
    <row r="765" spans="1:38" ht="12.75" customHeight="1">
      <c r="A765" s="99"/>
      <c r="AL765" s="101"/>
    </row>
    <row r="766" spans="1:38" ht="12.75" customHeight="1">
      <c r="A766" s="99"/>
      <c r="AL766" s="101"/>
    </row>
    <row r="767" spans="1:38" ht="12.75" customHeight="1">
      <c r="A767" s="99"/>
      <c r="AL767" s="101"/>
    </row>
    <row r="768" spans="1:38" ht="12.75" customHeight="1">
      <c r="A768" s="99"/>
      <c r="AL768" s="101"/>
    </row>
    <row r="769" spans="1:38" ht="12.75" customHeight="1">
      <c r="A769" s="99"/>
      <c r="AL769" s="101"/>
    </row>
    <row r="770" spans="1:38" ht="12.75" customHeight="1">
      <c r="A770" s="99"/>
      <c r="AL770" s="101"/>
    </row>
    <row r="771" spans="1:38" ht="12.75" customHeight="1">
      <c r="A771" s="99"/>
      <c r="AL771" s="101"/>
    </row>
    <row r="772" spans="1:38" ht="12.75" customHeight="1">
      <c r="A772" s="99"/>
      <c r="AL772" s="101"/>
    </row>
    <row r="773" spans="1:38" ht="12.75" customHeight="1">
      <c r="A773" s="99"/>
      <c r="AL773" s="101"/>
    </row>
    <row r="774" spans="1:38" ht="12.75" customHeight="1">
      <c r="A774" s="99"/>
      <c r="AL774" s="101"/>
    </row>
    <row r="775" spans="1:38" ht="12.75" customHeight="1">
      <c r="A775" s="99"/>
      <c r="AL775" s="101"/>
    </row>
    <row r="776" spans="1:38" ht="12.75" customHeight="1">
      <c r="A776" s="99"/>
      <c r="AL776" s="101"/>
    </row>
    <row r="777" spans="1:38" ht="12.75" customHeight="1">
      <c r="A777" s="99"/>
      <c r="AL777" s="101"/>
    </row>
    <row r="778" spans="1:38" ht="12.75" customHeight="1">
      <c r="A778" s="99"/>
      <c r="AL778" s="101"/>
    </row>
    <row r="779" spans="1:38" ht="12.75" customHeight="1">
      <c r="A779" s="99"/>
      <c r="AL779" s="101"/>
    </row>
    <row r="780" spans="1:38" ht="12.75" customHeight="1">
      <c r="A780" s="99"/>
      <c r="AL780" s="101"/>
    </row>
    <row r="781" spans="1:38" ht="12.75" customHeight="1">
      <c r="A781" s="99"/>
      <c r="AL781" s="101"/>
    </row>
    <row r="782" spans="1:38" ht="12.75" customHeight="1">
      <c r="A782" s="99"/>
      <c r="AL782" s="101"/>
    </row>
    <row r="783" spans="1:38" ht="12.75" customHeight="1">
      <c r="A783" s="99"/>
      <c r="AL783" s="101"/>
    </row>
    <row r="784" spans="1:38" ht="12.75" customHeight="1">
      <c r="A784" s="99"/>
      <c r="AL784" s="101"/>
    </row>
    <row r="785" spans="1:38" ht="12.75" customHeight="1">
      <c r="A785" s="99"/>
      <c r="AL785" s="101"/>
    </row>
    <row r="786" spans="1:38" ht="12.75" customHeight="1">
      <c r="A786" s="99"/>
      <c r="AL786" s="101"/>
    </row>
    <row r="787" spans="1:38" ht="12.75" customHeight="1">
      <c r="A787" s="99"/>
      <c r="AL787" s="101"/>
    </row>
    <row r="788" spans="1:38" ht="12.75" customHeight="1">
      <c r="A788" s="99"/>
      <c r="AL788" s="101"/>
    </row>
    <row r="789" spans="1:38" ht="12.75" customHeight="1">
      <c r="A789" s="99"/>
      <c r="AL789" s="101"/>
    </row>
    <row r="790" spans="1:38" ht="12.75" customHeight="1">
      <c r="A790" s="99"/>
      <c r="AL790" s="101"/>
    </row>
    <row r="791" spans="1:38" ht="12.75" customHeight="1">
      <c r="A791" s="99"/>
      <c r="AL791" s="101"/>
    </row>
    <row r="792" spans="1:38" ht="12.75" customHeight="1">
      <c r="A792" s="99"/>
      <c r="AL792" s="101"/>
    </row>
    <row r="793" spans="1:38" ht="12.75" customHeight="1">
      <c r="A793" s="99"/>
      <c r="AL793" s="101"/>
    </row>
    <row r="794" spans="1:38" ht="12.75" customHeight="1">
      <c r="A794" s="99"/>
      <c r="AL794" s="101"/>
    </row>
    <row r="795" spans="1:38" ht="12.75" customHeight="1">
      <c r="A795" s="99"/>
      <c r="AL795" s="101"/>
    </row>
    <row r="796" spans="1:38" ht="12.75" customHeight="1">
      <c r="A796" s="99"/>
      <c r="AL796" s="101"/>
    </row>
    <row r="797" spans="1:38" ht="12.75" customHeight="1">
      <c r="A797" s="99"/>
      <c r="AL797" s="101"/>
    </row>
    <row r="798" spans="1:38" ht="12.75" customHeight="1">
      <c r="A798" s="99"/>
      <c r="AL798" s="101"/>
    </row>
    <row r="799" spans="1:38" ht="12.75" customHeight="1">
      <c r="A799" s="99"/>
      <c r="AL799" s="101"/>
    </row>
    <row r="800" spans="1:38" ht="12.75" customHeight="1">
      <c r="A800" s="99"/>
      <c r="AL800" s="101"/>
    </row>
    <row r="801" spans="1:38" ht="12.75" customHeight="1">
      <c r="A801" s="99"/>
      <c r="AL801" s="101"/>
    </row>
    <row r="802" spans="1:38" ht="12.75" customHeight="1">
      <c r="A802" s="99"/>
      <c r="AL802" s="101"/>
    </row>
    <row r="803" spans="1:38" ht="12.75" customHeight="1">
      <c r="A803" s="99"/>
      <c r="AL803" s="101"/>
    </row>
    <row r="804" spans="1:38" ht="12.75" customHeight="1">
      <c r="A804" s="99"/>
      <c r="AL804" s="101"/>
    </row>
    <row r="805" spans="1:38" ht="12.75" customHeight="1">
      <c r="A805" s="99"/>
      <c r="AL805" s="101"/>
    </row>
    <row r="806" spans="1:38" ht="12.75" customHeight="1">
      <c r="A806" s="99"/>
      <c r="AL806" s="101"/>
    </row>
    <row r="807" spans="1:38" ht="12.75" customHeight="1">
      <c r="A807" s="99"/>
      <c r="AL807" s="101"/>
    </row>
    <row r="808" spans="1:38" ht="12.75" customHeight="1">
      <c r="A808" s="99"/>
      <c r="AL808" s="101"/>
    </row>
    <row r="809" spans="1:38" ht="12.75" customHeight="1">
      <c r="A809" s="99"/>
      <c r="AL809" s="101"/>
    </row>
    <row r="810" spans="1:38" ht="12.75" customHeight="1">
      <c r="A810" s="99"/>
      <c r="AL810" s="101"/>
    </row>
    <row r="811" spans="1:38" ht="12.75" customHeight="1">
      <c r="A811" s="99"/>
      <c r="AL811" s="101"/>
    </row>
    <row r="812" spans="1:38" ht="12.75" customHeight="1">
      <c r="A812" s="99"/>
      <c r="AL812" s="101"/>
    </row>
    <row r="813" spans="1:38" ht="12.75" customHeight="1">
      <c r="A813" s="99"/>
      <c r="AL813" s="101"/>
    </row>
    <row r="814" spans="1:38" ht="12.75" customHeight="1">
      <c r="A814" s="99"/>
      <c r="AL814" s="101"/>
    </row>
    <row r="815" spans="1:38" ht="12.75" customHeight="1">
      <c r="A815" s="99"/>
      <c r="AL815" s="101"/>
    </row>
    <row r="816" spans="1:38" ht="12.75" customHeight="1">
      <c r="A816" s="99"/>
      <c r="AL816" s="101"/>
    </row>
    <row r="817" spans="1:38" ht="12.75" customHeight="1">
      <c r="A817" s="99"/>
      <c r="AL817" s="101"/>
    </row>
    <row r="818" spans="1:38" ht="12.75" customHeight="1">
      <c r="A818" s="99"/>
      <c r="AL818" s="101"/>
    </row>
    <row r="819" spans="1:38" ht="12.75" customHeight="1">
      <c r="A819" s="99"/>
      <c r="AL819" s="101"/>
    </row>
    <row r="820" spans="1:38" ht="12.75" customHeight="1">
      <c r="A820" s="99"/>
      <c r="AL820" s="101"/>
    </row>
    <row r="821" spans="1:38" ht="12.75" customHeight="1">
      <c r="A821" s="99"/>
      <c r="AL821" s="101"/>
    </row>
    <row r="822" spans="1:38" ht="12.75" customHeight="1">
      <c r="A822" s="99"/>
      <c r="AL822" s="101"/>
    </row>
    <row r="823" spans="1:38" ht="12.75" customHeight="1">
      <c r="A823" s="99"/>
      <c r="AL823" s="101"/>
    </row>
    <row r="824" spans="1:38" ht="12.75" customHeight="1">
      <c r="A824" s="99"/>
      <c r="AL824" s="101"/>
    </row>
    <row r="825" spans="1:38" ht="12.75" customHeight="1">
      <c r="A825" s="99"/>
      <c r="AL825" s="101"/>
    </row>
    <row r="826" spans="1:38" ht="12.75" customHeight="1">
      <c r="A826" s="99"/>
      <c r="AL826" s="101"/>
    </row>
    <row r="827" spans="1:38" ht="12.75" customHeight="1">
      <c r="A827" s="99"/>
      <c r="AL827" s="101"/>
    </row>
    <row r="828" spans="1:38" ht="12.75" customHeight="1">
      <c r="A828" s="99"/>
      <c r="AL828" s="101"/>
    </row>
    <row r="829" spans="1:38" ht="12.75" customHeight="1">
      <c r="A829" s="99"/>
      <c r="AL829" s="101"/>
    </row>
    <row r="830" spans="1:38" ht="12.75" customHeight="1">
      <c r="A830" s="99"/>
      <c r="AL830" s="101"/>
    </row>
    <row r="831" spans="1:38" ht="12.75" customHeight="1">
      <c r="A831" s="99"/>
      <c r="AL831" s="101"/>
    </row>
    <row r="832" spans="1:38" ht="12.75" customHeight="1">
      <c r="A832" s="99"/>
      <c r="AL832" s="101"/>
    </row>
    <row r="833" spans="1:38" ht="12.75" customHeight="1">
      <c r="A833" s="99"/>
      <c r="AL833" s="101"/>
    </row>
    <row r="834" spans="1:38" ht="12.75" customHeight="1">
      <c r="A834" s="99"/>
      <c r="AL834" s="101"/>
    </row>
    <row r="835" spans="1:38" ht="12.75" customHeight="1">
      <c r="A835" s="99"/>
      <c r="AL835" s="101"/>
    </row>
    <row r="836" spans="1:38" ht="12.75" customHeight="1">
      <c r="A836" s="99"/>
      <c r="AL836" s="101"/>
    </row>
    <row r="837" spans="1:38" ht="12.75" customHeight="1">
      <c r="A837" s="99"/>
      <c r="AL837" s="101"/>
    </row>
    <row r="838" spans="1:38" ht="12.75" customHeight="1">
      <c r="A838" s="99"/>
      <c r="AL838" s="101"/>
    </row>
    <row r="839" spans="1:38" ht="12.75" customHeight="1">
      <c r="A839" s="99"/>
      <c r="AL839" s="101"/>
    </row>
    <row r="840" spans="1:38" ht="12.75" customHeight="1">
      <c r="A840" s="99"/>
      <c r="AL840" s="101"/>
    </row>
    <row r="841" spans="1:38" ht="12.75" customHeight="1">
      <c r="A841" s="99"/>
      <c r="AL841" s="101"/>
    </row>
    <row r="842" spans="1:38" ht="12.75" customHeight="1">
      <c r="A842" s="99"/>
      <c r="AL842" s="101"/>
    </row>
    <row r="843" spans="1:38" ht="12.75" customHeight="1">
      <c r="A843" s="99"/>
      <c r="AL843" s="101"/>
    </row>
    <row r="844" spans="1:38" ht="12.75" customHeight="1">
      <c r="A844" s="99"/>
      <c r="AL844" s="101"/>
    </row>
    <row r="845" spans="1:38" ht="12.75" customHeight="1">
      <c r="A845" s="99"/>
      <c r="AL845" s="101"/>
    </row>
    <row r="846" spans="1:38" ht="12.75" customHeight="1">
      <c r="A846" s="99"/>
      <c r="AL846" s="101"/>
    </row>
    <row r="847" spans="1:38" ht="12.75" customHeight="1">
      <c r="A847" s="99"/>
      <c r="AL847" s="101"/>
    </row>
    <row r="848" spans="1:38" ht="12.75" customHeight="1">
      <c r="A848" s="99"/>
      <c r="AL848" s="101"/>
    </row>
    <row r="849" spans="1:38" ht="12.75" customHeight="1">
      <c r="A849" s="99"/>
      <c r="AL849" s="101"/>
    </row>
    <row r="850" spans="1:38" ht="12.75" customHeight="1">
      <c r="A850" s="99"/>
      <c r="AL850" s="101"/>
    </row>
    <row r="851" spans="1:38" ht="12.75" customHeight="1">
      <c r="A851" s="99"/>
      <c r="AL851" s="101"/>
    </row>
    <row r="852" spans="1:38" ht="12.75" customHeight="1">
      <c r="A852" s="99"/>
      <c r="AL852" s="101"/>
    </row>
    <row r="853" spans="1:38" ht="12.75" customHeight="1">
      <c r="A853" s="99"/>
      <c r="AL853" s="101"/>
    </row>
    <row r="854" spans="1:38" ht="12.75" customHeight="1">
      <c r="A854" s="99"/>
      <c r="AL854" s="101"/>
    </row>
    <row r="855" spans="1:38" ht="12.75" customHeight="1">
      <c r="A855" s="99"/>
      <c r="AL855" s="101"/>
    </row>
    <row r="856" spans="1:38" ht="12.75" customHeight="1">
      <c r="A856" s="99"/>
      <c r="AL856" s="101"/>
    </row>
    <row r="857" spans="1:38" ht="12.75" customHeight="1">
      <c r="A857" s="99"/>
      <c r="AL857" s="101"/>
    </row>
    <row r="858" spans="1:38" ht="12.75" customHeight="1">
      <c r="A858" s="99"/>
      <c r="AL858" s="101"/>
    </row>
    <row r="859" spans="1:38" ht="12.75" customHeight="1">
      <c r="A859" s="99"/>
      <c r="AL859" s="101"/>
    </row>
    <row r="860" spans="1:38" ht="12.75" customHeight="1">
      <c r="A860" s="99"/>
      <c r="AL860" s="101"/>
    </row>
    <row r="861" spans="1:38" ht="12.75" customHeight="1">
      <c r="A861" s="99"/>
      <c r="AL861" s="101"/>
    </row>
    <row r="862" spans="1:38" ht="12.75" customHeight="1">
      <c r="A862" s="99"/>
      <c r="AL862" s="101"/>
    </row>
    <row r="863" spans="1:38" ht="12.75" customHeight="1">
      <c r="A863" s="99"/>
      <c r="AL863" s="101"/>
    </row>
    <row r="864" spans="1:38" ht="12.75" customHeight="1">
      <c r="A864" s="99"/>
      <c r="AL864" s="101"/>
    </row>
    <row r="865" spans="1:38" ht="12.75" customHeight="1">
      <c r="A865" s="99"/>
      <c r="AL865" s="101"/>
    </row>
    <row r="866" spans="1:38" ht="12.75" customHeight="1">
      <c r="A866" s="99"/>
      <c r="AL866" s="101"/>
    </row>
    <row r="867" spans="1:38" ht="12.75" customHeight="1">
      <c r="A867" s="99"/>
      <c r="AL867" s="101"/>
    </row>
    <row r="868" spans="1:38" ht="12.75" customHeight="1">
      <c r="A868" s="99"/>
      <c r="AL868" s="101"/>
    </row>
    <row r="869" spans="1:38" ht="12.75" customHeight="1">
      <c r="A869" s="99"/>
      <c r="AL869" s="101"/>
    </row>
    <row r="870" spans="1:38" ht="12.75" customHeight="1">
      <c r="A870" s="99"/>
      <c r="AL870" s="101"/>
    </row>
    <row r="871" spans="1:38" ht="12.75" customHeight="1">
      <c r="A871" s="99"/>
      <c r="AL871" s="101"/>
    </row>
    <row r="872" spans="1:38" ht="12.75" customHeight="1">
      <c r="A872" s="99"/>
      <c r="AL872" s="101"/>
    </row>
    <row r="873" spans="1:38" ht="12.75" customHeight="1">
      <c r="A873" s="99"/>
      <c r="AL873" s="101"/>
    </row>
    <row r="874" spans="1:38" ht="12.75" customHeight="1">
      <c r="A874" s="99"/>
      <c r="AL874" s="101"/>
    </row>
    <row r="875" spans="1:38" ht="12.75" customHeight="1">
      <c r="A875" s="99"/>
      <c r="AL875" s="101"/>
    </row>
    <row r="876" spans="1:38" ht="12.75" customHeight="1">
      <c r="A876" s="99"/>
      <c r="AL876" s="101"/>
    </row>
    <row r="877" spans="1:38" ht="12.75" customHeight="1">
      <c r="A877" s="99"/>
      <c r="AL877" s="101"/>
    </row>
    <row r="878" spans="1:38" ht="12.75" customHeight="1">
      <c r="A878" s="99"/>
      <c r="AL878" s="101"/>
    </row>
    <row r="879" spans="1:38" ht="12.75" customHeight="1">
      <c r="A879" s="99"/>
      <c r="AL879" s="101"/>
    </row>
    <row r="880" spans="1:38" ht="12.75" customHeight="1">
      <c r="A880" s="99"/>
      <c r="AL880" s="101"/>
    </row>
    <row r="881" spans="1:38" ht="12.75" customHeight="1">
      <c r="A881" s="99"/>
      <c r="AL881" s="101"/>
    </row>
    <row r="882" spans="1:38" ht="12.75" customHeight="1">
      <c r="A882" s="99"/>
      <c r="AL882" s="101"/>
    </row>
    <row r="883" spans="1:38" ht="12.75" customHeight="1">
      <c r="A883" s="99"/>
      <c r="AL883" s="101"/>
    </row>
    <row r="884" spans="1:38" ht="12.75" customHeight="1">
      <c r="A884" s="99"/>
      <c r="AL884" s="101"/>
    </row>
    <row r="885" spans="1:38" ht="12.75" customHeight="1">
      <c r="A885" s="99"/>
      <c r="AL885" s="101"/>
    </row>
    <row r="886" spans="1:38" ht="12.75" customHeight="1">
      <c r="A886" s="99"/>
      <c r="AL886" s="101"/>
    </row>
    <row r="887" spans="1:38" ht="12.75" customHeight="1">
      <c r="A887" s="99"/>
      <c r="AL887" s="101"/>
    </row>
    <row r="888" spans="1:38" ht="12.75" customHeight="1">
      <c r="A888" s="99"/>
      <c r="AL888" s="101"/>
    </row>
    <row r="889" spans="1:38" ht="12.75" customHeight="1">
      <c r="A889" s="99"/>
      <c r="AL889" s="101"/>
    </row>
    <row r="890" spans="1:38" ht="12.75" customHeight="1">
      <c r="A890" s="99"/>
      <c r="AL890" s="101"/>
    </row>
    <row r="891" spans="1:38" ht="12.75" customHeight="1">
      <c r="A891" s="99"/>
      <c r="AL891" s="101"/>
    </row>
    <row r="892" spans="1:38" ht="12.75" customHeight="1">
      <c r="A892" s="99"/>
      <c r="AL892" s="101"/>
    </row>
    <row r="893" spans="1:38" ht="12.75" customHeight="1">
      <c r="A893" s="99"/>
      <c r="AL893" s="101"/>
    </row>
    <row r="894" spans="1:38" ht="12.75" customHeight="1">
      <c r="A894" s="99"/>
      <c r="AL894" s="101"/>
    </row>
    <row r="895" spans="1:38" ht="12.75" customHeight="1">
      <c r="A895" s="99"/>
      <c r="AL895" s="101"/>
    </row>
    <row r="896" spans="1:38" ht="12.75" customHeight="1">
      <c r="A896" s="99"/>
      <c r="AL896" s="101"/>
    </row>
    <row r="897" spans="1:38" ht="12.75" customHeight="1">
      <c r="A897" s="99"/>
      <c r="AL897" s="101"/>
    </row>
    <row r="898" spans="1:38" ht="12.75" customHeight="1">
      <c r="A898" s="99"/>
      <c r="AL898" s="101"/>
    </row>
    <row r="899" spans="1:38" ht="12.75" customHeight="1">
      <c r="A899" s="99"/>
      <c r="AL899" s="101"/>
    </row>
    <row r="900" spans="1:38" ht="12.75" customHeight="1">
      <c r="A900" s="99"/>
      <c r="AL900" s="101"/>
    </row>
    <row r="901" spans="1:38" ht="12.75" customHeight="1">
      <c r="A901" s="99"/>
      <c r="AL901" s="101"/>
    </row>
    <row r="902" spans="1:38" ht="12.75" customHeight="1">
      <c r="A902" s="99"/>
      <c r="AL902" s="101"/>
    </row>
    <row r="903" spans="1:38" ht="12.75" customHeight="1">
      <c r="A903" s="99"/>
      <c r="AL903" s="101"/>
    </row>
    <row r="904" spans="1:38" ht="12.75" customHeight="1">
      <c r="A904" s="99"/>
      <c r="AL904" s="101"/>
    </row>
    <row r="905" spans="1:38" ht="12.75" customHeight="1">
      <c r="A905" s="99"/>
      <c r="AL905" s="101"/>
    </row>
    <row r="906" spans="1:38" ht="12.75" customHeight="1">
      <c r="A906" s="99"/>
      <c r="AL906" s="101"/>
    </row>
    <row r="907" spans="1:38" ht="12.75" customHeight="1">
      <c r="A907" s="99"/>
      <c r="AL907" s="101"/>
    </row>
    <row r="908" spans="1:38" ht="12.75" customHeight="1">
      <c r="A908" s="99"/>
      <c r="AL908" s="101"/>
    </row>
    <row r="909" spans="1:38" ht="12.75" customHeight="1">
      <c r="A909" s="99"/>
      <c r="AL909" s="101"/>
    </row>
    <row r="910" spans="1:38" ht="12.75" customHeight="1">
      <c r="A910" s="99"/>
      <c r="AL910" s="101"/>
    </row>
    <row r="911" spans="1:38" ht="12.75" customHeight="1">
      <c r="A911" s="99"/>
      <c r="AL911" s="101"/>
    </row>
    <row r="912" spans="1:38" ht="12.75" customHeight="1">
      <c r="A912" s="99"/>
      <c r="AL912" s="101"/>
    </row>
    <row r="913" spans="1:38" ht="12.75" customHeight="1">
      <c r="A913" s="99"/>
      <c r="AL913" s="101"/>
    </row>
    <row r="914" spans="1:38" ht="12.75" customHeight="1">
      <c r="A914" s="99"/>
      <c r="AL914" s="101"/>
    </row>
    <row r="915" spans="1:38" ht="12.75" customHeight="1">
      <c r="A915" s="99"/>
      <c r="AL915" s="101"/>
    </row>
    <row r="916" spans="1:38" ht="12.75" customHeight="1">
      <c r="A916" s="99"/>
      <c r="AL916" s="101"/>
    </row>
    <row r="917" spans="1:38" ht="12.75" customHeight="1">
      <c r="A917" s="99"/>
      <c r="AL917" s="101"/>
    </row>
    <row r="918" spans="1:38" ht="12.75" customHeight="1">
      <c r="A918" s="99"/>
      <c r="AL918" s="101"/>
    </row>
    <row r="919" spans="1:38" ht="12.75" customHeight="1">
      <c r="A919" s="99"/>
      <c r="AL919" s="101"/>
    </row>
    <row r="920" spans="1:38" ht="12.75" customHeight="1">
      <c r="A920" s="99"/>
      <c r="AL920" s="101"/>
    </row>
    <row r="921" spans="1:38" ht="12.75" customHeight="1">
      <c r="A921" s="99"/>
      <c r="AL921" s="101"/>
    </row>
    <row r="922" spans="1:38" ht="12.75" customHeight="1">
      <c r="A922" s="99"/>
      <c r="AL922" s="101"/>
    </row>
    <row r="923" spans="1:38" ht="12.75" customHeight="1">
      <c r="A923" s="99"/>
      <c r="AL923" s="101"/>
    </row>
    <row r="924" spans="1:38" ht="12.75" customHeight="1">
      <c r="A924" s="99"/>
      <c r="AL924" s="101"/>
    </row>
    <row r="925" spans="1:38" ht="12.75" customHeight="1">
      <c r="A925" s="99"/>
      <c r="AL925" s="101"/>
    </row>
    <row r="926" spans="1:38" ht="12.75" customHeight="1">
      <c r="A926" s="99"/>
      <c r="AL926" s="101"/>
    </row>
    <row r="927" spans="1:38" ht="12.75" customHeight="1">
      <c r="A927" s="99"/>
      <c r="AL927" s="101"/>
    </row>
    <row r="928" spans="1:38" ht="12.75" customHeight="1">
      <c r="A928" s="99"/>
      <c r="AL928" s="101"/>
    </row>
    <row r="929" spans="1:38" ht="12.75" customHeight="1">
      <c r="A929" s="99"/>
      <c r="AL929" s="101"/>
    </row>
    <row r="930" spans="1:38" ht="12.75" customHeight="1">
      <c r="A930" s="99"/>
      <c r="AL930" s="101"/>
    </row>
    <row r="931" spans="1:38" ht="12.75" customHeight="1">
      <c r="A931" s="99"/>
      <c r="AL931" s="101"/>
    </row>
    <row r="932" spans="1:38" ht="12.75" customHeight="1">
      <c r="A932" s="99"/>
      <c r="AL932" s="101"/>
    </row>
    <row r="933" spans="1:38" ht="12.75" customHeight="1">
      <c r="A933" s="99"/>
      <c r="AL933" s="101"/>
    </row>
    <row r="934" spans="1:38" ht="12.75" customHeight="1">
      <c r="A934" s="99"/>
      <c r="AL934" s="101"/>
    </row>
    <row r="935" spans="1:38" ht="12.75" customHeight="1">
      <c r="A935" s="99"/>
      <c r="AL935" s="101"/>
    </row>
    <row r="936" spans="1:38" ht="12.75" customHeight="1">
      <c r="A936" s="99"/>
      <c r="AL936" s="101"/>
    </row>
    <row r="937" spans="1:38" ht="12.75" customHeight="1">
      <c r="A937" s="99"/>
      <c r="AL937" s="101"/>
    </row>
    <row r="938" spans="1:38" ht="12.75" customHeight="1">
      <c r="A938" s="99"/>
      <c r="AL938" s="101"/>
    </row>
    <row r="939" spans="1:38" ht="12.75" customHeight="1">
      <c r="A939" s="99"/>
      <c r="AL939" s="101"/>
    </row>
    <row r="940" spans="1:38" ht="12.75" customHeight="1">
      <c r="A940" s="99"/>
      <c r="AL940" s="101"/>
    </row>
    <row r="941" spans="1:38" ht="12.75" customHeight="1">
      <c r="A941" s="99"/>
      <c r="AL941" s="101"/>
    </row>
    <row r="942" spans="1:38" ht="12.75" customHeight="1">
      <c r="A942" s="99"/>
      <c r="AL942" s="101"/>
    </row>
    <row r="943" spans="1:38" ht="12.75" customHeight="1">
      <c r="A943" s="99"/>
      <c r="AL943" s="101"/>
    </row>
    <row r="944" spans="1:38" ht="12.75" customHeight="1">
      <c r="A944" s="99"/>
      <c r="AL944" s="101"/>
    </row>
    <row r="945" spans="1:38" ht="12.75" customHeight="1">
      <c r="A945" s="99"/>
      <c r="AL945" s="101"/>
    </row>
    <row r="946" spans="1:38" ht="12.75" customHeight="1">
      <c r="A946" s="99"/>
      <c r="AL946" s="101"/>
    </row>
    <row r="947" spans="1:38" ht="12.75" customHeight="1">
      <c r="A947" s="99"/>
      <c r="AL947" s="101"/>
    </row>
    <row r="948" spans="1:38" ht="12.75" customHeight="1">
      <c r="A948" s="99"/>
      <c r="AL948" s="101"/>
    </row>
    <row r="949" spans="1:38" ht="12.75" customHeight="1">
      <c r="A949" s="99"/>
      <c r="AL949" s="101"/>
    </row>
    <row r="950" spans="1:38" ht="12.75" customHeight="1">
      <c r="A950" s="99"/>
      <c r="AL950" s="101"/>
    </row>
    <row r="951" spans="1:38" ht="12.75" customHeight="1">
      <c r="A951" s="99"/>
      <c r="AL951" s="101"/>
    </row>
    <row r="952" spans="1:38" ht="12.75" customHeight="1">
      <c r="A952" s="99"/>
      <c r="AL952" s="101"/>
    </row>
    <row r="953" spans="1:38" ht="12.75" customHeight="1">
      <c r="A953" s="99"/>
      <c r="AL953" s="101"/>
    </row>
    <row r="954" spans="1:38" ht="12.75" customHeight="1">
      <c r="A954" s="99"/>
      <c r="AL954" s="101"/>
    </row>
    <row r="955" spans="1:38" ht="12.75" customHeight="1">
      <c r="A955" s="99"/>
      <c r="AL955" s="101"/>
    </row>
    <row r="956" spans="1:38" ht="12.75" customHeight="1">
      <c r="A956" s="99"/>
      <c r="AL956" s="101"/>
    </row>
    <row r="957" spans="1:38" ht="12.75" customHeight="1">
      <c r="A957" s="99"/>
      <c r="AL957" s="101"/>
    </row>
    <row r="958" spans="1:38" ht="12.75" customHeight="1">
      <c r="A958" s="99"/>
      <c r="AL958" s="101"/>
    </row>
    <row r="959" spans="1:38" ht="12.75" customHeight="1">
      <c r="A959" s="99"/>
      <c r="AL959" s="101"/>
    </row>
    <row r="960" spans="1:38" ht="12.75" customHeight="1">
      <c r="A960" s="99"/>
      <c r="AL960" s="101"/>
    </row>
    <row r="961" spans="1:38" ht="12.75" customHeight="1">
      <c r="A961" s="99"/>
      <c r="AL961" s="101"/>
    </row>
    <row r="962" spans="1:38" ht="12.75" customHeight="1">
      <c r="A962" s="99"/>
      <c r="AL962" s="101"/>
    </row>
    <row r="963" spans="1:38" ht="12.75" customHeight="1">
      <c r="A963" s="99"/>
      <c r="AL963" s="101"/>
    </row>
    <row r="964" spans="1:38" ht="12.75" customHeight="1">
      <c r="A964" s="99"/>
      <c r="AL964" s="101"/>
    </row>
    <row r="965" spans="1:38" ht="12.75" customHeight="1">
      <c r="A965" s="99"/>
      <c r="AL965" s="101"/>
    </row>
    <row r="966" spans="1:38" ht="12.75" customHeight="1">
      <c r="A966" s="99"/>
      <c r="AL966" s="101"/>
    </row>
    <row r="967" spans="1:38" ht="12.75" customHeight="1">
      <c r="A967" s="99"/>
      <c r="AL967" s="101"/>
    </row>
    <row r="968" spans="1:38" ht="12.75" customHeight="1">
      <c r="A968" s="99"/>
      <c r="AL968" s="101"/>
    </row>
    <row r="969" spans="1:38" ht="12.75" customHeight="1">
      <c r="A969" s="99"/>
      <c r="AL969" s="101"/>
    </row>
    <row r="970" spans="1:38" ht="12.75" customHeight="1">
      <c r="A970" s="99"/>
      <c r="AL970" s="101"/>
    </row>
    <row r="971" spans="1:38" ht="12.75" customHeight="1">
      <c r="A971" s="99"/>
      <c r="AL971" s="101"/>
    </row>
    <row r="972" spans="1:38" ht="12.75" customHeight="1">
      <c r="A972" s="99"/>
      <c r="AL972" s="101"/>
    </row>
    <row r="973" spans="1:38" ht="12.75" customHeight="1">
      <c r="A973" s="99"/>
      <c r="AL973" s="101"/>
    </row>
    <row r="974" spans="1:38" ht="12.75" customHeight="1">
      <c r="A974" s="99"/>
      <c r="AL974" s="101"/>
    </row>
    <row r="975" spans="1:38" ht="12.75" customHeight="1">
      <c r="A975" s="99"/>
      <c r="AL975" s="101"/>
    </row>
    <row r="976" spans="1:38" ht="12.75" customHeight="1">
      <c r="A976" s="99"/>
      <c r="AL976" s="101"/>
    </row>
    <row r="977" spans="1:38" ht="12.75" customHeight="1">
      <c r="A977" s="99"/>
      <c r="AL977" s="101"/>
    </row>
    <row r="978" spans="1:38" ht="12.75" customHeight="1">
      <c r="A978" s="99"/>
      <c r="AL978" s="101"/>
    </row>
    <row r="979" spans="1:38" ht="12.75" customHeight="1">
      <c r="A979" s="99"/>
      <c r="AL979" s="101"/>
    </row>
    <row r="980" spans="1:38" ht="12.75" customHeight="1">
      <c r="A980" s="99"/>
      <c r="AL980" s="101"/>
    </row>
    <row r="981" spans="1:38" ht="12.75" customHeight="1">
      <c r="A981" s="99"/>
      <c r="AL981" s="101"/>
    </row>
    <row r="982" spans="1:38" ht="12.75" customHeight="1">
      <c r="A982" s="99"/>
      <c r="AL982" s="101"/>
    </row>
    <row r="983" spans="1:38" ht="12.75" customHeight="1">
      <c r="A983" s="99"/>
      <c r="AL983" s="101"/>
    </row>
    <row r="984" spans="1:38" ht="12.75" customHeight="1">
      <c r="A984" s="99"/>
      <c r="AL984" s="101"/>
    </row>
    <row r="985" spans="1:38" ht="12.75" customHeight="1">
      <c r="A985" s="99"/>
      <c r="AL985" s="101"/>
    </row>
    <row r="986" spans="1:38" ht="12.75" customHeight="1">
      <c r="A986" s="99"/>
      <c r="AL986" s="101"/>
    </row>
    <row r="987" spans="1:38" ht="12.75" customHeight="1">
      <c r="A987" s="99"/>
      <c r="AL987" s="101"/>
    </row>
    <row r="988" spans="1:38" ht="12.75" customHeight="1">
      <c r="A988" s="99"/>
      <c r="AL988" s="101"/>
    </row>
    <row r="989" spans="1:38" ht="12.75" customHeight="1">
      <c r="A989" s="99"/>
      <c r="AL989" s="101"/>
    </row>
    <row r="990" spans="1:38" ht="12.75" customHeight="1">
      <c r="A990" s="99"/>
      <c r="AL990" s="101"/>
    </row>
    <row r="991" spans="1:38" ht="12.75" customHeight="1">
      <c r="A991" s="99"/>
      <c r="AL991" s="101"/>
    </row>
    <row r="992" spans="1:38" ht="12.75" customHeight="1">
      <c r="A992" s="99"/>
      <c r="AL992" s="101"/>
    </row>
    <row r="993" spans="1:38" ht="12.75" customHeight="1">
      <c r="A993" s="99"/>
      <c r="AL993" s="101"/>
    </row>
    <row r="994" spans="1:38" ht="12.75" customHeight="1">
      <c r="A994" s="99"/>
      <c r="AL994" s="101"/>
    </row>
    <row r="995" spans="1:38" ht="12.75" customHeight="1">
      <c r="A995" s="99"/>
      <c r="AL995" s="101"/>
    </row>
    <row r="996" spans="1:38" ht="12.75" customHeight="1">
      <c r="A996" s="99"/>
      <c r="AL996" s="101"/>
    </row>
    <row r="997" spans="1:38" ht="12.75" customHeight="1">
      <c r="A997" s="99"/>
      <c r="AL997" s="101"/>
    </row>
    <row r="998" spans="1:38" ht="12.75" customHeight="1">
      <c r="A998" s="99"/>
      <c r="AL998" s="101"/>
    </row>
    <row r="999" spans="1:38" ht="12.75" customHeight="1">
      <c r="A999" s="99"/>
      <c r="AL999" s="101"/>
    </row>
    <row r="1000" spans="1:38" ht="12.75" customHeight="1">
      <c r="A1000" s="99"/>
      <c r="AL1000" s="101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32F78A3-59DE-4BB5-A05A-47C229C510B0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8AA3A217-B7C7-4BE7-8892-EB195E53759C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202" t="str">
        <f>Summen!B1</f>
        <v>Alta Engineering AG</v>
      </c>
      <c r="B1" s="192"/>
      <c r="C1" s="192"/>
      <c r="D1" s="192"/>
      <c r="E1" s="190"/>
      <c r="F1" s="196" t="s">
        <v>0</v>
      </c>
      <c r="G1" s="190"/>
      <c r="H1" s="197" t="s">
        <v>1</v>
      </c>
      <c r="I1" s="192"/>
      <c r="J1" s="198" t="str">
        <f>Summen!B3</f>
        <v>Michael Küng</v>
      </c>
      <c r="K1" s="192"/>
      <c r="L1" s="192"/>
      <c r="M1" s="190"/>
      <c r="N1" s="199" t="s">
        <v>2</v>
      </c>
      <c r="O1" s="192"/>
      <c r="P1" s="189">
        <f>Jan!P1+31</f>
        <v>46054</v>
      </c>
      <c r="Q1" s="190"/>
      <c r="R1" s="1"/>
      <c r="S1" s="2" t="s">
        <v>3</v>
      </c>
      <c r="T1" s="2"/>
      <c r="U1" s="3">
        <f>Summen!B5</f>
        <v>1</v>
      </c>
      <c r="V1" s="1"/>
      <c r="W1" s="4" t="s">
        <v>4</v>
      </c>
      <c r="X1" s="5">
        <f>Jan!X1+1</f>
        <v>2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Jan!H2+(Jan!Q35/Summen!B9)</f>
        <v>0</v>
      </c>
      <c r="I2" s="11" t="s">
        <v>7</v>
      </c>
      <c r="J2" s="13">
        <f>E2-H2</f>
        <v>10.8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Jan!U35</f>
        <v>0</v>
      </c>
      <c r="V2" s="191" t="s">
        <v>9</v>
      </c>
      <c r="W2" s="192"/>
      <c r="X2" s="201"/>
      <c r="Y2" s="105"/>
      <c r="Z2" s="103"/>
      <c r="AA2" s="103"/>
      <c r="AB2" s="103"/>
      <c r="AC2" s="103"/>
      <c r="AD2" s="103"/>
      <c r="AE2" s="103"/>
      <c r="AF2" s="15"/>
      <c r="AG2" s="9"/>
      <c r="AH2" s="10"/>
      <c r="AI2" s="10"/>
      <c r="AJ2" s="106"/>
      <c r="AK2" s="7"/>
      <c r="AL2" s="7"/>
    </row>
    <row r="3" spans="1:38" ht="69.75" customHeight="1">
      <c r="A3" s="22" t="s">
        <v>10</v>
      </c>
      <c r="B3" s="25"/>
      <c r="C3" s="24" t="s">
        <v>85</v>
      </c>
      <c r="D3" s="24" t="s">
        <v>86</v>
      </c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107" t="s">
        <v>23</v>
      </c>
      <c r="Y3" s="108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09" t="s">
        <v>26</v>
      </c>
      <c r="AH3" s="110" t="s">
        <v>27</v>
      </c>
      <c r="AI3" s="110" t="s">
        <v>28</v>
      </c>
      <c r="AJ3" s="111" t="s">
        <v>29</v>
      </c>
      <c r="AK3" s="112"/>
      <c r="AL3" s="41" t="s">
        <v>30</v>
      </c>
    </row>
    <row r="4" spans="1:38" ht="13.5" customHeight="1">
      <c r="A4" s="42">
        <f>P1</f>
        <v>46054</v>
      </c>
      <c r="B4" s="45" t="str">
        <f>IFERROR(VLOOKUP(A4, Feiertage!$B:$C, 2, 0), IF(OR(WEEKDAY(A4,2)=6, WEEKDAY(A4,2)=7), Feiertage!$C$23, ""))</f>
        <v>* * * * * * * * Wochenende * * * * * * * * * * * * * * * * * * * * * * * * * * * * * * * * * * * * * * * * * * * * * * * *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61">
        <f>IF(OR(WEEKDAY(A4,2)=6,WEEKDAY(A4,2)=7),0,IFERROR(IF(VLOOKUP(A4,Feiertage!$B:$D,3,0)="ja",0,Summen!$B$9),Summen!$B$9))</f>
        <v>0</v>
      </c>
      <c r="S4" s="47">
        <f t="shared" ref="S4:S31" si="0">SUM(C4:Q4)</f>
        <v>0</v>
      </c>
      <c r="T4" s="47">
        <f t="shared" ref="T4:T31" si="1">S4-R4</f>
        <v>0</v>
      </c>
      <c r="U4" s="48">
        <f>U2+T4</f>
        <v>0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1" si="2">(Z4-Y4)+(AB4-AA4)+(AD4-AC4)+(AF4-AE4)</f>
        <v>0</v>
      </c>
      <c r="AH4" s="47">
        <f t="shared" ref="AH4:AH31" si="3">HOUR(AG4)</f>
        <v>0</v>
      </c>
      <c r="AI4" s="47">
        <f t="shared" ref="AI4:AI31" si="4">MINUTE(AG4)/60</f>
        <v>0</v>
      </c>
      <c r="AJ4" s="48">
        <f t="shared" ref="AJ4:AJ31" si="5">AH4+AI4</f>
        <v>0</v>
      </c>
      <c r="AL4" s="54">
        <f t="shared" ref="AL4:AL32" si="6">SUM(C4:Q4)-AJ4</f>
        <v>0</v>
      </c>
    </row>
    <row r="5" spans="1:38" ht="13.5" customHeight="1">
      <c r="A5" s="56">
        <f t="shared" ref="A5:A31" si="7">A4+1</f>
        <v>46055</v>
      </c>
      <c r="B5" s="59" t="str">
        <f>IFERROR(VLOOKUP(A5, Feiertage!$B:$C, 2, 0), IF(OR(WEEKDAY(A5,2)=6, WEEKDAY(A5,2)=7), Feiertage!$C$23, ""))</f>
        <v/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v>0</v>
      </c>
      <c r="S5" s="62">
        <f t="shared" si="0"/>
        <v>0</v>
      </c>
      <c r="T5" s="62">
        <f t="shared" si="1"/>
        <v>0</v>
      </c>
      <c r="U5" s="63">
        <f t="shared" ref="U5:U31" si="8">U4+T5</f>
        <v>0</v>
      </c>
      <c r="V5" s="59"/>
      <c r="W5" s="64"/>
      <c r="X5" s="65">
        <f>V5+W5*Summen!$B$44</f>
        <v>0</v>
      </c>
      <c r="Y5" s="66"/>
      <c r="Z5" s="67"/>
      <c r="AA5" s="67"/>
      <c r="AB5" s="67"/>
      <c r="AC5" s="67"/>
      <c r="AD5" s="67"/>
      <c r="AE5" s="67"/>
      <c r="AF5" s="68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46056</v>
      </c>
      <c r="B6" s="45" t="str">
        <f>IFERROR(VLOOKUP(A6, Feiertage!$B:$C, 2, 0), IF(OR(WEEKDAY(A6,2)=6, WEEKDAY(A6,2)=7), Feiertage!$C$23, ""))</f>
        <v/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v>0</v>
      </c>
      <c r="S6" s="62">
        <f t="shared" si="0"/>
        <v>0</v>
      </c>
      <c r="T6" s="62">
        <f t="shared" si="1"/>
        <v>0</v>
      </c>
      <c r="U6" s="63">
        <f t="shared" si="8"/>
        <v>0</v>
      </c>
      <c r="V6" s="45"/>
      <c r="W6" s="49"/>
      <c r="X6" s="65">
        <f>V6+W6*Summen!$B$44</f>
        <v>0</v>
      </c>
      <c r="Y6" s="72"/>
      <c r="Z6" s="73"/>
      <c r="AA6" s="73"/>
      <c r="AB6" s="73"/>
      <c r="AC6" s="73"/>
      <c r="AD6" s="73"/>
      <c r="AE6" s="73"/>
      <c r="AF6" s="74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46057</v>
      </c>
      <c r="B7" s="59" t="str">
        <f>IFERROR(VLOOKUP(A7, Feiertage!$B:$C, 2, 0), IF(OR(WEEKDAY(A7,2)=6, WEEKDAY(A7,2)=7), Feiertage!$C$23, ""))</f>
        <v/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v>0</v>
      </c>
      <c r="S7" s="62">
        <f t="shared" si="0"/>
        <v>0</v>
      </c>
      <c r="T7" s="62">
        <f t="shared" si="1"/>
        <v>0</v>
      </c>
      <c r="U7" s="63">
        <f t="shared" si="8"/>
        <v>0</v>
      </c>
      <c r="V7" s="59"/>
      <c r="W7" s="64"/>
      <c r="X7" s="65">
        <f>V7+W7*Summen!$B$44</f>
        <v>0</v>
      </c>
      <c r="Y7" s="66"/>
      <c r="Z7" s="67"/>
      <c r="AA7" s="67"/>
      <c r="AB7" s="67"/>
      <c r="AC7" s="67"/>
      <c r="AD7" s="67"/>
      <c r="AE7" s="67"/>
      <c r="AF7" s="68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46058</v>
      </c>
      <c r="B8" s="45" t="str">
        <f>IFERROR(VLOOKUP(A8, Feiertage!$B:$C, 2, 0), IF(OR(WEEKDAY(A8,2)=6, WEEKDAY(A8,2)=7), Feiertage!$C$23, ""))</f>
        <v/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v>0</v>
      </c>
      <c r="S8" s="62">
        <f t="shared" si="0"/>
        <v>0</v>
      </c>
      <c r="T8" s="62">
        <f t="shared" si="1"/>
        <v>0</v>
      </c>
      <c r="U8" s="63">
        <f t="shared" si="8"/>
        <v>0</v>
      </c>
      <c r="V8" s="45"/>
      <c r="W8" s="49"/>
      <c r="X8" s="65">
        <f>V8+W8*Summen!$B$44</f>
        <v>0</v>
      </c>
      <c r="Y8" s="72"/>
      <c r="Z8" s="73"/>
      <c r="AA8" s="73"/>
      <c r="AB8" s="73"/>
      <c r="AC8" s="73"/>
      <c r="AD8" s="73"/>
      <c r="AE8" s="73"/>
      <c r="AF8" s="74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46059</v>
      </c>
      <c r="B9" s="59" t="str">
        <f>IFERROR(VLOOKUP(A9, Feiertage!$B:$C, 2, 0), IF(OR(WEEKDAY(A9,2)=6, WEEKDAY(A9,2)=7), Feiertage!$C$23, ""))</f>
        <v/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v>0</v>
      </c>
      <c r="S9" s="62">
        <f t="shared" si="0"/>
        <v>0</v>
      </c>
      <c r="T9" s="62">
        <f t="shared" si="1"/>
        <v>0</v>
      </c>
      <c r="U9" s="63">
        <f t="shared" si="8"/>
        <v>0</v>
      </c>
      <c r="V9" s="59"/>
      <c r="W9" s="64"/>
      <c r="X9" s="65">
        <f>V9+W9*Summen!$B$44</f>
        <v>0</v>
      </c>
      <c r="Y9" s="66"/>
      <c r="Z9" s="67"/>
      <c r="AA9" s="67"/>
      <c r="AB9" s="67"/>
      <c r="AC9" s="67"/>
      <c r="AD9" s="67"/>
      <c r="AE9" s="67"/>
      <c r="AF9" s="68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46060</v>
      </c>
      <c r="B10" s="45" t="str">
        <f>IFERROR(VLOOKUP(A10, Feiertage!$B:$C, 2, 0), IF(OR(WEEKDAY(A10,2)=6, WEEKDAY(A10,2)=7), Feiertage!$C$23, ""))</f>
        <v>* * * * * * * * Wochenende * * * * * * * * * * * * * * * * * * * * * * * * * * * * * * * * * * * * * * * * * * * * * * * *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0</v>
      </c>
      <c r="S10" s="62">
        <f t="shared" si="0"/>
        <v>0</v>
      </c>
      <c r="T10" s="62">
        <f t="shared" si="1"/>
        <v>0</v>
      </c>
      <c r="U10" s="63">
        <f t="shared" si="8"/>
        <v>0</v>
      </c>
      <c r="V10" s="45"/>
      <c r="W10" s="49"/>
      <c r="X10" s="65">
        <f>V10+W10*Summen!$B$44</f>
        <v>0</v>
      </c>
      <c r="Y10" s="72"/>
      <c r="Z10" s="73"/>
      <c r="AA10" s="73"/>
      <c r="AB10" s="73"/>
      <c r="AC10" s="73"/>
      <c r="AD10" s="73"/>
      <c r="AE10" s="73"/>
      <c r="AF10" s="74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46061</v>
      </c>
      <c r="B11" s="59" t="str">
        <f>IFERROR(VLOOKUP(A11, Feiertage!$B:$C, 2, 0), IF(OR(WEEKDAY(A11,2)=6, WEEKDAY(A11,2)=7), Feiertage!$C$23, ""))</f>
        <v>* * * * * * * * Wochenende * * * * * * * * * * * * * * * * * * * * * * * * * * * * * * * * * * * * * * * * * * * * * * * *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0</v>
      </c>
      <c r="S11" s="62">
        <f t="shared" si="0"/>
        <v>0</v>
      </c>
      <c r="T11" s="62">
        <f t="shared" si="1"/>
        <v>0</v>
      </c>
      <c r="U11" s="63">
        <f t="shared" si="8"/>
        <v>0</v>
      </c>
      <c r="V11" s="59"/>
      <c r="W11" s="64"/>
      <c r="X11" s="65">
        <f>V11+W11*Summen!$B$44</f>
        <v>0</v>
      </c>
      <c r="Y11" s="66"/>
      <c r="Z11" s="67"/>
      <c r="AA11" s="67"/>
      <c r="AB11" s="67"/>
      <c r="AC11" s="67"/>
      <c r="AD11" s="67"/>
      <c r="AE11" s="67"/>
      <c r="AF11" s="68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46062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v>0</v>
      </c>
      <c r="S12" s="62">
        <f t="shared" si="0"/>
        <v>0</v>
      </c>
      <c r="T12" s="62">
        <f t="shared" si="1"/>
        <v>0</v>
      </c>
      <c r="U12" s="63">
        <f t="shared" si="8"/>
        <v>0</v>
      </c>
      <c r="V12" s="45"/>
      <c r="W12" s="49"/>
      <c r="X12" s="65">
        <f>V12+W12*Summen!$B$44</f>
        <v>0</v>
      </c>
      <c r="Y12" s="72"/>
      <c r="Z12" s="73"/>
      <c r="AA12" s="73"/>
      <c r="AB12" s="73"/>
      <c r="AC12" s="73"/>
      <c r="AD12" s="73"/>
      <c r="AE12" s="73"/>
      <c r="AF12" s="74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46063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v>0</v>
      </c>
      <c r="S13" s="62">
        <f t="shared" si="0"/>
        <v>0</v>
      </c>
      <c r="T13" s="62">
        <f t="shared" si="1"/>
        <v>0</v>
      </c>
      <c r="U13" s="63">
        <f t="shared" si="8"/>
        <v>0</v>
      </c>
      <c r="V13" s="59"/>
      <c r="W13" s="64"/>
      <c r="X13" s="65">
        <f>V13+W13*Summen!$B$44</f>
        <v>0</v>
      </c>
      <c r="Y13" s="66"/>
      <c r="Z13" s="67"/>
      <c r="AA13" s="67"/>
      <c r="AB13" s="67"/>
      <c r="AC13" s="67"/>
      <c r="AD13" s="67"/>
      <c r="AE13" s="67"/>
      <c r="AF13" s="68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46064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v>0</v>
      </c>
      <c r="S14" s="62">
        <f t="shared" si="0"/>
        <v>0</v>
      </c>
      <c r="T14" s="62">
        <f t="shared" si="1"/>
        <v>0</v>
      </c>
      <c r="U14" s="63">
        <f t="shared" si="8"/>
        <v>0</v>
      </c>
      <c r="V14" s="45"/>
      <c r="W14" s="49"/>
      <c r="X14" s="65">
        <f>V14+W14*Summen!$B$44</f>
        <v>0</v>
      </c>
      <c r="Y14" s="72"/>
      <c r="Z14" s="73"/>
      <c r="AA14" s="73"/>
      <c r="AB14" s="73"/>
      <c r="AC14" s="73"/>
      <c r="AD14" s="73"/>
      <c r="AE14" s="73"/>
      <c r="AF14" s="74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46065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v>0</v>
      </c>
      <c r="S15" s="62">
        <f t="shared" si="0"/>
        <v>0</v>
      </c>
      <c r="T15" s="62">
        <f t="shared" si="1"/>
        <v>0</v>
      </c>
      <c r="U15" s="63">
        <f t="shared" si="8"/>
        <v>0</v>
      </c>
      <c r="V15" s="59"/>
      <c r="W15" s="64"/>
      <c r="X15" s="65">
        <f>V15+W15*Summen!$B$44</f>
        <v>0</v>
      </c>
      <c r="Y15" s="66"/>
      <c r="Z15" s="67"/>
      <c r="AA15" s="67"/>
      <c r="AB15" s="67"/>
      <c r="AC15" s="67"/>
      <c r="AD15" s="67"/>
      <c r="AE15" s="67"/>
      <c r="AF15" s="68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46066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v>0</v>
      </c>
      <c r="S16" s="62">
        <f t="shared" si="0"/>
        <v>0</v>
      </c>
      <c r="T16" s="62">
        <f t="shared" si="1"/>
        <v>0</v>
      </c>
      <c r="U16" s="63">
        <f t="shared" si="8"/>
        <v>0</v>
      </c>
      <c r="V16" s="45"/>
      <c r="W16" s="49"/>
      <c r="X16" s="65">
        <f>V16+W16*Summen!$B$44</f>
        <v>0</v>
      </c>
      <c r="Y16" s="72"/>
      <c r="Z16" s="73"/>
      <c r="AA16" s="73"/>
      <c r="AB16" s="73"/>
      <c r="AC16" s="73"/>
      <c r="AD16" s="73"/>
      <c r="AE16" s="73"/>
      <c r="AF16" s="74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46067</v>
      </c>
      <c r="B17" s="59" t="str">
        <f>IFERROR(VLOOKUP(A17, Feiertage!$B:$C, 2, 0), IF(OR(WEEKDAY(A17,2)=6, WEEKDAY(A17,2)=7), Feiertage!$C$23, ""))</f>
        <v>* * * * * * * * Wochenende * * * * * * * * * * * * * * * * * * * * * * * * * * * * * * * * * * * * * * * * * * * * * * * *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0</v>
      </c>
      <c r="S17" s="62">
        <f t="shared" si="0"/>
        <v>0</v>
      </c>
      <c r="T17" s="62">
        <f t="shared" si="1"/>
        <v>0</v>
      </c>
      <c r="U17" s="63">
        <f t="shared" si="8"/>
        <v>0</v>
      </c>
      <c r="V17" s="59"/>
      <c r="W17" s="64"/>
      <c r="X17" s="65">
        <f>V17+W17*Summen!$B$44</f>
        <v>0</v>
      </c>
      <c r="Y17" s="66"/>
      <c r="Z17" s="67"/>
      <c r="AA17" s="67"/>
      <c r="AB17" s="67"/>
      <c r="AC17" s="67"/>
      <c r="AD17" s="67"/>
      <c r="AE17" s="67"/>
      <c r="AF17" s="68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46068</v>
      </c>
      <c r="B18" s="45" t="str">
        <f>IFERROR(VLOOKUP(A18, Feiertage!$B:$C, 2, 0), IF(OR(WEEKDAY(A18,2)=6, WEEKDAY(A18,2)=7), Feiertage!$C$23, ""))</f>
        <v>* * * * * * * * Wochenende * * * * * * * * * * * * * * * * * * * * * * * * * * * * * * * * * * * * * * * * * * * * * * * *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0</v>
      </c>
      <c r="S18" s="62">
        <f t="shared" si="0"/>
        <v>0</v>
      </c>
      <c r="T18" s="62">
        <f t="shared" si="1"/>
        <v>0</v>
      </c>
      <c r="U18" s="63">
        <f t="shared" si="8"/>
        <v>0</v>
      </c>
      <c r="V18" s="45"/>
      <c r="W18" s="49"/>
      <c r="X18" s="65">
        <f>V18+W18*Summen!$B$44</f>
        <v>0</v>
      </c>
      <c r="Y18" s="72"/>
      <c r="Z18" s="73"/>
      <c r="AA18" s="73"/>
      <c r="AB18" s="73"/>
      <c r="AC18" s="73"/>
      <c r="AD18" s="73"/>
      <c r="AE18" s="73"/>
      <c r="AF18" s="74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46069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v>0</v>
      </c>
      <c r="S19" s="62">
        <f t="shared" si="0"/>
        <v>0</v>
      </c>
      <c r="T19" s="62">
        <f t="shared" si="1"/>
        <v>0</v>
      </c>
      <c r="U19" s="63">
        <f t="shared" si="8"/>
        <v>0</v>
      </c>
      <c r="V19" s="59"/>
      <c r="W19" s="64"/>
      <c r="X19" s="65">
        <f>V19+W19*Summen!$B$44</f>
        <v>0</v>
      </c>
      <c r="Y19" s="66"/>
      <c r="Z19" s="67"/>
      <c r="AA19" s="67"/>
      <c r="AB19" s="67"/>
      <c r="AC19" s="67"/>
      <c r="AD19" s="67"/>
      <c r="AE19" s="67"/>
      <c r="AF19" s="68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46070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v>0</v>
      </c>
      <c r="S20" s="62">
        <f t="shared" si="0"/>
        <v>0</v>
      </c>
      <c r="T20" s="62">
        <f t="shared" si="1"/>
        <v>0</v>
      </c>
      <c r="U20" s="63">
        <f t="shared" si="8"/>
        <v>0</v>
      </c>
      <c r="V20" s="45"/>
      <c r="W20" s="49"/>
      <c r="X20" s="65">
        <f>V20+W20*Summen!$B$44</f>
        <v>0</v>
      </c>
      <c r="Y20" s="72"/>
      <c r="Z20" s="73"/>
      <c r="AA20" s="73"/>
      <c r="AB20" s="73"/>
      <c r="AC20" s="73"/>
      <c r="AD20" s="73"/>
      <c r="AE20" s="73"/>
      <c r="AF20" s="74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46071</v>
      </c>
      <c r="B21" s="59" t="str">
        <f>IFERROR(VLOOKUP(A21, Feiertage!$B:$C, 2, 0), IF(OR(WEEKDAY(A21,2)=6, WEEKDAY(A21,2)=7), Feiertage!$C$23, ""))</f>
        <v/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v>0</v>
      </c>
      <c r="S21" s="62">
        <f t="shared" si="0"/>
        <v>0</v>
      </c>
      <c r="T21" s="62">
        <f t="shared" si="1"/>
        <v>0</v>
      </c>
      <c r="U21" s="63">
        <f t="shared" si="8"/>
        <v>0</v>
      </c>
      <c r="V21" s="59"/>
      <c r="W21" s="64"/>
      <c r="X21" s="65">
        <f>V21+W21*Summen!$B$44</f>
        <v>0</v>
      </c>
      <c r="Y21" s="66"/>
      <c r="Z21" s="67"/>
      <c r="AA21" s="67"/>
      <c r="AB21" s="67"/>
      <c r="AC21" s="67"/>
      <c r="AD21" s="67"/>
      <c r="AE21" s="67"/>
      <c r="AF21" s="68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46072</v>
      </c>
      <c r="B22" s="45" t="str">
        <f>IFERROR(VLOOKUP(A22, Feiertage!$B:$C, 2, 0), IF(OR(WEEKDAY(A22,2)=6, WEEKDAY(A22,2)=7), Feiertage!$C$23, ""))</f>
        <v/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v>0</v>
      </c>
      <c r="S22" s="62">
        <f t="shared" si="0"/>
        <v>0</v>
      </c>
      <c r="T22" s="62">
        <f t="shared" si="1"/>
        <v>0</v>
      </c>
      <c r="U22" s="63">
        <f t="shared" si="8"/>
        <v>0</v>
      </c>
      <c r="V22" s="45"/>
      <c r="W22" s="49"/>
      <c r="X22" s="65">
        <f>V22+W22*Summen!$B$44</f>
        <v>0</v>
      </c>
      <c r="Y22" s="72"/>
      <c r="Z22" s="73"/>
      <c r="AA22" s="73"/>
      <c r="AB22" s="73"/>
      <c r="AC22" s="73"/>
      <c r="AD22" s="73"/>
      <c r="AE22" s="73"/>
      <c r="AF22" s="74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46073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v>0</v>
      </c>
      <c r="S23" s="62">
        <f t="shared" si="0"/>
        <v>0</v>
      </c>
      <c r="T23" s="62">
        <f t="shared" si="1"/>
        <v>0</v>
      </c>
      <c r="U23" s="63">
        <f t="shared" si="8"/>
        <v>0</v>
      </c>
      <c r="V23" s="59"/>
      <c r="W23" s="64"/>
      <c r="X23" s="65">
        <f>V23+W23*Summen!$B$44</f>
        <v>0</v>
      </c>
      <c r="Y23" s="66"/>
      <c r="Z23" s="67"/>
      <c r="AA23" s="67"/>
      <c r="AB23" s="67"/>
      <c r="AC23" s="67"/>
      <c r="AD23" s="67"/>
      <c r="AE23" s="67"/>
      <c r="AF23" s="68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46074</v>
      </c>
      <c r="B24" s="45" t="str">
        <f>IFERROR(VLOOKUP(A24, Feiertage!$B:$C, 2, 0), IF(OR(WEEKDAY(A24,2)=6, WEEKDAY(A24,2)=7), Feiertage!$C$23, ""))</f>
        <v>* * * * * * * * Wochenende * * * * * * * * * * * * * * * * * * * * * * * * * * * * * * * * * * * * * * * * * * * * * * * *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0</v>
      </c>
      <c r="S24" s="62">
        <f t="shared" si="0"/>
        <v>0</v>
      </c>
      <c r="T24" s="62">
        <f t="shared" si="1"/>
        <v>0</v>
      </c>
      <c r="U24" s="63">
        <f t="shared" si="8"/>
        <v>0</v>
      </c>
      <c r="V24" s="45"/>
      <c r="W24" s="49"/>
      <c r="X24" s="65">
        <f>V24+W24*Summen!$B$44</f>
        <v>0</v>
      </c>
      <c r="Y24" s="72"/>
      <c r="Z24" s="73"/>
      <c r="AA24" s="73"/>
      <c r="AB24" s="73"/>
      <c r="AC24" s="73"/>
      <c r="AD24" s="73"/>
      <c r="AE24" s="73"/>
      <c r="AF24" s="74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46075</v>
      </c>
      <c r="B25" s="59" t="str">
        <f>IFERROR(VLOOKUP(A25, Feiertage!$B:$C, 2, 0), IF(OR(WEEKDAY(A25,2)=6, WEEKDAY(A25,2)=7), Feiertage!$C$23, ""))</f>
        <v>* * * * * * * * Wochenende * * * * * * * * * * * * * * * * * * * * * * * * * * * * * * * * * * * * * * * * * * * * * * * *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0</v>
      </c>
      <c r="S25" s="62">
        <f t="shared" si="0"/>
        <v>0</v>
      </c>
      <c r="T25" s="62">
        <f t="shared" si="1"/>
        <v>0</v>
      </c>
      <c r="U25" s="63">
        <f t="shared" si="8"/>
        <v>0</v>
      </c>
      <c r="V25" s="59"/>
      <c r="W25" s="64"/>
      <c r="X25" s="65">
        <f>V25+W25*Summen!$B$44</f>
        <v>0</v>
      </c>
      <c r="Y25" s="66"/>
      <c r="Z25" s="67"/>
      <c r="AA25" s="67"/>
      <c r="AB25" s="67"/>
      <c r="AC25" s="67"/>
      <c r="AD25" s="67"/>
      <c r="AE25" s="67"/>
      <c r="AF25" s="68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46076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v>0</v>
      </c>
      <c r="S26" s="62">
        <f t="shared" si="0"/>
        <v>0</v>
      </c>
      <c r="T26" s="62">
        <f t="shared" si="1"/>
        <v>0</v>
      </c>
      <c r="U26" s="63">
        <f t="shared" si="8"/>
        <v>0</v>
      </c>
      <c r="V26" s="45"/>
      <c r="W26" s="49"/>
      <c r="X26" s="65">
        <f>V26+W26*Summen!$B$44</f>
        <v>0</v>
      </c>
      <c r="Y26" s="72"/>
      <c r="Z26" s="73"/>
      <c r="AA26" s="73"/>
      <c r="AB26" s="73"/>
      <c r="AC26" s="73"/>
      <c r="AD26" s="73"/>
      <c r="AE26" s="73"/>
      <c r="AF26" s="74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46077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v>0</v>
      </c>
      <c r="S27" s="62">
        <f t="shared" si="0"/>
        <v>0</v>
      </c>
      <c r="T27" s="62">
        <f t="shared" si="1"/>
        <v>0</v>
      </c>
      <c r="U27" s="63">
        <f t="shared" si="8"/>
        <v>0</v>
      </c>
      <c r="V27" s="59"/>
      <c r="W27" s="64"/>
      <c r="X27" s="65">
        <f>V27+W27*Summen!$B$44</f>
        <v>0</v>
      </c>
      <c r="Y27" s="66"/>
      <c r="Z27" s="67"/>
      <c r="AA27" s="67"/>
      <c r="AB27" s="67"/>
      <c r="AC27" s="67"/>
      <c r="AD27" s="67"/>
      <c r="AE27" s="67"/>
      <c r="AF27" s="68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46078</v>
      </c>
      <c r="B28" s="45" t="str">
        <f>IFERROR(VLOOKUP(A28, Feiertage!$B:$C, 2, 0), IF(OR(WEEKDAY(A28,2)=6, WEEKDAY(A28,2)=7), Feiertage!$C$23, ""))</f>
        <v/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v>0</v>
      </c>
      <c r="S28" s="62">
        <f t="shared" si="0"/>
        <v>0</v>
      </c>
      <c r="T28" s="62">
        <f t="shared" si="1"/>
        <v>0</v>
      </c>
      <c r="U28" s="63">
        <f t="shared" si="8"/>
        <v>0</v>
      </c>
      <c r="V28" s="45"/>
      <c r="W28" s="49"/>
      <c r="X28" s="65">
        <f>V28+W28*Summen!$B$44</f>
        <v>0</v>
      </c>
      <c r="Y28" s="72"/>
      <c r="Z28" s="73"/>
      <c r="AA28" s="73"/>
      <c r="AB28" s="73"/>
      <c r="AC28" s="73"/>
      <c r="AD28" s="73"/>
      <c r="AE28" s="73"/>
      <c r="AF28" s="74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46079</v>
      </c>
      <c r="B29" s="59" t="str">
        <f>IFERROR(VLOOKUP(A29, Feiertage!$B:$C, 2, 0), IF(OR(WEEKDAY(A29,2)=6, WEEKDAY(A29,2)=7), Feiertage!$C$23, ""))</f>
        <v/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v>0</v>
      </c>
      <c r="S29" s="62">
        <f t="shared" si="0"/>
        <v>0</v>
      </c>
      <c r="T29" s="62">
        <f t="shared" si="1"/>
        <v>0</v>
      </c>
      <c r="U29" s="63">
        <f t="shared" si="8"/>
        <v>0</v>
      </c>
      <c r="V29" s="59"/>
      <c r="W29" s="64"/>
      <c r="X29" s="65">
        <f>V29+W29*Summen!$B$44</f>
        <v>0</v>
      </c>
      <c r="Y29" s="66"/>
      <c r="Z29" s="67"/>
      <c r="AA29" s="67"/>
      <c r="AB29" s="67"/>
      <c r="AC29" s="67"/>
      <c r="AD29" s="67"/>
      <c r="AE29" s="67"/>
      <c r="AF29" s="68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46080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v>0</v>
      </c>
      <c r="S30" s="62">
        <f t="shared" si="0"/>
        <v>0</v>
      </c>
      <c r="T30" s="62">
        <f t="shared" si="1"/>
        <v>0</v>
      </c>
      <c r="U30" s="63">
        <f t="shared" si="8"/>
        <v>0</v>
      </c>
      <c r="V30" s="45"/>
      <c r="W30" s="49"/>
      <c r="X30" s="65">
        <f>V30+W30*Summen!$B$44</f>
        <v>0</v>
      </c>
      <c r="Y30" s="72"/>
      <c r="Z30" s="73"/>
      <c r="AA30" s="73"/>
      <c r="AB30" s="73"/>
      <c r="AC30" s="73"/>
      <c r="AD30" s="73"/>
      <c r="AE30" s="73"/>
      <c r="AF30" s="74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80">
        <f t="shared" si="7"/>
        <v>46081</v>
      </c>
      <c r="B31" s="115" t="str">
        <f>IFERROR(VLOOKUP(A31, Feiertage!$B:$C, 2, 0), IF(OR(WEEKDAY(A31,2)=6, WEEKDAY(A31,2)=7), Feiertage!$C$23, ""))</f>
        <v>* * * * * * * * Wochenende * * * * * * * * * * * * * * * * * * * * * * * * * * * * * * * * * * * * * * * * * * * * * * * *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0</v>
      </c>
      <c r="S31" s="84">
        <f t="shared" si="0"/>
        <v>0</v>
      </c>
      <c r="T31" s="84">
        <f t="shared" si="1"/>
        <v>0</v>
      </c>
      <c r="U31" s="85">
        <f t="shared" si="8"/>
        <v>0</v>
      </c>
      <c r="V31" s="59"/>
      <c r="W31" s="64"/>
      <c r="X31" s="65">
        <f>V31+W31*Summen!$B$44</f>
        <v>0</v>
      </c>
      <c r="Y31" s="66"/>
      <c r="Z31" s="67"/>
      <c r="AA31" s="67"/>
      <c r="AB31" s="67"/>
      <c r="AC31" s="67"/>
      <c r="AD31" s="67"/>
      <c r="AE31" s="67"/>
      <c r="AF31" s="68"/>
      <c r="AG31" s="86">
        <f t="shared" si="2"/>
        <v>0</v>
      </c>
      <c r="AH31" s="84">
        <f t="shared" si="3"/>
        <v>0</v>
      </c>
      <c r="AI31" s="84">
        <f t="shared" si="4"/>
        <v>0</v>
      </c>
      <c r="AJ31" s="85">
        <f t="shared" si="5"/>
        <v>0</v>
      </c>
      <c r="AL31" s="54">
        <f t="shared" si="6"/>
        <v>0</v>
      </c>
    </row>
    <row r="32" spans="1:38" ht="18" customHeight="1">
      <c r="A32" s="87" t="s">
        <v>31</v>
      </c>
      <c r="B32" s="116"/>
      <c r="C32" s="88">
        <f t="shared" ref="C32:T32" si="9">SUM(C4:C31)</f>
        <v>0</v>
      </c>
      <c r="D32" s="88">
        <f t="shared" si="9"/>
        <v>0</v>
      </c>
      <c r="E32" s="88">
        <f t="shared" si="9"/>
        <v>0</v>
      </c>
      <c r="F32" s="88">
        <f t="shared" si="9"/>
        <v>0</v>
      </c>
      <c r="G32" s="88">
        <f t="shared" si="9"/>
        <v>0</v>
      </c>
      <c r="H32" s="88">
        <f t="shared" si="9"/>
        <v>0</v>
      </c>
      <c r="I32" s="88">
        <f t="shared" si="9"/>
        <v>0</v>
      </c>
      <c r="J32" s="88">
        <f t="shared" si="9"/>
        <v>0</v>
      </c>
      <c r="K32" s="88">
        <f t="shared" si="9"/>
        <v>0</v>
      </c>
      <c r="L32" s="88">
        <f t="shared" si="9"/>
        <v>0</v>
      </c>
      <c r="M32" s="88">
        <f t="shared" si="9"/>
        <v>0</v>
      </c>
      <c r="N32" s="88">
        <f t="shared" si="9"/>
        <v>0</v>
      </c>
      <c r="O32" s="88">
        <f t="shared" si="9"/>
        <v>0</v>
      </c>
      <c r="P32" s="88">
        <f t="shared" si="9"/>
        <v>0</v>
      </c>
      <c r="Q32" s="88">
        <f t="shared" si="9"/>
        <v>0</v>
      </c>
      <c r="R32" s="90">
        <f t="shared" si="9"/>
        <v>0</v>
      </c>
      <c r="S32" s="91">
        <f t="shared" si="9"/>
        <v>0</v>
      </c>
      <c r="T32" s="91">
        <f t="shared" si="9"/>
        <v>0</v>
      </c>
      <c r="U32" s="92">
        <f>U31</f>
        <v>0</v>
      </c>
      <c r="V32" s="93">
        <f>SUM(V4:V31)</f>
        <v>0</v>
      </c>
      <c r="W32" s="93">
        <f>SUM(W4:W31)*Summen!$B$44</f>
        <v>0</v>
      </c>
      <c r="X32" s="94">
        <f>V32+W32</f>
        <v>0</v>
      </c>
      <c r="Y32" s="117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2">
        <f>SUM(AJ4:AJ31)</f>
        <v>0</v>
      </c>
      <c r="AK32" s="98"/>
      <c r="AL32" s="54">
        <f t="shared" si="6"/>
        <v>0</v>
      </c>
    </row>
    <row r="33" spans="1:27" ht="12.75" customHeight="1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spans="1:27" ht="12.75" customHeight="1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spans="1:27" ht="12.75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2"/>
      <c r="T35" s="100"/>
      <c r="U35" s="100"/>
      <c r="V35" s="100"/>
      <c r="W35" s="100"/>
      <c r="X35" s="100"/>
      <c r="Y35" s="100"/>
      <c r="Z35" s="100"/>
    </row>
    <row r="36" spans="1:27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spans="1:27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spans="1:27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27" ht="12.75" customHeight="1">
      <c r="A39" s="99"/>
    </row>
    <row r="40" spans="1:27" ht="12.75" customHeight="1">
      <c r="A40" s="99"/>
    </row>
    <row r="41" spans="1:27" ht="12.75" customHeight="1">
      <c r="A41" s="99"/>
    </row>
    <row r="42" spans="1:27" ht="12.75" customHeight="1">
      <c r="A42" s="99"/>
    </row>
    <row r="43" spans="1:27" ht="12.75" customHeight="1">
      <c r="A43" s="99"/>
    </row>
    <row r="44" spans="1:27" ht="12.75" customHeight="1">
      <c r="A44" s="99"/>
      <c r="AA44" s="118" t="s">
        <v>32</v>
      </c>
    </row>
    <row r="45" spans="1:27" ht="12.75" customHeight="1">
      <c r="A45" s="99"/>
    </row>
    <row r="46" spans="1:27" ht="12.75" customHeight="1">
      <c r="A46" s="99"/>
    </row>
    <row r="47" spans="1:27" ht="12.75" customHeight="1">
      <c r="A47" s="99"/>
    </row>
    <row r="48" spans="1:27" ht="12.75" customHeight="1">
      <c r="A48" s="99"/>
    </row>
    <row r="49" spans="1:1" ht="12.75" customHeight="1">
      <c r="A49" s="99"/>
    </row>
    <row r="50" spans="1:1" ht="12.75" customHeight="1">
      <c r="A50" s="99"/>
    </row>
    <row r="51" spans="1:1" ht="12.75" customHeight="1">
      <c r="A51" s="99"/>
    </row>
    <row r="52" spans="1:1" ht="12.75" customHeight="1">
      <c r="A52" s="99"/>
    </row>
    <row r="53" spans="1:1" ht="12.75" customHeight="1">
      <c r="A53" s="99"/>
    </row>
    <row r="54" spans="1:1" ht="12.75" customHeight="1">
      <c r="A54" s="99"/>
    </row>
    <row r="55" spans="1:1" ht="12.75" customHeight="1">
      <c r="A55" s="99"/>
    </row>
    <row r="56" spans="1:1" ht="12.75" customHeight="1">
      <c r="A56" s="99"/>
    </row>
    <row r="57" spans="1:1" ht="12.75" customHeight="1">
      <c r="A57" s="99"/>
    </row>
    <row r="58" spans="1:1" ht="12.75" customHeight="1">
      <c r="A58" s="99"/>
    </row>
    <row r="59" spans="1:1" ht="12.75" customHeight="1">
      <c r="A59" s="99"/>
    </row>
    <row r="60" spans="1:1" ht="12.75" customHeight="1">
      <c r="A60" s="99"/>
    </row>
    <row r="61" spans="1:1" ht="12.75" customHeight="1">
      <c r="A61" s="99"/>
    </row>
    <row r="62" spans="1:1" ht="12.75" customHeight="1">
      <c r="A62" s="99"/>
    </row>
    <row r="63" spans="1:1" ht="12.75" customHeight="1">
      <c r="A63" s="99"/>
    </row>
    <row r="64" spans="1:1" ht="12.75" customHeight="1">
      <c r="A64" s="99"/>
    </row>
    <row r="65" spans="1:1" ht="12.75" customHeight="1">
      <c r="A65" s="99"/>
    </row>
    <row r="66" spans="1:1" ht="12.75" customHeight="1">
      <c r="A66" s="99"/>
    </row>
    <row r="67" spans="1:1" ht="12.75" customHeight="1">
      <c r="A67" s="99"/>
    </row>
    <row r="68" spans="1:1" ht="12.75" customHeight="1">
      <c r="A68" s="99"/>
    </row>
    <row r="69" spans="1:1" ht="12.75" customHeight="1">
      <c r="A69" s="99"/>
    </row>
    <row r="70" spans="1:1" ht="12.75" customHeight="1">
      <c r="A70" s="99"/>
    </row>
    <row r="71" spans="1:1" ht="12.75" customHeight="1">
      <c r="A71" s="99"/>
    </row>
    <row r="72" spans="1:1" ht="12.75" customHeight="1">
      <c r="A72" s="99"/>
    </row>
    <row r="73" spans="1:1" ht="12.75" customHeight="1">
      <c r="A73" s="99"/>
    </row>
    <row r="74" spans="1:1" ht="12.75" customHeight="1">
      <c r="A74" s="99"/>
    </row>
    <row r="75" spans="1:1" ht="12.75" customHeight="1">
      <c r="A75" s="99"/>
    </row>
    <row r="76" spans="1:1" ht="12.75" customHeight="1">
      <c r="A76" s="99"/>
    </row>
    <row r="77" spans="1:1" ht="12.75" customHeight="1">
      <c r="A77" s="99"/>
    </row>
    <row r="78" spans="1:1" ht="12.75" customHeight="1">
      <c r="A78" s="99"/>
    </row>
    <row r="79" spans="1:1" ht="12.75" customHeight="1">
      <c r="A79" s="99"/>
    </row>
    <row r="80" spans="1:1" ht="12.75" customHeight="1">
      <c r="A80" s="99"/>
    </row>
    <row r="81" spans="1:1" ht="12.75" customHeight="1">
      <c r="A81" s="99"/>
    </row>
    <row r="82" spans="1:1" ht="12.75" customHeight="1">
      <c r="A82" s="99"/>
    </row>
    <row r="83" spans="1:1" ht="12.75" customHeight="1">
      <c r="A83" s="99"/>
    </row>
    <row r="84" spans="1:1" ht="12.75" customHeight="1">
      <c r="A84" s="99"/>
    </row>
    <row r="85" spans="1:1" ht="12.75" customHeight="1">
      <c r="A85" s="99"/>
    </row>
    <row r="86" spans="1:1" ht="12.75" customHeight="1">
      <c r="A86" s="99"/>
    </row>
    <row r="87" spans="1:1" ht="12.75" customHeight="1">
      <c r="A87" s="99"/>
    </row>
    <row r="88" spans="1:1" ht="12.75" customHeight="1">
      <c r="A88" s="99"/>
    </row>
    <row r="89" spans="1:1" ht="12.75" customHeight="1">
      <c r="A89" s="99"/>
    </row>
    <row r="90" spans="1:1" ht="12.75" customHeight="1">
      <c r="A90" s="99"/>
    </row>
    <row r="91" spans="1:1" ht="12.75" customHeight="1">
      <c r="A91" s="99"/>
    </row>
    <row r="92" spans="1:1" ht="12.75" customHeight="1">
      <c r="A92" s="99"/>
    </row>
    <row r="93" spans="1:1" ht="12.75" customHeight="1">
      <c r="A93" s="99"/>
    </row>
    <row r="94" spans="1:1" ht="12.75" customHeight="1">
      <c r="A94" s="99"/>
    </row>
    <row r="95" spans="1:1" ht="12.75" customHeight="1">
      <c r="A95" s="99"/>
    </row>
    <row r="96" spans="1:1" ht="12.75" customHeight="1">
      <c r="A96" s="99"/>
    </row>
    <row r="97" spans="1:1" ht="12.75" customHeight="1">
      <c r="A97" s="99"/>
    </row>
    <row r="98" spans="1:1" ht="12.75" customHeight="1">
      <c r="A98" s="99"/>
    </row>
    <row r="99" spans="1:1" ht="12.75" customHeight="1">
      <c r="A99" s="99"/>
    </row>
    <row r="100" spans="1:1" ht="12.75" customHeight="1">
      <c r="A100" s="99"/>
    </row>
    <row r="101" spans="1:1" ht="12.75" customHeight="1">
      <c r="A101" s="99"/>
    </row>
    <row r="102" spans="1:1" ht="12.75" customHeight="1">
      <c r="A102" s="99"/>
    </row>
    <row r="103" spans="1:1" ht="12.75" customHeight="1">
      <c r="A103" s="99"/>
    </row>
    <row r="104" spans="1:1" ht="12.75" customHeight="1">
      <c r="A104" s="99"/>
    </row>
    <row r="105" spans="1:1" ht="12.75" customHeight="1">
      <c r="A105" s="99"/>
    </row>
    <row r="106" spans="1:1" ht="12.75" customHeight="1">
      <c r="A106" s="99"/>
    </row>
    <row r="107" spans="1:1" ht="12.75" customHeight="1">
      <c r="A107" s="99"/>
    </row>
    <row r="108" spans="1:1" ht="12.75" customHeight="1">
      <c r="A108" s="99"/>
    </row>
    <row r="109" spans="1:1" ht="12.75" customHeight="1">
      <c r="A109" s="99"/>
    </row>
    <row r="110" spans="1:1" ht="12.75" customHeight="1">
      <c r="A110" s="99"/>
    </row>
    <row r="111" spans="1:1" ht="12.75" customHeight="1">
      <c r="A111" s="99"/>
    </row>
    <row r="112" spans="1:1" ht="12.75" customHeight="1">
      <c r="A112" s="99"/>
    </row>
    <row r="113" spans="1:1" ht="12.75" customHeight="1">
      <c r="A113" s="99"/>
    </row>
    <row r="114" spans="1:1" ht="12.75" customHeight="1">
      <c r="A114" s="99"/>
    </row>
    <row r="115" spans="1:1" ht="12.75" customHeight="1">
      <c r="A115" s="99"/>
    </row>
    <row r="116" spans="1:1" ht="12.75" customHeight="1">
      <c r="A116" s="99"/>
    </row>
    <row r="117" spans="1:1" ht="12.75" customHeight="1">
      <c r="A117" s="99"/>
    </row>
    <row r="118" spans="1:1" ht="12.75" customHeight="1">
      <c r="A118" s="99"/>
    </row>
    <row r="119" spans="1:1" ht="12.75" customHeight="1">
      <c r="A119" s="99"/>
    </row>
    <row r="120" spans="1:1" ht="12.75" customHeight="1">
      <c r="A120" s="99"/>
    </row>
    <row r="121" spans="1:1" ht="12.75" customHeight="1">
      <c r="A121" s="99"/>
    </row>
    <row r="122" spans="1:1" ht="12.75" customHeight="1">
      <c r="A122" s="99"/>
    </row>
    <row r="123" spans="1:1" ht="12.75" customHeight="1">
      <c r="A123" s="99"/>
    </row>
    <row r="124" spans="1:1" ht="12.75" customHeight="1">
      <c r="A124" s="99"/>
    </row>
    <row r="125" spans="1:1" ht="12.75" customHeight="1">
      <c r="A125" s="99"/>
    </row>
    <row r="126" spans="1:1" ht="12.75" customHeight="1">
      <c r="A126" s="99"/>
    </row>
    <row r="127" spans="1:1" ht="12.75" customHeight="1">
      <c r="A127" s="99"/>
    </row>
    <row r="128" spans="1:1" ht="12.75" customHeight="1">
      <c r="A128" s="99"/>
    </row>
    <row r="129" spans="1:1" ht="12.75" customHeight="1">
      <c r="A129" s="99"/>
    </row>
    <row r="130" spans="1:1" ht="12.75" customHeight="1">
      <c r="A130" s="99"/>
    </row>
    <row r="131" spans="1:1" ht="12.75" customHeight="1">
      <c r="A131" s="99"/>
    </row>
    <row r="132" spans="1:1" ht="12.75" customHeight="1">
      <c r="A132" s="99"/>
    </row>
    <row r="133" spans="1:1" ht="12.75" customHeight="1">
      <c r="A133" s="99"/>
    </row>
    <row r="134" spans="1:1" ht="12.75" customHeight="1">
      <c r="A134" s="99"/>
    </row>
    <row r="135" spans="1:1" ht="12.75" customHeight="1">
      <c r="A135" s="99"/>
    </row>
    <row r="136" spans="1:1" ht="12.75" customHeight="1">
      <c r="A136" s="99"/>
    </row>
    <row r="137" spans="1:1" ht="12.75" customHeight="1">
      <c r="A137" s="99"/>
    </row>
    <row r="138" spans="1:1" ht="12.75" customHeight="1">
      <c r="A138" s="99"/>
    </row>
    <row r="139" spans="1:1" ht="12.75" customHeight="1">
      <c r="A139" s="99"/>
    </row>
    <row r="140" spans="1:1" ht="12.75" customHeight="1">
      <c r="A140" s="99"/>
    </row>
    <row r="141" spans="1:1" ht="12.75" customHeight="1">
      <c r="A141" s="99"/>
    </row>
    <row r="142" spans="1:1" ht="12.75" customHeight="1">
      <c r="A142" s="99"/>
    </row>
    <row r="143" spans="1:1" ht="12.75" customHeight="1">
      <c r="A143" s="99"/>
    </row>
    <row r="144" spans="1:1" ht="12.75" customHeight="1">
      <c r="A144" s="99"/>
    </row>
    <row r="145" spans="1:1" ht="12.75" customHeight="1">
      <c r="A145" s="99"/>
    </row>
    <row r="146" spans="1:1" ht="12.75" customHeight="1">
      <c r="A146" s="99"/>
    </row>
    <row r="147" spans="1:1" ht="12.75" customHeight="1">
      <c r="A147" s="99"/>
    </row>
    <row r="148" spans="1:1" ht="12.75" customHeight="1">
      <c r="A148" s="99"/>
    </row>
    <row r="149" spans="1:1" ht="12.75" customHeight="1">
      <c r="A149" s="99"/>
    </row>
    <row r="150" spans="1:1" ht="12.75" customHeight="1">
      <c r="A150" s="99"/>
    </row>
    <row r="151" spans="1:1" ht="12.75" customHeight="1">
      <c r="A151" s="99"/>
    </row>
    <row r="152" spans="1:1" ht="12.75" customHeight="1">
      <c r="A152" s="99"/>
    </row>
    <row r="153" spans="1:1" ht="12.75" customHeight="1">
      <c r="A153" s="99"/>
    </row>
    <row r="154" spans="1:1" ht="12.75" customHeight="1">
      <c r="A154" s="99"/>
    </row>
    <row r="155" spans="1:1" ht="12.75" customHeight="1">
      <c r="A155" s="99"/>
    </row>
    <row r="156" spans="1:1" ht="12.75" customHeight="1">
      <c r="A156" s="99"/>
    </row>
    <row r="157" spans="1:1" ht="12.75" customHeight="1">
      <c r="A157" s="99"/>
    </row>
    <row r="158" spans="1:1" ht="12.75" customHeight="1">
      <c r="A158" s="99"/>
    </row>
    <row r="159" spans="1:1" ht="12.75" customHeight="1">
      <c r="A159" s="99"/>
    </row>
    <row r="160" spans="1:1" ht="12.75" customHeight="1">
      <c r="A160" s="99"/>
    </row>
    <row r="161" spans="1:1" ht="12.75" customHeight="1">
      <c r="A161" s="99"/>
    </row>
    <row r="162" spans="1:1" ht="12.75" customHeight="1">
      <c r="A162" s="99"/>
    </row>
    <row r="163" spans="1:1" ht="12.75" customHeight="1">
      <c r="A163" s="99"/>
    </row>
    <row r="164" spans="1:1" ht="12.75" customHeight="1">
      <c r="A164" s="99"/>
    </row>
    <row r="165" spans="1:1" ht="12.75" customHeight="1">
      <c r="A165" s="99"/>
    </row>
    <row r="166" spans="1:1" ht="12.75" customHeight="1">
      <c r="A166" s="99"/>
    </row>
    <row r="167" spans="1:1" ht="12.75" customHeight="1">
      <c r="A167" s="99"/>
    </row>
    <row r="168" spans="1:1" ht="12.75" customHeight="1">
      <c r="A168" s="99"/>
    </row>
    <row r="169" spans="1:1" ht="12.75" customHeight="1">
      <c r="A169" s="99"/>
    </row>
    <row r="170" spans="1:1" ht="12.75" customHeight="1">
      <c r="A170" s="99"/>
    </row>
    <row r="171" spans="1:1" ht="12.75" customHeight="1">
      <c r="A171" s="99"/>
    </row>
    <row r="172" spans="1:1" ht="12.75" customHeight="1">
      <c r="A172" s="99"/>
    </row>
    <row r="173" spans="1:1" ht="12.75" customHeight="1">
      <c r="A173" s="99"/>
    </row>
    <row r="174" spans="1:1" ht="12.75" customHeight="1">
      <c r="A174" s="99"/>
    </row>
    <row r="175" spans="1:1" ht="12.75" customHeight="1">
      <c r="A175" s="99"/>
    </row>
    <row r="176" spans="1:1" ht="12.75" customHeight="1">
      <c r="A176" s="99"/>
    </row>
    <row r="177" spans="1:1" ht="12.75" customHeight="1">
      <c r="A177" s="99"/>
    </row>
    <row r="178" spans="1:1" ht="12.75" customHeight="1">
      <c r="A178" s="99"/>
    </row>
    <row r="179" spans="1:1" ht="12.75" customHeight="1">
      <c r="A179" s="99"/>
    </row>
    <row r="180" spans="1:1" ht="12.75" customHeight="1">
      <c r="A180" s="99"/>
    </row>
    <row r="181" spans="1:1" ht="12.75" customHeight="1">
      <c r="A181" s="99"/>
    </row>
    <row r="182" spans="1:1" ht="12.75" customHeight="1">
      <c r="A182" s="99"/>
    </row>
    <row r="183" spans="1:1" ht="12.75" customHeight="1">
      <c r="A183" s="99"/>
    </row>
    <row r="184" spans="1:1" ht="12.75" customHeight="1">
      <c r="A184" s="99"/>
    </row>
    <row r="185" spans="1:1" ht="12.75" customHeight="1">
      <c r="A185" s="99"/>
    </row>
    <row r="186" spans="1:1" ht="12.75" customHeight="1">
      <c r="A186" s="99"/>
    </row>
    <row r="187" spans="1:1" ht="12.75" customHeight="1">
      <c r="A187" s="99"/>
    </row>
    <row r="188" spans="1:1" ht="12.75" customHeight="1">
      <c r="A188" s="99"/>
    </row>
    <row r="189" spans="1:1" ht="12.75" customHeight="1">
      <c r="A189" s="99"/>
    </row>
    <row r="190" spans="1:1" ht="12.75" customHeight="1">
      <c r="A190" s="99"/>
    </row>
    <row r="191" spans="1:1" ht="12.75" customHeight="1">
      <c r="A191" s="99"/>
    </row>
    <row r="192" spans="1:1" ht="12.75" customHeight="1">
      <c r="A192" s="99"/>
    </row>
    <row r="193" spans="1:1" ht="12.75" customHeight="1">
      <c r="A193" s="99"/>
    </row>
    <row r="194" spans="1:1" ht="12.75" customHeight="1">
      <c r="A194" s="99"/>
    </row>
    <row r="195" spans="1:1" ht="12.75" customHeight="1">
      <c r="A195" s="99"/>
    </row>
    <row r="196" spans="1:1" ht="12.75" customHeight="1">
      <c r="A196" s="99"/>
    </row>
    <row r="197" spans="1:1" ht="12.75" customHeight="1">
      <c r="A197" s="99"/>
    </row>
    <row r="198" spans="1:1" ht="12.75" customHeight="1">
      <c r="A198" s="99"/>
    </row>
    <row r="199" spans="1:1" ht="12.75" customHeight="1">
      <c r="A199" s="99"/>
    </row>
    <row r="200" spans="1:1" ht="12.75" customHeight="1">
      <c r="A200" s="99"/>
    </row>
    <row r="201" spans="1:1" ht="12.75" customHeight="1">
      <c r="A201" s="99"/>
    </row>
    <row r="202" spans="1:1" ht="12.75" customHeight="1">
      <c r="A202" s="99"/>
    </row>
    <row r="203" spans="1:1" ht="12.75" customHeight="1">
      <c r="A203" s="99"/>
    </row>
    <row r="204" spans="1:1" ht="12.75" customHeight="1">
      <c r="A204" s="99"/>
    </row>
    <row r="205" spans="1:1" ht="12.75" customHeight="1">
      <c r="A205" s="99"/>
    </row>
    <row r="206" spans="1:1" ht="12.75" customHeight="1">
      <c r="A206" s="99"/>
    </row>
    <row r="207" spans="1:1" ht="12.75" customHeight="1">
      <c r="A207" s="99"/>
    </row>
    <row r="208" spans="1:1" ht="12.75" customHeight="1">
      <c r="A208" s="99"/>
    </row>
    <row r="209" spans="1:1" ht="12.75" customHeight="1">
      <c r="A209" s="99"/>
    </row>
    <row r="210" spans="1:1" ht="12.75" customHeight="1">
      <c r="A210" s="99"/>
    </row>
    <row r="211" spans="1:1" ht="12.75" customHeight="1">
      <c r="A211" s="99"/>
    </row>
    <row r="212" spans="1:1" ht="12.75" customHeight="1">
      <c r="A212" s="99"/>
    </row>
    <row r="213" spans="1:1" ht="12.75" customHeight="1">
      <c r="A213" s="99"/>
    </row>
    <row r="214" spans="1:1" ht="12.75" customHeight="1">
      <c r="A214" s="99"/>
    </row>
    <row r="215" spans="1:1" ht="12.75" customHeight="1">
      <c r="A215" s="99"/>
    </row>
    <row r="216" spans="1:1" ht="12.75" customHeight="1">
      <c r="A216" s="99"/>
    </row>
    <row r="217" spans="1:1" ht="12.75" customHeight="1">
      <c r="A217" s="99"/>
    </row>
    <row r="218" spans="1:1" ht="12.75" customHeight="1">
      <c r="A218" s="99"/>
    </row>
    <row r="219" spans="1:1" ht="12.75" customHeight="1">
      <c r="A219" s="99"/>
    </row>
    <row r="220" spans="1:1" ht="12.75" customHeight="1">
      <c r="A220" s="99"/>
    </row>
    <row r="221" spans="1:1" ht="12.75" customHeight="1">
      <c r="A221" s="99"/>
    </row>
    <row r="222" spans="1:1" ht="12.75" customHeight="1">
      <c r="A222" s="99"/>
    </row>
    <row r="223" spans="1:1" ht="12.75" customHeight="1">
      <c r="A223" s="99"/>
    </row>
    <row r="224" spans="1:1" ht="12.75" customHeight="1">
      <c r="A224" s="99"/>
    </row>
    <row r="225" spans="1:1" ht="12.75" customHeight="1">
      <c r="A225" s="99"/>
    </row>
    <row r="226" spans="1:1" ht="12.75" customHeight="1">
      <c r="A226" s="99"/>
    </row>
    <row r="227" spans="1:1" ht="12.75" customHeight="1">
      <c r="A227" s="99"/>
    </row>
    <row r="228" spans="1:1" ht="12.75" customHeight="1">
      <c r="A228" s="99"/>
    </row>
    <row r="229" spans="1:1" ht="12.75" customHeight="1">
      <c r="A229" s="99"/>
    </row>
    <row r="230" spans="1:1" ht="12.75" customHeight="1">
      <c r="A230" s="99"/>
    </row>
    <row r="231" spans="1:1" ht="12.75" customHeight="1">
      <c r="A231" s="99"/>
    </row>
    <row r="232" spans="1:1" ht="12.75" customHeight="1">
      <c r="A232" s="99"/>
    </row>
    <row r="233" spans="1:1" ht="12.75" customHeight="1">
      <c r="A233" s="99"/>
    </row>
    <row r="234" spans="1:1" ht="12.75" customHeight="1">
      <c r="A234" s="99"/>
    </row>
    <row r="235" spans="1:1" ht="12.75" customHeight="1">
      <c r="A235" s="99"/>
    </row>
    <row r="236" spans="1:1" ht="12.75" customHeight="1">
      <c r="A236" s="99"/>
    </row>
    <row r="237" spans="1:1" ht="12.75" customHeight="1">
      <c r="A237" s="99"/>
    </row>
    <row r="238" spans="1:1" ht="12.75" customHeight="1">
      <c r="A238" s="99"/>
    </row>
    <row r="239" spans="1:1" ht="12.75" customHeight="1">
      <c r="A239" s="99"/>
    </row>
    <row r="240" spans="1:1" ht="12.75" customHeight="1">
      <c r="A240" s="99"/>
    </row>
    <row r="241" spans="1:1" ht="12.75" customHeight="1">
      <c r="A241" s="99"/>
    </row>
    <row r="242" spans="1:1" ht="12.75" customHeight="1">
      <c r="A242" s="99"/>
    </row>
    <row r="243" spans="1:1" ht="12.75" customHeight="1">
      <c r="A243" s="99"/>
    </row>
    <row r="244" spans="1:1" ht="12.75" customHeight="1">
      <c r="A244" s="99"/>
    </row>
    <row r="245" spans="1:1" ht="12.75" customHeight="1">
      <c r="A245" s="99"/>
    </row>
    <row r="246" spans="1:1" ht="12.75" customHeight="1">
      <c r="A246" s="99"/>
    </row>
    <row r="247" spans="1:1" ht="12.75" customHeight="1">
      <c r="A247" s="99"/>
    </row>
    <row r="248" spans="1:1" ht="12.75" customHeight="1">
      <c r="A248" s="99"/>
    </row>
    <row r="249" spans="1:1" ht="12.75" customHeight="1">
      <c r="A249" s="99"/>
    </row>
    <row r="250" spans="1:1" ht="12.75" customHeight="1">
      <c r="A250" s="99"/>
    </row>
    <row r="251" spans="1:1" ht="12.75" customHeight="1">
      <c r="A251" s="99"/>
    </row>
    <row r="252" spans="1:1" ht="12.75" customHeight="1">
      <c r="A252" s="99"/>
    </row>
    <row r="253" spans="1:1" ht="12.75" customHeight="1">
      <c r="A253" s="99"/>
    </row>
    <row r="254" spans="1:1" ht="12.75" customHeight="1">
      <c r="A254" s="99"/>
    </row>
    <row r="255" spans="1:1" ht="12.75" customHeight="1">
      <c r="A255" s="99"/>
    </row>
    <row r="256" spans="1:1" ht="12.75" customHeight="1">
      <c r="A256" s="99"/>
    </row>
    <row r="257" spans="1:1" ht="12.75" customHeight="1">
      <c r="A257" s="99"/>
    </row>
    <row r="258" spans="1:1" ht="12.75" customHeight="1">
      <c r="A258" s="99"/>
    </row>
    <row r="259" spans="1:1" ht="12.75" customHeight="1">
      <c r="A259" s="99"/>
    </row>
    <row r="260" spans="1:1" ht="12.75" customHeight="1">
      <c r="A260" s="99"/>
    </row>
    <row r="261" spans="1:1" ht="12.75" customHeight="1">
      <c r="A261" s="99"/>
    </row>
    <row r="262" spans="1:1" ht="12.75" customHeight="1">
      <c r="A262" s="99"/>
    </row>
    <row r="263" spans="1:1" ht="12.75" customHeight="1">
      <c r="A263" s="99"/>
    </row>
    <row r="264" spans="1:1" ht="12.75" customHeight="1">
      <c r="A264" s="99"/>
    </row>
    <row r="265" spans="1:1" ht="12.75" customHeight="1">
      <c r="A265" s="99"/>
    </row>
    <row r="266" spans="1:1" ht="12.75" customHeight="1">
      <c r="A266" s="99"/>
    </row>
    <row r="267" spans="1:1" ht="12.75" customHeight="1">
      <c r="A267" s="99"/>
    </row>
    <row r="268" spans="1:1" ht="12.75" customHeight="1">
      <c r="A268" s="99"/>
    </row>
    <row r="269" spans="1:1" ht="12.75" customHeight="1">
      <c r="A269" s="99"/>
    </row>
    <row r="270" spans="1:1" ht="12.75" customHeight="1">
      <c r="A270" s="99"/>
    </row>
    <row r="271" spans="1:1" ht="12.75" customHeight="1">
      <c r="A271" s="99"/>
    </row>
    <row r="272" spans="1:1" ht="12.75" customHeight="1">
      <c r="A272" s="99"/>
    </row>
    <row r="273" spans="1:1" ht="12.75" customHeight="1">
      <c r="A273" s="99"/>
    </row>
    <row r="274" spans="1:1" ht="12.75" customHeight="1">
      <c r="A274" s="99"/>
    </row>
    <row r="275" spans="1:1" ht="12.75" customHeight="1">
      <c r="A275" s="99"/>
    </row>
    <row r="276" spans="1:1" ht="12.75" customHeight="1">
      <c r="A276" s="99"/>
    </row>
    <row r="277" spans="1:1" ht="12.75" customHeight="1">
      <c r="A277" s="99"/>
    </row>
    <row r="278" spans="1:1" ht="12.75" customHeight="1">
      <c r="A278" s="99"/>
    </row>
    <row r="279" spans="1:1" ht="12.75" customHeight="1">
      <c r="A279" s="99"/>
    </row>
    <row r="280" spans="1:1" ht="12.75" customHeight="1">
      <c r="A280" s="99"/>
    </row>
    <row r="281" spans="1:1" ht="12.75" customHeight="1">
      <c r="A281" s="99"/>
    </row>
    <row r="282" spans="1:1" ht="12.75" customHeight="1">
      <c r="A282" s="99"/>
    </row>
    <row r="283" spans="1:1" ht="12.75" customHeight="1">
      <c r="A283" s="99"/>
    </row>
    <row r="284" spans="1:1" ht="12.75" customHeight="1">
      <c r="A284" s="99"/>
    </row>
    <row r="285" spans="1:1" ht="12.75" customHeight="1">
      <c r="A285" s="99"/>
    </row>
    <row r="286" spans="1:1" ht="12.75" customHeight="1">
      <c r="A286" s="99"/>
    </row>
    <row r="287" spans="1:1" ht="12.75" customHeight="1">
      <c r="A287" s="99"/>
    </row>
    <row r="288" spans="1:1" ht="12.75" customHeight="1">
      <c r="A288" s="99"/>
    </row>
    <row r="289" spans="1:1" ht="12.75" customHeight="1">
      <c r="A289" s="99"/>
    </row>
    <row r="290" spans="1:1" ht="12.75" customHeight="1">
      <c r="A290" s="99"/>
    </row>
    <row r="291" spans="1:1" ht="12.75" customHeight="1">
      <c r="A291" s="99"/>
    </row>
    <row r="292" spans="1:1" ht="12.75" customHeight="1">
      <c r="A292" s="99"/>
    </row>
    <row r="293" spans="1:1" ht="12.75" customHeight="1">
      <c r="A293" s="99"/>
    </row>
    <row r="294" spans="1:1" ht="12.75" customHeight="1">
      <c r="A294" s="99"/>
    </row>
    <row r="295" spans="1:1" ht="12.75" customHeight="1">
      <c r="A295" s="99"/>
    </row>
    <row r="296" spans="1:1" ht="12.75" customHeight="1">
      <c r="A296" s="99"/>
    </row>
    <row r="297" spans="1:1" ht="12.75" customHeight="1">
      <c r="A297" s="99"/>
    </row>
    <row r="298" spans="1:1" ht="12.75" customHeight="1">
      <c r="A298" s="99"/>
    </row>
    <row r="299" spans="1:1" ht="12.75" customHeight="1">
      <c r="A299" s="99"/>
    </row>
    <row r="300" spans="1:1" ht="12.75" customHeight="1">
      <c r="A300" s="99"/>
    </row>
    <row r="301" spans="1:1" ht="12.75" customHeight="1">
      <c r="A301" s="99"/>
    </row>
    <row r="302" spans="1:1" ht="12.75" customHeight="1">
      <c r="A302" s="99"/>
    </row>
    <row r="303" spans="1:1" ht="12.75" customHeight="1">
      <c r="A303" s="99"/>
    </row>
    <row r="304" spans="1:1" ht="12.75" customHeight="1">
      <c r="A304" s="99"/>
    </row>
    <row r="305" spans="1:1" ht="12.75" customHeight="1">
      <c r="A305" s="99"/>
    </row>
    <row r="306" spans="1:1" ht="12.75" customHeight="1">
      <c r="A306" s="99"/>
    </row>
    <row r="307" spans="1:1" ht="12.75" customHeight="1">
      <c r="A307" s="99"/>
    </row>
    <row r="308" spans="1:1" ht="12.75" customHeight="1">
      <c r="A308" s="99"/>
    </row>
    <row r="309" spans="1:1" ht="12.75" customHeight="1">
      <c r="A309" s="99"/>
    </row>
    <row r="310" spans="1:1" ht="12.75" customHeight="1">
      <c r="A310" s="99"/>
    </row>
    <row r="311" spans="1:1" ht="12.75" customHeight="1">
      <c r="A311" s="99"/>
    </row>
    <row r="312" spans="1:1" ht="12.75" customHeight="1">
      <c r="A312" s="99"/>
    </row>
    <row r="313" spans="1:1" ht="12.75" customHeight="1">
      <c r="A313" s="99"/>
    </row>
    <row r="314" spans="1:1" ht="12.75" customHeight="1">
      <c r="A314" s="99"/>
    </row>
    <row r="315" spans="1:1" ht="12.75" customHeight="1">
      <c r="A315" s="99"/>
    </row>
    <row r="316" spans="1:1" ht="12.75" customHeight="1">
      <c r="A316" s="99"/>
    </row>
    <row r="317" spans="1:1" ht="12.75" customHeight="1">
      <c r="A317" s="99"/>
    </row>
    <row r="318" spans="1:1" ht="12.75" customHeight="1">
      <c r="A318" s="99"/>
    </row>
    <row r="319" spans="1:1" ht="12.75" customHeight="1">
      <c r="A319" s="99"/>
    </row>
    <row r="320" spans="1:1" ht="12.75" customHeight="1">
      <c r="A320" s="99"/>
    </row>
    <row r="321" spans="1:1" ht="12.75" customHeight="1">
      <c r="A321" s="99"/>
    </row>
    <row r="322" spans="1:1" ht="12.75" customHeight="1">
      <c r="A322" s="99"/>
    </row>
    <row r="323" spans="1:1" ht="12.75" customHeight="1">
      <c r="A323" s="99"/>
    </row>
    <row r="324" spans="1:1" ht="12.75" customHeight="1">
      <c r="A324" s="99"/>
    </row>
    <row r="325" spans="1:1" ht="12.75" customHeight="1">
      <c r="A325" s="99"/>
    </row>
    <row r="326" spans="1:1" ht="12.75" customHeight="1">
      <c r="A326" s="99"/>
    </row>
    <row r="327" spans="1:1" ht="12.75" customHeight="1">
      <c r="A327" s="99"/>
    </row>
    <row r="328" spans="1:1" ht="12.75" customHeight="1">
      <c r="A328" s="99"/>
    </row>
    <row r="329" spans="1:1" ht="12.75" customHeight="1">
      <c r="A329" s="99"/>
    </row>
    <row r="330" spans="1:1" ht="12.75" customHeight="1">
      <c r="A330" s="99"/>
    </row>
    <row r="331" spans="1:1" ht="12.75" customHeight="1">
      <c r="A331" s="99"/>
    </row>
    <row r="332" spans="1:1" ht="12.75" customHeight="1">
      <c r="A332" s="99"/>
    </row>
    <row r="333" spans="1:1" ht="12.75" customHeight="1">
      <c r="A333" s="99"/>
    </row>
    <row r="334" spans="1:1" ht="12.75" customHeight="1">
      <c r="A334" s="99"/>
    </row>
    <row r="335" spans="1:1" ht="12.75" customHeight="1">
      <c r="A335" s="99"/>
    </row>
    <row r="336" spans="1:1" ht="12.75" customHeight="1">
      <c r="A336" s="99"/>
    </row>
    <row r="337" spans="1:1" ht="12.75" customHeight="1">
      <c r="A337" s="99"/>
    </row>
    <row r="338" spans="1:1" ht="12.75" customHeight="1">
      <c r="A338" s="99"/>
    </row>
    <row r="339" spans="1:1" ht="12.75" customHeight="1">
      <c r="A339" s="99"/>
    </row>
    <row r="340" spans="1:1" ht="12.75" customHeight="1">
      <c r="A340" s="99"/>
    </row>
    <row r="341" spans="1:1" ht="12.75" customHeight="1">
      <c r="A341" s="99"/>
    </row>
    <row r="342" spans="1:1" ht="12.75" customHeight="1">
      <c r="A342" s="99"/>
    </row>
    <row r="343" spans="1:1" ht="12.75" customHeight="1">
      <c r="A343" s="99"/>
    </row>
    <row r="344" spans="1:1" ht="12.75" customHeight="1">
      <c r="A344" s="99"/>
    </row>
    <row r="345" spans="1:1" ht="12.75" customHeight="1">
      <c r="A345" s="99"/>
    </row>
    <row r="346" spans="1:1" ht="12.75" customHeight="1">
      <c r="A346" s="99"/>
    </row>
    <row r="347" spans="1:1" ht="12.75" customHeight="1">
      <c r="A347" s="99"/>
    </row>
    <row r="348" spans="1:1" ht="12.75" customHeight="1">
      <c r="A348" s="99"/>
    </row>
    <row r="349" spans="1:1" ht="12.75" customHeight="1">
      <c r="A349" s="99"/>
    </row>
    <row r="350" spans="1:1" ht="12.75" customHeight="1">
      <c r="A350" s="99"/>
    </row>
    <row r="351" spans="1:1" ht="12.75" customHeight="1">
      <c r="A351" s="99"/>
    </row>
    <row r="352" spans="1:1" ht="12.75" customHeight="1">
      <c r="A352" s="99"/>
    </row>
    <row r="353" spans="1:1" ht="12.75" customHeight="1">
      <c r="A353" s="99"/>
    </row>
    <row r="354" spans="1:1" ht="12.75" customHeight="1">
      <c r="A354" s="99"/>
    </row>
    <row r="355" spans="1:1" ht="12.75" customHeight="1">
      <c r="A355" s="99"/>
    </row>
    <row r="356" spans="1:1" ht="12.75" customHeight="1">
      <c r="A356" s="99"/>
    </row>
    <row r="357" spans="1:1" ht="12.75" customHeight="1">
      <c r="A357" s="99"/>
    </row>
    <row r="358" spans="1:1" ht="12.75" customHeight="1">
      <c r="A358" s="99"/>
    </row>
    <row r="359" spans="1:1" ht="12.75" customHeight="1">
      <c r="A359" s="99"/>
    </row>
    <row r="360" spans="1:1" ht="12.75" customHeight="1">
      <c r="A360" s="99"/>
    </row>
    <row r="361" spans="1:1" ht="12.75" customHeight="1">
      <c r="A361" s="99"/>
    </row>
    <row r="362" spans="1:1" ht="12.75" customHeight="1">
      <c r="A362" s="99"/>
    </row>
    <row r="363" spans="1:1" ht="12.75" customHeight="1">
      <c r="A363" s="99"/>
    </row>
    <row r="364" spans="1:1" ht="12.75" customHeight="1">
      <c r="A364" s="99"/>
    </row>
    <row r="365" spans="1:1" ht="12.75" customHeight="1">
      <c r="A365" s="99"/>
    </row>
    <row r="366" spans="1:1" ht="12.75" customHeight="1">
      <c r="A366" s="99"/>
    </row>
    <row r="367" spans="1:1" ht="12.75" customHeight="1">
      <c r="A367" s="99"/>
    </row>
    <row r="368" spans="1:1" ht="12.75" customHeight="1">
      <c r="A368" s="99"/>
    </row>
    <row r="369" spans="1:1" ht="12.75" customHeight="1">
      <c r="A369" s="99"/>
    </row>
    <row r="370" spans="1:1" ht="12.75" customHeight="1">
      <c r="A370" s="99"/>
    </row>
    <row r="371" spans="1:1" ht="12.75" customHeight="1">
      <c r="A371" s="99"/>
    </row>
    <row r="372" spans="1:1" ht="12.75" customHeight="1">
      <c r="A372" s="99"/>
    </row>
    <row r="373" spans="1:1" ht="12.75" customHeight="1">
      <c r="A373" s="99"/>
    </row>
    <row r="374" spans="1:1" ht="12.75" customHeight="1">
      <c r="A374" s="99"/>
    </row>
    <row r="375" spans="1:1" ht="12.75" customHeight="1">
      <c r="A375" s="99"/>
    </row>
    <row r="376" spans="1:1" ht="12.75" customHeight="1">
      <c r="A376" s="99"/>
    </row>
    <row r="377" spans="1:1" ht="12.75" customHeight="1">
      <c r="A377" s="99"/>
    </row>
    <row r="378" spans="1:1" ht="12.75" customHeight="1">
      <c r="A378" s="99"/>
    </row>
    <row r="379" spans="1:1" ht="12.75" customHeight="1">
      <c r="A379" s="99"/>
    </row>
    <row r="380" spans="1:1" ht="12.75" customHeight="1">
      <c r="A380" s="99"/>
    </row>
    <row r="381" spans="1:1" ht="12.75" customHeight="1">
      <c r="A381" s="99"/>
    </row>
    <row r="382" spans="1:1" ht="12.75" customHeight="1">
      <c r="A382" s="99"/>
    </row>
    <row r="383" spans="1:1" ht="12.75" customHeight="1">
      <c r="A383" s="99"/>
    </row>
    <row r="384" spans="1:1" ht="12.75" customHeight="1">
      <c r="A384" s="99"/>
    </row>
    <row r="385" spans="1:1" ht="12.75" customHeight="1">
      <c r="A385" s="99"/>
    </row>
    <row r="386" spans="1:1" ht="12.75" customHeight="1">
      <c r="A386" s="99"/>
    </row>
    <row r="387" spans="1:1" ht="12.75" customHeight="1">
      <c r="A387" s="99"/>
    </row>
    <row r="388" spans="1:1" ht="12.75" customHeight="1">
      <c r="A388" s="99"/>
    </row>
    <row r="389" spans="1:1" ht="12.75" customHeight="1">
      <c r="A389" s="99"/>
    </row>
    <row r="390" spans="1:1" ht="12.75" customHeight="1">
      <c r="A390" s="99"/>
    </row>
    <row r="391" spans="1:1" ht="12.75" customHeight="1">
      <c r="A391" s="99"/>
    </row>
    <row r="392" spans="1:1" ht="12.75" customHeight="1">
      <c r="A392" s="99"/>
    </row>
    <row r="393" spans="1:1" ht="12.75" customHeight="1">
      <c r="A393" s="99"/>
    </row>
    <row r="394" spans="1:1" ht="12.75" customHeight="1">
      <c r="A394" s="99"/>
    </row>
    <row r="395" spans="1:1" ht="12.75" customHeight="1">
      <c r="A395" s="99"/>
    </row>
    <row r="396" spans="1:1" ht="12.75" customHeight="1">
      <c r="A396" s="99"/>
    </row>
    <row r="397" spans="1:1" ht="12.75" customHeight="1">
      <c r="A397" s="99"/>
    </row>
    <row r="398" spans="1:1" ht="12.75" customHeight="1">
      <c r="A398" s="99"/>
    </row>
    <row r="399" spans="1:1" ht="12.75" customHeight="1">
      <c r="A399" s="99"/>
    </row>
    <row r="400" spans="1:1" ht="12.75" customHeight="1">
      <c r="A400" s="99"/>
    </row>
    <row r="401" spans="1:1" ht="12.75" customHeight="1">
      <c r="A401" s="99"/>
    </row>
    <row r="402" spans="1:1" ht="12.75" customHeight="1">
      <c r="A402" s="99"/>
    </row>
    <row r="403" spans="1:1" ht="12.75" customHeight="1">
      <c r="A403" s="99"/>
    </row>
    <row r="404" spans="1:1" ht="12.75" customHeight="1">
      <c r="A404" s="99"/>
    </row>
    <row r="405" spans="1:1" ht="12.75" customHeight="1">
      <c r="A405" s="99"/>
    </row>
    <row r="406" spans="1:1" ht="12.75" customHeight="1">
      <c r="A406" s="99"/>
    </row>
    <row r="407" spans="1:1" ht="12.75" customHeight="1">
      <c r="A407" s="99"/>
    </row>
    <row r="408" spans="1:1" ht="12.75" customHeight="1">
      <c r="A408" s="99"/>
    </row>
    <row r="409" spans="1:1" ht="12.75" customHeight="1">
      <c r="A409" s="99"/>
    </row>
    <row r="410" spans="1:1" ht="12.75" customHeight="1">
      <c r="A410" s="99"/>
    </row>
    <row r="411" spans="1:1" ht="12.75" customHeight="1">
      <c r="A411" s="99"/>
    </row>
    <row r="412" spans="1:1" ht="12.75" customHeight="1">
      <c r="A412" s="99"/>
    </row>
    <row r="413" spans="1:1" ht="12.75" customHeight="1">
      <c r="A413" s="99"/>
    </row>
    <row r="414" spans="1:1" ht="12.75" customHeight="1">
      <c r="A414" s="99"/>
    </row>
    <row r="415" spans="1:1" ht="12.75" customHeight="1">
      <c r="A415" s="99"/>
    </row>
    <row r="416" spans="1:1" ht="12.75" customHeight="1">
      <c r="A416" s="99"/>
    </row>
    <row r="417" spans="1:1" ht="12.75" customHeight="1">
      <c r="A417" s="99"/>
    </row>
    <row r="418" spans="1:1" ht="12.75" customHeight="1">
      <c r="A418" s="99"/>
    </row>
    <row r="419" spans="1:1" ht="12.75" customHeight="1">
      <c r="A419" s="99"/>
    </row>
    <row r="420" spans="1:1" ht="12.75" customHeight="1">
      <c r="A420" s="99"/>
    </row>
    <row r="421" spans="1:1" ht="12.75" customHeight="1">
      <c r="A421" s="99"/>
    </row>
    <row r="422" spans="1:1" ht="12.75" customHeight="1">
      <c r="A422" s="99"/>
    </row>
    <row r="423" spans="1:1" ht="12.75" customHeight="1">
      <c r="A423" s="99"/>
    </row>
    <row r="424" spans="1:1" ht="12.75" customHeight="1">
      <c r="A424" s="99"/>
    </row>
    <row r="425" spans="1:1" ht="12.75" customHeight="1">
      <c r="A425" s="99"/>
    </row>
    <row r="426" spans="1:1" ht="12.75" customHeight="1">
      <c r="A426" s="99"/>
    </row>
    <row r="427" spans="1:1" ht="12.75" customHeight="1">
      <c r="A427" s="99"/>
    </row>
    <row r="428" spans="1:1" ht="12.75" customHeight="1">
      <c r="A428" s="99"/>
    </row>
    <row r="429" spans="1:1" ht="12.75" customHeight="1">
      <c r="A429" s="99"/>
    </row>
    <row r="430" spans="1:1" ht="12.75" customHeight="1">
      <c r="A430" s="99"/>
    </row>
    <row r="431" spans="1:1" ht="12.75" customHeight="1">
      <c r="A431" s="99"/>
    </row>
    <row r="432" spans="1:1" ht="12.75" customHeight="1">
      <c r="A432" s="99"/>
    </row>
    <row r="433" spans="1:1" ht="12.75" customHeight="1">
      <c r="A433" s="99"/>
    </row>
    <row r="434" spans="1:1" ht="12.75" customHeight="1">
      <c r="A434" s="99"/>
    </row>
    <row r="435" spans="1:1" ht="12.75" customHeight="1">
      <c r="A435" s="99"/>
    </row>
    <row r="436" spans="1:1" ht="12.75" customHeight="1">
      <c r="A436" s="99"/>
    </row>
    <row r="437" spans="1:1" ht="12.75" customHeight="1">
      <c r="A437" s="99"/>
    </row>
    <row r="438" spans="1:1" ht="12.75" customHeight="1">
      <c r="A438" s="99"/>
    </row>
    <row r="439" spans="1:1" ht="12.75" customHeight="1">
      <c r="A439" s="99"/>
    </row>
    <row r="440" spans="1:1" ht="12.75" customHeight="1">
      <c r="A440" s="99"/>
    </row>
    <row r="441" spans="1:1" ht="12.75" customHeight="1">
      <c r="A441" s="99"/>
    </row>
    <row r="442" spans="1:1" ht="12.75" customHeight="1">
      <c r="A442" s="99"/>
    </row>
    <row r="443" spans="1:1" ht="12.75" customHeight="1">
      <c r="A443" s="99"/>
    </row>
    <row r="444" spans="1:1" ht="12.75" customHeight="1">
      <c r="A444" s="99"/>
    </row>
    <row r="445" spans="1:1" ht="12.75" customHeight="1">
      <c r="A445" s="99"/>
    </row>
    <row r="446" spans="1:1" ht="12.75" customHeight="1">
      <c r="A446" s="99"/>
    </row>
    <row r="447" spans="1:1" ht="12.75" customHeight="1">
      <c r="A447" s="99"/>
    </row>
    <row r="448" spans="1:1" ht="12.75" customHeight="1">
      <c r="A448" s="99"/>
    </row>
    <row r="449" spans="1:1" ht="12.75" customHeight="1">
      <c r="A449" s="99"/>
    </row>
    <row r="450" spans="1:1" ht="12.75" customHeight="1">
      <c r="A450" s="99"/>
    </row>
    <row r="451" spans="1:1" ht="12.75" customHeight="1">
      <c r="A451" s="99"/>
    </row>
    <row r="452" spans="1:1" ht="12.75" customHeight="1">
      <c r="A452" s="99"/>
    </row>
    <row r="453" spans="1:1" ht="12.75" customHeight="1">
      <c r="A453" s="99"/>
    </row>
    <row r="454" spans="1:1" ht="12.75" customHeight="1">
      <c r="A454" s="99"/>
    </row>
    <row r="455" spans="1:1" ht="12.75" customHeight="1">
      <c r="A455" s="99"/>
    </row>
    <row r="456" spans="1:1" ht="12.75" customHeight="1">
      <c r="A456" s="99"/>
    </row>
    <row r="457" spans="1:1" ht="12.75" customHeight="1">
      <c r="A457" s="99"/>
    </row>
    <row r="458" spans="1:1" ht="12.75" customHeight="1">
      <c r="A458" s="99"/>
    </row>
    <row r="459" spans="1:1" ht="12.75" customHeight="1">
      <c r="A459" s="99"/>
    </row>
    <row r="460" spans="1:1" ht="12.75" customHeight="1">
      <c r="A460" s="99"/>
    </row>
    <row r="461" spans="1:1" ht="12.75" customHeight="1">
      <c r="A461" s="99"/>
    </row>
    <row r="462" spans="1:1" ht="12.75" customHeight="1">
      <c r="A462" s="99"/>
    </row>
    <row r="463" spans="1:1" ht="12.75" customHeight="1">
      <c r="A463" s="99"/>
    </row>
    <row r="464" spans="1:1" ht="12.75" customHeight="1">
      <c r="A464" s="99"/>
    </row>
    <row r="465" spans="1:1" ht="12.75" customHeight="1">
      <c r="A465" s="99"/>
    </row>
    <row r="466" spans="1:1" ht="12.75" customHeight="1">
      <c r="A466" s="99"/>
    </row>
    <row r="467" spans="1:1" ht="12.75" customHeight="1">
      <c r="A467" s="99"/>
    </row>
    <row r="468" spans="1:1" ht="12.75" customHeight="1">
      <c r="A468" s="99"/>
    </row>
    <row r="469" spans="1:1" ht="12.75" customHeight="1">
      <c r="A469" s="99"/>
    </row>
    <row r="470" spans="1:1" ht="12.75" customHeight="1">
      <c r="A470" s="99"/>
    </row>
    <row r="471" spans="1:1" ht="12.75" customHeight="1">
      <c r="A471" s="99"/>
    </row>
    <row r="472" spans="1:1" ht="12.75" customHeight="1">
      <c r="A472" s="99"/>
    </row>
    <row r="473" spans="1:1" ht="12.75" customHeight="1">
      <c r="A473" s="99"/>
    </row>
    <row r="474" spans="1:1" ht="12.75" customHeight="1">
      <c r="A474" s="99"/>
    </row>
    <row r="475" spans="1:1" ht="12.75" customHeight="1">
      <c r="A475" s="99"/>
    </row>
    <row r="476" spans="1:1" ht="12.75" customHeight="1">
      <c r="A476" s="99"/>
    </row>
    <row r="477" spans="1:1" ht="12.75" customHeight="1">
      <c r="A477" s="99"/>
    </row>
    <row r="478" spans="1:1" ht="12.75" customHeight="1">
      <c r="A478" s="99"/>
    </row>
    <row r="479" spans="1:1" ht="12.75" customHeight="1">
      <c r="A479" s="99"/>
    </row>
    <row r="480" spans="1:1" ht="12.75" customHeight="1">
      <c r="A480" s="99"/>
    </row>
    <row r="481" spans="1:1" ht="12.75" customHeight="1">
      <c r="A481" s="99"/>
    </row>
    <row r="482" spans="1:1" ht="12.75" customHeight="1">
      <c r="A482" s="99"/>
    </row>
    <row r="483" spans="1:1" ht="12.75" customHeight="1">
      <c r="A483" s="99"/>
    </row>
    <row r="484" spans="1:1" ht="12.75" customHeight="1">
      <c r="A484" s="99"/>
    </row>
    <row r="485" spans="1:1" ht="12.75" customHeight="1">
      <c r="A485" s="99"/>
    </row>
    <row r="486" spans="1:1" ht="12.75" customHeight="1">
      <c r="A486" s="99"/>
    </row>
    <row r="487" spans="1:1" ht="12.75" customHeight="1">
      <c r="A487" s="99"/>
    </row>
    <row r="488" spans="1:1" ht="12.75" customHeight="1">
      <c r="A488" s="99"/>
    </row>
    <row r="489" spans="1:1" ht="12.75" customHeight="1">
      <c r="A489" s="99"/>
    </row>
    <row r="490" spans="1:1" ht="12.75" customHeight="1">
      <c r="A490" s="99"/>
    </row>
    <row r="491" spans="1:1" ht="12.75" customHeight="1">
      <c r="A491" s="99"/>
    </row>
    <row r="492" spans="1:1" ht="12.75" customHeight="1">
      <c r="A492" s="99"/>
    </row>
    <row r="493" spans="1:1" ht="12.75" customHeight="1">
      <c r="A493" s="99"/>
    </row>
    <row r="494" spans="1:1" ht="12.75" customHeight="1">
      <c r="A494" s="99"/>
    </row>
    <row r="495" spans="1:1" ht="12.75" customHeight="1">
      <c r="A495" s="99"/>
    </row>
    <row r="496" spans="1:1" ht="12.75" customHeight="1">
      <c r="A496" s="99"/>
    </row>
    <row r="497" spans="1:1" ht="12.75" customHeight="1">
      <c r="A497" s="99"/>
    </row>
    <row r="498" spans="1:1" ht="12.75" customHeight="1">
      <c r="A498" s="99"/>
    </row>
    <row r="499" spans="1:1" ht="12.75" customHeight="1">
      <c r="A499" s="99"/>
    </row>
    <row r="500" spans="1:1" ht="12.75" customHeight="1">
      <c r="A500" s="99"/>
    </row>
    <row r="501" spans="1:1" ht="12.75" customHeight="1">
      <c r="A501" s="99"/>
    </row>
    <row r="502" spans="1:1" ht="12.75" customHeight="1">
      <c r="A502" s="99"/>
    </row>
    <row r="503" spans="1:1" ht="12.75" customHeight="1">
      <c r="A503" s="99"/>
    </row>
    <row r="504" spans="1:1" ht="12.75" customHeight="1">
      <c r="A504" s="99"/>
    </row>
    <row r="505" spans="1:1" ht="12.75" customHeight="1">
      <c r="A505" s="99"/>
    </row>
    <row r="506" spans="1:1" ht="12.75" customHeight="1">
      <c r="A506" s="99"/>
    </row>
    <row r="507" spans="1:1" ht="12.75" customHeight="1">
      <c r="A507" s="99"/>
    </row>
    <row r="508" spans="1:1" ht="12.75" customHeight="1">
      <c r="A508" s="99"/>
    </row>
    <row r="509" spans="1:1" ht="12.75" customHeight="1">
      <c r="A509" s="99"/>
    </row>
    <row r="510" spans="1:1" ht="12.75" customHeight="1">
      <c r="A510" s="99"/>
    </row>
    <row r="511" spans="1:1" ht="12.75" customHeight="1">
      <c r="A511" s="99"/>
    </row>
    <row r="512" spans="1:1" ht="12.75" customHeight="1">
      <c r="A512" s="99"/>
    </row>
    <row r="513" spans="1:1" ht="12.75" customHeight="1">
      <c r="A513" s="99"/>
    </row>
    <row r="514" spans="1:1" ht="12.75" customHeight="1">
      <c r="A514" s="99"/>
    </row>
    <row r="515" spans="1:1" ht="12.75" customHeight="1">
      <c r="A515" s="99"/>
    </row>
    <row r="516" spans="1:1" ht="12.75" customHeight="1">
      <c r="A516" s="99"/>
    </row>
    <row r="517" spans="1:1" ht="12.75" customHeight="1">
      <c r="A517" s="99"/>
    </row>
    <row r="518" spans="1:1" ht="12.75" customHeight="1">
      <c r="A518" s="99"/>
    </row>
    <row r="519" spans="1:1" ht="12.75" customHeight="1">
      <c r="A519" s="99"/>
    </row>
    <row r="520" spans="1:1" ht="12.75" customHeight="1">
      <c r="A520" s="99"/>
    </row>
    <row r="521" spans="1:1" ht="12.75" customHeight="1">
      <c r="A521" s="99"/>
    </row>
    <row r="522" spans="1:1" ht="12.75" customHeight="1">
      <c r="A522" s="99"/>
    </row>
    <row r="523" spans="1:1" ht="12.75" customHeight="1">
      <c r="A523" s="99"/>
    </row>
    <row r="524" spans="1:1" ht="12.75" customHeight="1">
      <c r="A524" s="99"/>
    </row>
    <row r="525" spans="1:1" ht="12.75" customHeight="1">
      <c r="A525" s="99"/>
    </row>
    <row r="526" spans="1:1" ht="12.75" customHeight="1">
      <c r="A526" s="99"/>
    </row>
    <row r="527" spans="1:1" ht="12.75" customHeight="1">
      <c r="A527" s="99"/>
    </row>
    <row r="528" spans="1:1" ht="12.75" customHeight="1">
      <c r="A528" s="99"/>
    </row>
    <row r="529" spans="1:1" ht="12.75" customHeight="1">
      <c r="A529" s="99"/>
    </row>
    <row r="530" spans="1:1" ht="12.75" customHeight="1">
      <c r="A530" s="99"/>
    </row>
    <row r="531" spans="1:1" ht="12.75" customHeight="1">
      <c r="A531" s="99"/>
    </row>
    <row r="532" spans="1:1" ht="12.75" customHeight="1">
      <c r="A532" s="99"/>
    </row>
    <row r="533" spans="1:1" ht="12.75" customHeight="1">
      <c r="A533" s="99"/>
    </row>
    <row r="534" spans="1:1" ht="12.75" customHeight="1">
      <c r="A534" s="99"/>
    </row>
    <row r="535" spans="1:1" ht="12.75" customHeight="1">
      <c r="A535" s="99"/>
    </row>
    <row r="536" spans="1:1" ht="12.75" customHeight="1">
      <c r="A536" s="99"/>
    </row>
    <row r="537" spans="1:1" ht="12.75" customHeight="1">
      <c r="A537" s="99"/>
    </row>
    <row r="538" spans="1:1" ht="12.75" customHeight="1">
      <c r="A538" s="99"/>
    </row>
    <row r="539" spans="1:1" ht="12.75" customHeight="1">
      <c r="A539" s="99"/>
    </row>
    <row r="540" spans="1:1" ht="12.75" customHeight="1">
      <c r="A540" s="99"/>
    </row>
    <row r="541" spans="1:1" ht="12.75" customHeight="1">
      <c r="A541" s="99"/>
    </row>
    <row r="542" spans="1:1" ht="12.75" customHeight="1">
      <c r="A542" s="99"/>
    </row>
    <row r="543" spans="1:1" ht="12.75" customHeight="1">
      <c r="A543" s="99"/>
    </row>
    <row r="544" spans="1:1" ht="12.75" customHeight="1">
      <c r="A544" s="99"/>
    </row>
    <row r="545" spans="1:1" ht="12.75" customHeight="1">
      <c r="A545" s="99"/>
    </row>
    <row r="546" spans="1:1" ht="12.75" customHeight="1">
      <c r="A546" s="99"/>
    </row>
    <row r="547" spans="1:1" ht="12.75" customHeight="1">
      <c r="A547" s="99"/>
    </row>
    <row r="548" spans="1:1" ht="12.75" customHeight="1">
      <c r="A548" s="99"/>
    </row>
    <row r="549" spans="1:1" ht="12.75" customHeight="1">
      <c r="A549" s="99"/>
    </row>
    <row r="550" spans="1:1" ht="12.75" customHeight="1">
      <c r="A550" s="99"/>
    </row>
    <row r="551" spans="1:1" ht="12.75" customHeight="1">
      <c r="A551" s="99"/>
    </row>
    <row r="552" spans="1:1" ht="12.75" customHeight="1">
      <c r="A552" s="99"/>
    </row>
    <row r="553" spans="1:1" ht="12.75" customHeight="1">
      <c r="A553" s="99"/>
    </row>
    <row r="554" spans="1:1" ht="12.75" customHeight="1">
      <c r="A554" s="99"/>
    </row>
    <row r="555" spans="1:1" ht="12.75" customHeight="1">
      <c r="A555" s="99"/>
    </row>
    <row r="556" spans="1:1" ht="12.75" customHeight="1">
      <c r="A556" s="99"/>
    </row>
    <row r="557" spans="1:1" ht="12.75" customHeight="1">
      <c r="A557" s="99"/>
    </row>
    <row r="558" spans="1:1" ht="12.75" customHeight="1">
      <c r="A558" s="99"/>
    </row>
    <row r="559" spans="1:1" ht="12.75" customHeight="1">
      <c r="A559" s="99"/>
    </row>
    <row r="560" spans="1:1" ht="12.75" customHeight="1">
      <c r="A560" s="99"/>
    </row>
    <row r="561" spans="1:1" ht="12.75" customHeight="1">
      <c r="A561" s="99"/>
    </row>
    <row r="562" spans="1:1" ht="12.75" customHeight="1">
      <c r="A562" s="99"/>
    </row>
    <row r="563" spans="1:1" ht="12.75" customHeight="1">
      <c r="A563" s="99"/>
    </row>
    <row r="564" spans="1:1" ht="12.75" customHeight="1">
      <c r="A564" s="99"/>
    </row>
    <row r="565" spans="1:1" ht="12.75" customHeight="1">
      <c r="A565" s="99"/>
    </row>
    <row r="566" spans="1:1" ht="12.75" customHeight="1">
      <c r="A566" s="99"/>
    </row>
    <row r="567" spans="1:1" ht="12.75" customHeight="1">
      <c r="A567" s="99"/>
    </row>
    <row r="568" spans="1:1" ht="12.75" customHeight="1">
      <c r="A568" s="99"/>
    </row>
    <row r="569" spans="1:1" ht="12.75" customHeight="1">
      <c r="A569" s="99"/>
    </row>
    <row r="570" spans="1:1" ht="12.75" customHeight="1">
      <c r="A570" s="99"/>
    </row>
    <row r="571" spans="1:1" ht="12.75" customHeight="1">
      <c r="A571" s="99"/>
    </row>
    <row r="572" spans="1:1" ht="12.75" customHeight="1">
      <c r="A572" s="99"/>
    </row>
    <row r="573" spans="1:1" ht="12.75" customHeight="1">
      <c r="A573" s="99"/>
    </row>
    <row r="574" spans="1:1" ht="12.75" customHeight="1">
      <c r="A574" s="99"/>
    </row>
    <row r="575" spans="1:1" ht="12.75" customHeight="1">
      <c r="A575" s="99"/>
    </row>
    <row r="576" spans="1:1" ht="12.75" customHeight="1">
      <c r="A576" s="99"/>
    </row>
    <row r="577" spans="1:1" ht="12.75" customHeight="1">
      <c r="A577" s="99"/>
    </row>
    <row r="578" spans="1:1" ht="12.75" customHeight="1">
      <c r="A578" s="99"/>
    </row>
    <row r="579" spans="1:1" ht="12.75" customHeight="1">
      <c r="A579" s="99"/>
    </row>
    <row r="580" spans="1:1" ht="12.75" customHeight="1">
      <c r="A580" s="99"/>
    </row>
    <row r="581" spans="1:1" ht="12.75" customHeight="1">
      <c r="A581" s="99"/>
    </row>
    <row r="582" spans="1:1" ht="12.75" customHeight="1">
      <c r="A582" s="99"/>
    </row>
    <row r="583" spans="1:1" ht="12.75" customHeight="1">
      <c r="A583" s="99"/>
    </row>
    <row r="584" spans="1:1" ht="12.75" customHeight="1">
      <c r="A584" s="99"/>
    </row>
    <row r="585" spans="1:1" ht="12.75" customHeight="1">
      <c r="A585" s="99"/>
    </row>
    <row r="586" spans="1:1" ht="12.75" customHeight="1">
      <c r="A586" s="99"/>
    </row>
    <row r="587" spans="1:1" ht="12.75" customHeight="1">
      <c r="A587" s="99"/>
    </row>
    <row r="588" spans="1:1" ht="12.75" customHeight="1">
      <c r="A588" s="99"/>
    </row>
    <row r="589" spans="1:1" ht="12.75" customHeight="1">
      <c r="A589" s="99"/>
    </row>
    <row r="590" spans="1:1" ht="12.75" customHeight="1">
      <c r="A590" s="99"/>
    </row>
    <row r="591" spans="1:1" ht="12.75" customHeight="1">
      <c r="A591" s="99"/>
    </row>
    <row r="592" spans="1:1" ht="12.75" customHeight="1">
      <c r="A592" s="99"/>
    </row>
    <row r="593" spans="1:1" ht="12.75" customHeight="1">
      <c r="A593" s="99"/>
    </row>
    <row r="594" spans="1:1" ht="12.75" customHeight="1">
      <c r="A594" s="99"/>
    </row>
    <row r="595" spans="1:1" ht="12.75" customHeight="1">
      <c r="A595" s="99"/>
    </row>
    <row r="596" spans="1:1" ht="12.75" customHeight="1">
      <c r="A596" s="99"/>
    </row>
    <row r="597" spans="1:1" ht="12.75" customHeight="1">
      <c r="A597" s="99"/>
    </row>
    <row r="598" spans="1:1" ht="12.75" customHeight="1">
      <c r="A598" s="99"/>
    </row>
    <row r="599" spans="1:1" ht="12.75" customHeight="1">
      <c r="A599" s="99"/>
    </row>
    <row r="600" spans="1:1" ht="12.75" customHeight="1">
      <c r="A600" s="99"/>
    </row>
    <row r="601" spans="1:1" ht="12.75" customHeight="1">
      <c r="A601" s="99"/>
    </row>
    <row r="602" spans="1:1" ht="12.75" customHeight="1">
      <c r="A602" s="99"/>
    </row>
    <row r="603" spans="1:1" ht="12.75" customHeight="1">
      <c r="A603" s="99"/>
    </row>
    <row r="604" spans="1:1" ht="12.75" customHeight="1">
      <c r="A604" s="99"/>
    </row>
    <row r="605" spans="1:1" ht="12.75" customHeight="1">
      <c r="A605" s="99"/>
    </row>
    <row r="606" spans="1:1" ht="12.75" customHeight="1">
      <c r="A606" s="99"/>
    </row>
    <row r="607" spans="1:1" ht="12.75" customHeight="1">
      <c r="A607" s="99"/>
    </row>
    <row r="608" spans="1:1" ht="12.75" customHeight="1">
      <c r="A608" s="99"/>
    </row>
    <row r="609" spans="1:1" ht="12.75" customHeight="1">
      <c r="A609" s="99"/>
    </row>
    <row r="610" spans="1:1" ht="12.75" customHeight="1">
      <c r="A610" s="99"/>
    </row>
    <row r="611" spans="1:1" ht="12.75" customHeight="1">
      <c r="A611" s="99"/>
    </row>
    <row r="612" spans="1:1" ht="12.75" customHeight="1">
      <c r="A612" s="99"/>
    </row>
    <row r="613" spans="1:1" ht="12.75" customHeight="1">
      <c r="A613" s="99"/>
    </row>
    <row r="614" spans="1:1" ht="12.75" customHeight="1">
      <c r="A614" s="99"/>
    </row>
    <row r="615" spans="1:1" ht="12.75" customHeight="1">
      <c r="A615" s="99"/>
    </row>
    <row r="616" spans="1:1" ht="12.75" customHeight="1">
      <c r="A616" s="99"/>
    </row>
    <row r="617" spans="1:1" ht="12.75" customHeight="1">
      <c r="A617" s="99"/>
    </row>
    <row r="618" spans="1:1" ht="12.75" customHeight="1">
      <c r="A618" s="99"/>
    </row>
    <row r="619" spans="1:1" ht="12.75" customHeight="1">
      <c r="A619" s="99"/>
    </row>
    <row r="620" spans="1:1" ht="12.75" customHeight="1">
      <c r="A620" s="99"/>
    </row>
    <row r="621" spans="1:1" ht="12.75" customHeight="1">
      <c r="A621" s="99"/>
    </row>
    <row r="622" spans="1:1" ht="12.75" customHeight="1">
      <c r="A622" s="99"/>
    </row>
    <row r="623" spans="1:1" ht="12.75" customHeight="1">
      <c r="A623" s="99"/>
    </row>
    <row r="624" spans="1:1" ht="12.75" customHeight="1">
      <c r="A624" s="99"/>
    </row>
    <row r="625" spans="1:1" ht="12.75" customHeight="1">
      <c r="A625" s="99"/>
    </row>
    <row r="626" spans="1:1" ht="12.75" customHeight="1">
      <c r="A626" s="99"/>
    </row>
    <row r="627" spans="1:1" ht="12.75" customHeight="1">
      <c r="A627" s="99"/>
    </row>
    <row r="628" spans="1:1" ht="12.75" customHeight="1">
      <c r="A628" s="99"/>
    </row>
    <row r="629" spans="1:1" ht="12.75" customHeight="1">
      <c r="A629" s="99"/>
    </row>
    <row r="630" spans="1:1" ht="12.75" customHeight="1">
      <c r="A630" s="99"/>
    </row>
    <row r="631" spans="1:1" ht="12.75" customHeight="1">
      <c r="A631" s="99"/>
    </row>
    <row r="632" spans="1:1" ht="12.75" customHeight="1">
      <c r="A632" s="99"/>
    </row>
    <row r="633" spans="1:1" ht="12.75" customHeight="1">
      <c r="A633" s="99"/>
    </row>
    <row r="634" spans="1:1" ht="12.75" customHeight="1">
      <c r="A634" s="99"/>
    </row>
    <row r="635" spans="1:1" ht="12.75" customHeight="1">
      <c r="A635" s="99"/>
    </row>
    <row r="636" spans="1:1" ht="12.75" customHeight="1">
      <c r="A636" s="99"/>
    </row>
    <row r="637" spans="1:1" ht="12.75" customHeight="1">
      <c r="A637" s="99"/>
    </row>
    <row r="638" spans="1:1" ht="12.75" customHeight="1">
      <c r="A638" s="99"/>
    </row>
    <row r="639" spans="1:1" ht="12.75" customHeight="1">
      <c r="A639" s="99"/>
    </row>
    <row r="640" spans="1:1" ht="12.75" customHeight="1">
      <c r="A640" s="99"/>
    </row>
    <row r="641" spans="1:1" ht="12.75" customHeight="1">
      <c r="A641" s="99"/>
    </row>
    <row r="642" spans="1:1" ht="12.75" customHeight="1">
      <c r="A642" s="99"/>
    </row>
    <row r="643" spans="1:1" ht="12.75" customHeight="1">
      <c r="A643" s="99"/>
    </row>
    <row r="644" spans="1:1" ht="12.75" customHeight="1">
      <c r="A644" s="99"/>
    </row>
    <row r="645" spans="1:1" ht="12.75" customHeight="1">
      <c r="A645" s="99"/>
    </row>
    <row r="646" spans="1:1" ht="12.75" customHeight="1">
      <c r="A646" s="99"/>
    </row>
    <row r="647" spans="1:1" ht="12.75" customHeight="1">
      <c r="A647" s="99"/>
    </row>
    <row r="648" spans="1:1" ht="12.75" customHeight="1">
      <c r="A648" s="99"/>
    </row>
    <row r="649" spans="1:1" ht="12.75" customHeight="1">
      <c r="A649" s="99"/>
    </row>
    <row r="650" spans="1:1" ht="12.75" customHeight="1">
      <c r="A650" s="99"/>
    </row>
    <row r="651" spans="1:1" ht="12.75" customHeight="1">
      <c r="A651" s="99"/>
    </row>
    <row r="652" spans="1:1" ht="12.75" customHeight="1">
      <c r="A652" s="99"/>
    </row>
    <row r="653" spans="1:1" ht="12.75" customHeight="1">
      <c r="A653" s="99"/>
    </row>
    <row r="654" spans="1:1" ht="12.75" customHeight="1">
      <c r="A654" s="99"/>
    </row>
    <row r="655" spans="1:1" ht="12.75" customHeight="1">
      <c r="A655" s="99"/>
    </row>
    <row r="656" spans="1:1" ht="12.75" customHeight="1">
      <c r="A656" s="99"/>
    </row>
    <row r="657" spans="1:1" ht="12.75" customHeight="1">
      <c r="A657" s="99"/>
    </row>
    <row r="658" spans="1:1" ht="12.75" customHeight="1">
      <c r="A658" s="99"/>
    </row>
    <row r="659" spans="1:1" ht="12.75" customHeight="1">
      <c r="A659" s="99"/>
    </row>
    <row r="660" spans="1:1" ht="12.75" customHeight="1">
      <c r="A660" s="99"/>
    </row>
    <row r="661" spans="1:1" ht="12.75" customHeight="1">
      <c r="A661" s="99"/>
    </row>
    <row r="662" spans="1:1" ht="12.75" customHeight="1">
      <c r="A662" s="99"/>
    </row>
    <row r="663" spans="1:1" ht="12.75" customHeight="1">
      <c r="A663" s="99"/>
    </row>
    <row r="664" spans="1:1" ht="12.75" customHeight="1">
      <c r="A664" s="99"/>
    </row>
    <row r="665" spans="1:1" ht="12.75" customHeight="1">
      <c r="A665" s="99"/>
    </row>
    <row r="666" spans="1:1" ht="12.75" customHeight="1">
      <c r="A666" s="99"/>
    </row>
    <row r="667" spans="1:1" ht="12.75" customHeight="1">
      <c r="A667" s="99"/>
    </row>
    <row r="668" spans="1:1" ht="12.75" customHeight="1">
      <c r="A668" s="99"/>
    </row>
    <row r="669" spans="1:1" ht="12.75" customHeight="1">
      <c r="A669" s="99"/>
    </row>
    <row r="670" spans="1:1" ht="12.75" customHeight="1">
      <c r="A670" s="99"/>
    </row>
    <row r="671" spans="1:1" ht="12.75" customHeight="1">
      <c r="A671" s="99"/>
    </row>
    <row r="672" spans="1:1" ht="12.75" customHeight="1">
      <c r="A672" s="99"/>
    </row>
    <row r="673" spans="1:1" ht="12.75" customHeight="1">
      <c r="A673" s="99"/>
    </row>
    <row r="674" spans="1:1" ht="12.75" customHeight="1">
      <c r="A674" s="99"/>
    </row>
    <row r="675" spans="1:1" ht="12.75" customHeight="1">
      <c r="A675" s="99"/>
    </row>
    <row r="676" spans="1:1" ht="12.75" customHeight="1">
      <c r="A676" s="99"/>
    </row>
    <row r="677" spans="1:1" ht="12.75" customHeight="1">
      <c r="A677" s="99"/>
    </row>
    <row r="678" spans="1:1" ht="12.75" customHeight="1">
      <c r="A678" s="99"/>
    </row>
    <row r="679" spans="1:1" ht="12.75" customHeight="1">
      <c r="A679" s="99"/>
    </row>
    <row r="680" spans="1:1" ht="12.75" customHeight="1">
      <c r="A680" s="99"/>
    </row>
    <row r="681" spans="1:1" ht="12.75" customHeight="1">
      <c r="A681" s="99"/>
    </row>
    <row r="682" spans="1:1" ht="12.75" customHeight="1">
      <c r="A682" s="99"/>
    </row>
    <row r="683" spans="1:1" ht="12.75" customHeight="1">
      <c r="A683" s="99"/>
    </row>
    <row r="684" spans="1:1" ht="12.75" customHeight="1">
      <c r="A684" s="99"/>
    </row>
    <row r="685" spans="1:1" ht="12.75" customHeight="1">
      <c r="A685" s="99"/>
    </row>
    <row r="686" spans="1:1" ht="12.75" customHeight="1">
      <c r="A686" s="99"/>
    </row>
    <row r="687" spans="1:1" ht="12.75" customHeight="1">
      <c r="A687" s="99"/>
    </row>
    <row r="688" spans="1:1" ht="12.75" customHeight="1">
      <c r="A688" s="99"/>
    </row>
    <row r="689" spans="1:1" ht="12.75" customHeight="1">
      <c r="A689" s="99"/>
    </row>
    <row r="690" spans="1:1" ht="12.75" customHeight="1">
      <c r="A690" s="99"/>
    </row>
    <row r="691" spans="1:1" ht="12.75" customHeight="1">
      <c r="A691" s="99"/>
    </row>
    <row r="692" spans="1:1" ht="12.75" customHeight="1">
      <c r="A692" s="99"/>
    </row>
    <row r="693" spans="1:1" ht="12.75" customHeight="1">
      <c r="A693" s="99"/>
    </row>
    <row r="694" spans="1:1" ht="12.75" customHeight="1">
      <c r="A694" s="99"/>
    </row>
    <row r="695" spans="1:1" ht="12.75" customHeight="1">
      <c r="A695" s="99"/>
    </row>
    <row r="696" spans="1:1" ht="12.75" customHeight="1">
      <c r="A696" s="99"/>
    </row>
    <row r="697" spans="1:1" ht="12.75" customHeight="1">
      <c r="A697" s="99"/>
    </row>
    <row r="698" spans="1:1" ht="12.75" customHeight="1">
      <c r="A698" s="99"/>
    </row>
    <row r="699" spans="1:1" ht="12.75" customHeight="1">
      <c r="A699" s="99"/>
    </row>
    <row r="700" spans="1:1" ht="12.75" customHeight="1">
      <c r="A700" s="99"/>
    </row>
    <row r="701" spans="1:1" ht="12.75" customHeight="1">
      <c r="A701" s="99"/>
    </row>
    <row r="702" spans="1:1" ht="12.75" customHeight="1">
      <c r="A702" s="99"/>
    </row>
    <row r="703" spans="1:1" ht="12.75" customHeight="1">
      <c r="A703" s="99"/>
    </row>
    <row r="704" spans="1:1" ht="12.75" customHeight="1">
      <c r="A704" s="99"/>
    </row>
    <row r="705" spans="1:1" ht="12.75" customHeight="1">
      <c r="A705" s="99"/>
    </row>
    <row r="706" spans="1:1" ht="12.75" customHeight="1">
      <c r="A706" s="99"/>
    </row>
    <row r="707" spans="1:1" ht="12.75" customHeight="1">
      <c r="A707" s="99"/>
    </row>
    <row r="708" spans="1:1" ht="12.75" customHeight="1">
      <c r="A708" s="99"/>
    </row>
    <row r="709" spans="1:1" ht="12.75" customHeight="1">
      <c r="A709" s="99"/>
    </row>
    <row r="710" spans="1:1" ht="12.75" customHeight="1">
      <c r="A710" s="99"/>
    </row>
    <row r="711" spans="1:1" ht="12.75" customHeight="1">
      <c r="A711" s="99"/>
    </row>
    <row r="712" spans="1:1" ht="12.75" customHeight="1">
      <c r="A712" s="99"/>
    </row>
    <row r="713" spans="1:1" ht="12.75" customHeight="1">
      <c r="A713" s="99"/>
    </row>
    <row r="714" spans="1:1" ht="12.75" customHeight="1">
      <c r="A714" s="99"/>
    </row>
    <row r="715" spans="1:1" ht="12.75" customHeight="1">
      <c r="A715" s="99"/>
    </row>
    <row r="716" spans="1:1" ht="12.75" customHeight="1">
      <c r="A716" s="99"/>
    </row>
    <row r="717" spans="1:1" ht="12.75" customHeight="1">
      <c r="A717" s="99"/>
    </row>
    <row r="718" spans="1:1" ht="12.75" customHeight="1">
      <c r="A718" s="99"/>
    </row>
    <row r="719" spans="1:1" ht="12.75" customHeight="1">
      <c r="A719" s="99"/>
    </row>
    <row r="720" spans="1:1" ht="12.75" customHeight="1">
      <c r="A720" s="99"/>
    </row>
    <row r="721" spans="1:1" ht="12.75" customHeight="1">
      <c r="A721" s="99"/>
    </row>
    <row r="722" spans="1:1" ht="12.75" customHeight="1">
      <c r="A722" s="99"/>
    </row>
    <row r="723" spans="1:1" ht="12.75" customHeight="1">
      <c r="A723" s="99"/>
    </row>
    <row r="724" spans="1:1" ht="12.75" customHeight="1">
      <c r="A724" s="99"/>
    </row>
    <row r="725" spans="1:1" ht="12.75" customHeight="1">
      <c r="A725" s="99"/>
    </row>
    <row r="726" spans="1:1" ht="12.75" customHeight="1">
      <c r="A726" s="99"/>
    </row>
    <row r="727" spans="1:1" ht="12.75" customHeight="1">
      <c r="A727" s="99"/>
    </row>
    <row r="728" spans="1:1" ht="12.75" customHeight="1">
      <c r="A728" s="99"/>
    </row>
    <row r="729" spans="1:1" ht="12.75" customHeight="1">
      <c r="A729" s="99"/>
    </row>
    <row r="730" spans="1:1" ht="12.75" customHeight="1">
      <c r="A730" s="99"/>
    </row>
    <row r="731" spans="1:1" ht="12.75" customHeight="1">
      <c r="A731" s="99"/>
    </row>
    <row r="732" spans="1:1" ht="12.75" customHeight="1">
      <c r="A732" s="99"/>
    </row>
    <row r="733" spans="1:1" ht="12.75" customHeight="1">
      <c r="A733" s="99"/>
    </row>
    <row r="734" spans="1:1" ht="12.75" customHeight="1">
      <c r="A734" s="99"/>
    </row>
    <row r="735" spans="1:1" ht="12.75" customHeight="1">
      <c r="A735" s="99"/>
    </row>
    <row r="736" spans="1:1" ht="12.75" customHeight="1">
      <c r="A736" s="99"/>
    </row>
    <row r="737" spans="1:1" ht="12.75" customHeight="1">
      <c r="A737" s="99"/>
    </row>
    <row r="738" spans="1:1" ht="12.75" customHeight="1">
      <c r="A738" s="99"/>
    </row>
    <row r="739" spans="1:1" ht="12.75" customHeight="1">
      <c r="A739" s="99"/>
    </row>
    <row r="740" spans="1:1" ht="12.75" customHeight="1">
      <c r="A740" s="99"/>
    </row>
    <row r="741" spans="1:1" ht="12.75" customHeight="1">
      <c r="A741" s="99"/>
    </row>
    <row r="742" spans="1:1" ht="12.75" customHeight="1">
      <c r="A742" s="99"/>
    </row>
    <row r="743" spans="1:1" ht="12.75" customHeight="1">
      <c r="A743" s="99"/>
    </row>
    <row r="744" spans="1:1" ht="12.75" customHeight="1">
      <c r="A744" s="99"/>
    </row>
    <row r="745" spans="1:1" ht="12.75" customHeight="1">
      <c r="A745" s="99"/>
    </row>
    <row r="746" spans="1:1" ht="12.75" customHeight="1">
      <c r="A746" s="99"/>
    </row>
    <row r="747" spans="1:1" ht="12.75" customHeight="1">
      <c r="A747" s="99"/>
    </row>
    <row r="748" spans="1:1" ht="12.75" customHeight="1">
      <c r="A748" s="99"/>
    </row>
    <row r="749" spans="1:1" ht="12.75" customHeight="1">
      <c r="A749" s="99"/>
    </row>
    <row r="750" spans="1:1" ht="12.75" customHeight="1">
      <c r="A750" s="99"/>
    </row>
    <row r="751" spans="1:1" ht="12.75" customHeight="1">
      <c r="A751" s="99"/>
    </row>
    <row r="752" spans="1:1" ht="12.75" customHeight="1">
      <c r="A752" s="99"/>
    </row>
    <row r="753" spans="1:1" ht="12.75" customHeight="1">
      <c r="A753" s="99"/>
    </row>
    <row r="754" spans="1:1" ht="12.75" customHeight="1">
      <c r="A754" s="99"/>
    </row>
    <row r="755" spans="1:1" ht="12.75" customHeight="1">
      <c r="A755" s="99"/>
    </row>
    <row r="756" spans="1:1" ht="12.75" customHeight="1">
      <c r="A756" s="99"/>
    </row>
    <row r="757" spans="1:1" ht="12.75" customHeight="1">
      <c r="A757" s="99"/>
    </row>
    <row r="758" spans="1:1" ht="12.75" customHeight="1">
      <c r="A758" s="99"/>
    </row>
    <row r="759" spans="1:1" ht="12.75" customHeight="1">
      <c r="A759" s="99"/>
    </row>
    <row r="760" spans="1:1" ht="12.75" customHeight="1">
      <c r="A760" s="99"/>
    </row>
    <row r="761" spans="1:1" ht="12.75" customHeight="1">
      <c r="A761" s="99"/>
    </row>
    <row r="762" spans="1:1" ht="12.75" customHeight="1">
      <c r="A762" s="99"/>
    </row>
    <row r="763" spans="1:1" ht="12.75" customHeight="1">
      <c r="A763" s="99"/>
    </row>
    <row r="764" spans="1:1" ht="12.75" customHeight="1">
      <c r="A764" s="99"/>
    </row>
    <row r="765" spans="1:1" ht="12.75" customHeight="1">
      <c r="A765" s="99"/>
    </row>
    <row r="766" spans="1:1" ht="12.75" customHeight="1">
      <c r="A766" s="99"/>
    </row>
    <row r="767" spans="1:1" ht="12.75" customHeight="1">
      <c r="A767" s="99"/>
    </row>
    <row r="768" spans="1:1" ht="12.75" customHeight="1">
      <c r="A768" s="99"/>
    </row>
    <row r="769" spans="1:1" ht="12.75" customHeight="1">
      <c r="A769" s="99"/>
    </row>
    <row r="770" spans="1:1" ht="12.75" customHeight="1">
      <c r="A770" s="99"/>
    </row>
    <row r="771" spans="1:1" ht="12.75" customHeight="1">
      <c r="A771" s="99"/>
    </row>
    <row r="772" spans="1:1" ht="12.75" customHeight="1">
      <c r="A772" s="99"/>
    </row>
    <row r="773" spans="1:1" ht="12.75" customHeight="1">
      <c r="A773" s="99"/>
    </row>
    <row r="774" spans="1:1" ht="12.75" customHeight="1">
      <c r="A774" s="99"/>
    </row>
    <row r="775" spans="1:1" ht="12.75" customHeight="1">
      <c r="A775" s="99"/>
    </row>
    <row r="776" spans="1:1" ht="12.75" customHeight="1">
      <c r="A776" s="99"/>
    </row>
    <row r="777" spans="1:1" ht="12.75" customHeight="1">
      <c r="A777" s="99"/>
    </row>
    <row r="778" spans="1:1" ht="12.75" customHeight="1">
      <c r="A778" s="99"/>
    </row>
    <row r="779" spans="1:1" ht="12.75" customHeight="1">
      <c r="A779" s="99"/>
    </row>
    <row r="780" spans="1:1" ht="12.75" customHeight="1">
      <c r="A780" s="99"/>
    </row>
    <row r="781" spans="1:1" ht="12.75" customHeight="1">
      <c r="A781" s="99"/>
    </row>
    <row r="782" spans="1:1" ht="12.75" customHeight="1">
      <c r="A782" s="99"/>
    </row>
    <row r="783" spans="1:1" ht="12.75" customHeight="1">
      <c r="A783" s="99"/>
    </row>
    <row r="784" spans="1:1" ht="12.75" customHeight="1">
      <c r="A784" s="99"/>
    </row>
    <row r="785" spans="1:1" ht="12.75" customHeight="1">
      <c r="A785" s="99"/>
    </row>
    <row r="786" spans="1:1" ht="12.75" customHeight="1">
      <c r="A786" s="99"/>
    </row>
    <row r="787" spans="1:1" ht="12.75" customHeight="1">
      <c r="A787" s="99"/>
    </row>
    <row r="788" spans="1:1" ht="12.75" customHeight="1">
      <c r="A788" s="99"/>
    </row>
    <row r="789" spans="1:1" ht="12.75" customHeight="1">
      <c r="A789" s="99"/>
    </row>
    <row r="790" spans="1:1" ht="12.75" customHeight="1">
      <c r="A790" s="99"/>
    </row>
    <row r="791" spans="1:1" ht="12.75" customHeight="1">
      <c r="A791" s="99"/>
    </row>
    <row r="792" spans="1:1" ht="12.75" customHeight="1">
      <c r="A792" s="99"/>
    </row>
    <row r="793" spans="1:1" ht="12.75" customHeight="1">
      <c r="A793" s="99"/>
    </row>
    <row r="794" spans="1:1" ht="12.75" customHeight="1">
      <c r="A794" s="99"/>
    </row>
    <row r="795" spans="1:1" ht="12.75" customHeight="1">
      <c r="A795" s="99"/>
    </row>
    <row r="796" spans="1:1" ht="12.75" customHeight="1">
      <c r="A796" s="99"/>
    </row>
    <row r="797" spans="1:1" ht="12.75" customHeight="1">
      <c r="A797" s="99"/>
    </row>
    <row r="798" spans="1:1" ht="12.75" customHeight="1">
      <c r="A798" s="99"/>
    </row>
    <row r="799" spans="1:1" ht="12.75" customHeight="1">
      <c r="A799" s="99"/>
    </row>
    <row r="800" spans="1:1" ht="12.75" customHeight="1">
      <c r="A800" s="99"/>
    </row>
    <row r="801" spans="1:1" ht="12.75" customHeight="1">
      <c r="A801" s="99"/>
    </row>
    <row r="802" spans="1:1" ht="12.75" customHeight="1">
      <c r="A802" s="99"/>
    </row>
    <row r="803" spans="1:1" ht="12.75" customHeight="1">
      <c r="A803" s="99"/>
    </row>
    <row r="804" spans="1:1" ht="12.75" customHeight="1">
      <c r="A804" s="99"/>
    </row>
    <row r="805" spans="1:1" ht="12.75" customHeight="1">
      <c r="A805" s="99"/>
    </row>
    <row r="806" spans="1:1" ht="12.75" customHeight="1">
      <c r="A806" s="99"/>
    </row>
    <row r="807" spans="1:1" ht="12.75" customHeight="1">
      <c r="A807" s="99"/>
    </row>
    <row r="808" spans="1:1" ht="12.75" customHeight="1">
      <c r="A808" s="99"/>
    </row>
    <row r="809" spans="1:1" ht="12.75" customHeight="1">
      <c r="A809" s="99"/>
    </row>
    <row r="810" spans="1:1" ht="12.75" customHeight="1">
      <c r="A810" s="99"/>
    </row>
    <row r="811" spans="1:1" ht="12.75" customHeight="1">
      <c r="A811" s="99"/>
    </row>
    <row r="812" spans="1:1" ht="12.75" customHeight="1">
      <c r="A812" s="99"/>
    </row>
    <row r="813" spans="1:1" ht="12.75" customHeight="1">
      <c r="A813" s="99"/>
    </row>
    <row r="814" spans="1:1" ht="12.75" customHeight="1">
      <c r="A814" s="99"/>
    </row>
    <row r="815" spans="1:1" ht="12.75" customHeight="1">
      <c r="A815" s="99"/>
    </row>
    <row r="816" spans="1:1" ht="12.75" customHeight="1">
      <c r="A816" s="99"/>
    </row>
    <row r="817" spans="1:1" ht="12.75" customHeight="1">
      <c r="A817" s="99"/>
    </row>
    <row r="818" spans="1:1" ht="12.75" customHeight="1">
      <c r="A818" s="99"/>
    </row>
    <row r="819" spans="1:1" ht="12.75" customHeight="1">
      <c r="A819" s="99"/>
    </row>
    <row r="820" spans="1:1" ht="12.75" customHeight="1">
      <c r="A820" s="99"/>
    </row>
    <row r="821" spans="1:1" ht="12.75" customHeight="1">
      <c r="A821" s="99"/>
    </row>
    <row r="822" spans="1:1" ht="12.75" customHeight="1">
      <c r="A822" s="99"/>
    </row>
    <row r="823" spans="1:1" ht="12.75" customHeight="1">
      <c r="A823" s="99"/>
    </row>
    <row r="824" spans="1:1" ht="12.75" customHeight="1">
      <c r="A824" s="99"/>
    </row>
    <row r="825" spans="1:1" ht="12.75" customHeight="1">
      <c r="A825" s="99"/>
    </row>
    <row r="826" spans="1:1" ht="12.75" customHeight="1">
      <c r="A826" s="99"/>
    </row>
    <row r="827" spans="1:1" ht="12.75" customHeight="1">
      <c r="A827" s="99"/>
    </row>
    <row r="828" spans="1:1" ht="12.75" customHeight="1">
      <c r="A828" s="99"/>
    </row>
    <row r="829" spans="1:1" ht="12.75" customHeight="1">
      <c r="A829" s="99"/>
    </row>
    <row r="830" spans="1:1" ht="12.75" customHeight="1">
      <c r="A830" s="99"/>
    </row>
    <row r="831" spans="1:1" ht="12.75" customHeight="1">
      <c r="A831" s="99"/>
    </row>
    <row r="832" spans="1:1" ht="12.75" customHeight="1">
      <c r="A832" s="99"/>
    </row>
    <row r="833" spans="1:1" ht="12.75" customHeight="1">
      <c r="A833" s="99"/>
    </row>
    <row r="834" spans="1:1" ht="12.75" customHeight="1">
      <c r="A834" s="99"/>
    </row>
    <row r="835" spans="1:1" ht="12.75" customHeight="1">
      <c r="A835" s="99"/>
    </row>
    <row r="836" spans="1:1" ht="12.75" customHeight="1">
      <c r="A836" s="99"/>
    </row>
    <row r="837" spans="1:1" ht="12.75" customHeight="1">
      <c r="A837" s="99"/>
    </row>
    <row r="838" spans="1:1" ht="12.75" customHeight="1">
      <c r="A838" s="99"/>
    </row>
    <row r="839" spans="1:1" ht="12.75" customHeight="1">
      <c r="A839" s="99"/>
    </row>
    <row r="840" spans="1:1" ht="12.75" customHeight="1">
      <c r="A840" s="99"/>
    </row>
    <row r="841" spans="1:1" ht="12.75" customHeight="1">
      <c r="A841" s="99"/>
    </row>
    <row r="842" spans="1:1" ht="12.75" customHeight="1">
      <c r="A842" s="99"/>
    </row>
    <row r="843" spans="1:1" ht="12.75" customHeight="1">
      <c r="A843" s="99"/>
    </row>
    <row r="844" spans="1:1" ht="12.75" customHeight="1">
      <c r="A844" s="99"/>
    </row>
    <row r="845" spans="1:1" ht="12.75" customHeight="1">
      <c r="A845" s="99"/>
    </row>
    <row r="846" spans="1:1" ht="12.75" customHeight="1">
      <c r="A846" s="99"/>
    </row>
    <row r="847" spans="1:1" ht="12.75" customHeight="1">
      <c r="A847" s="99"/>
    </row>
    <row r="848" spans="1:1" ht="12.75" customHeight="1">
      <c r="A848" s="99"/>
    </row>
    <row r="849" spans="1:1" ht="12.75" customHeight="1">
      <c r="A849" s="99"/>
    </row>
    <row r="850" spans="1:1" ht="12.75" customHeight="1">
      <c r="A850" s="99"/>
    </row>
    <row r="851" spans="1:1" ht="12.75" customHeight="1">
      <c r="A851" s="99"/>
    </row>
    <row r="852" spans="1:1" ht="12.75" customHeight="1">
      <c r="A852" s="99"/>
    </row>
    <row r="853" spans="1:1" ht="12.75" customHeight="1">
      <c r="A853" s="99"/>
    </row>
    <row r="854" spans="1:1" ht="12.75" customHeight="1">
      <c r="A854" s="99"/>
    </row>
    <row r="855" spans="1:1" ht="12.75" customHeight="1">
      <c r="A855" s="99"/>
    </row>
    <row r="856" spans="1:1" ht="12.75" customHeight="1">
      <c r="A856" s="99"/>
    </row>
    <row r="857" spans="1:1" ht="12.75" customHeight="1">
      <c r="A857" s="99"/>
    </row>
    <row r="858" spans="1:1" ht="12.75" customHeight="1">
      <c r="A858" s="99"/>
    </row>
    <row r="859" spans="1:1" ht="12.75" customHeight="1">
      <c r="A859" s="99"/>
    </row>
    <row r="860" spans="1:1" ht="12.75" customHeight="1">
      <c r="A860" s="99"/>
    </row>
    <row r="861" spans="1:1" ht="12.75" customHeight="1">
      <c r="A861" s="99"/>
    </row>
    <row r="862" spans="1:1" ht="12.75" customHeight="1">
      <c r="A862" s="99"/>
    </row>
    <row r="863" spans="1:1" ht="12.75" customHeight="1">
      <c r="A863" s="99"/>
    </row>
    <row r="864" spans="1:1" ht="12.75" customHeight="1">
      <c r="A864" s="99"/>
    </row>
    <row r="865" spans="1:1" ht="12.75" customHeight="1">
      <c r="A865" s="99"/>
    </row>
    <row r="866" spans="1:1" ht="12.75" customHeight="1">
      <c r="A866" s="99"/>
    </row>
    <row r="867" spans="1:1" ht="12.75" customHeight="1">
      <c r="A867" s="99"/>
    </row>
    <row r="868" spans="1:1" ht="12.75" customHeight="1">
      <c r="A868" s="99"/>
    </row>
    <row r="869" spans="1:1" ht="12.75" customHeight="1">
      <c r="A869" s="99"/>
    </row>
    <row r="870" spans="1:1" ht="12.75" customHeight="1">
      <c r="A870" s="99"/>
    </row>
    <row r="871" spans="1:1" ht="12.75" customHeight="1">
      <c r="A871" s="99"/>
    </row>
    <row r="872" spans="1:1" ht="12.75" customHeight="1">
      <c r="A872" s="99"/>
    </row>
    <row r="873" spans="1:1" ht="12.75" customHeight="1">
      <c r="A873" s="99"/>
    </row>
    <row r="874" spans="1:1" ht="12.75" customHeight="1">
      <c r="A874" s="99"/>
    </row>
    <row r="875" spans="1:1" ht="12.75" customHeight="1">
      <c r="A875" s="99"/>
    </row>
    <row r="876" spans="1:1" ht="12.75" customHeight="1">
      <c r="A876" s="99"/>
    </row>
    <row r="877" spans="1:1" ht="12.75" customHeight="1">
      <c r="A877" s="99"/>
    </row>
    <row r="878" spans="1:1" ht="12.75" customHeight="1">
      <c r="A878" s="99"/>
    </row>
    <row r="879" spans="1:1" ht="12.75" customHeight="1">
      <c r="A879" s="99"/>
    </row>
    <row r="880" spans="1:1" ht="12.75" customHeight="1">
      <c r="A880" s="99"/>
    </row>
    <row r="881" spans="1:1" ht="12.75" customHeight="1">
      <c r="A881" s="99"/>
    </row>
    <row r="882" spans="1:1" ht="12.75" customHeight="1">
      <c r="A882" s="99"/>
    </row>
    <row r="883" spans="1:1" ht="12.75" customHeight="1">
      <c r="A883" s="99"/>
    </row>
    <row r="884" spans="1:1" ht="12.75" customHeight="1">
      <c r="A884" s="99"/>
    </row>
    <row r="885" spans="1:1" ht="12.75" customHeight="1">
      <c r="A885" s="99"/>
    </row>
    <row r="886" spans="1:1" ht="12.75" customHeight="1">
      <c r="A886" s="99"/>
    </row>
    <row r="887" spans="1:1" ht="12.75" customHeight="1">
      <c r="A887" s="99"/>
    </row>
    <row r="888" spans="1:1" ht="12.75" customHeight="1">
      <c r="A888" s="99"/>
    </row>
    <row r="889" spans="1:1" ht="12.75" customHeight="1">
      <c r="A889" s="99"/>
    </row>
    <row r="890" spans="1:1" ht="12.75" customHeight="1">
      <c r="A890" s="99"/>
    </row>
    <row r="891" spans="1:1" ht="12.75" customHeight="1">
      <c r="A891" s="99"/>
    </row>
    <row r="892" spans="1:1" ht="12.75" customHeight="1">
      <c r="A892" s="99"/>
    </row>
    <row r="893" spans="1:1" ht="12.75" customHeight="1">
      <c r="A893" s="99"/>
    </row>
    <row r="894" spans="1:1" ht="12.75" customHeight="1">
      <c r="A894" s="99"/>
    </row>
    <row r="895" spans="1:1" ht="12.75" customHeight="1">
      <c r="A895" s="99"/>
    </row>
    <row r="896" spans="1:1" ht="12.75" customHeight="1">
      <c r="A896" s="99"/>
    </row>
    <row r="897" spans="1:1" ht="12.75" customHeight="1">
      <c r="A897" s="99"/>
    </row>
    <row r="898" spans="1:1" ht="12.75" customHeight="1">
      <c r="A898" s="99"/>
    </row>
    <row r="899" spans="1:1" ht="12.75" customHeight="1">
      <c r="A899" s="99"/>
    </row>
    <row r="900" spans="1:1" ht="12.75" customHeight="1">
      <c r="A900" s="99"/>
    </row>
    <row r="901" spans="1:1" ht="12.75" customHeight="1">
      <c r="A901" s="99"/>
    </row>
    <row r="902" spans="1:1" ht="12.75" customHeight="1">
      <c r="A902" s="99"/>
    </row>
    <row r="903" spans="1:1" ht="12.75" customHeight="1">
      <c r="A903" s="99"/>
    </row>
    <row r="904" spans="1:1" ht="12.75" customHeight="1">
      <c r="A904" s="99"/>
    </row>
    <row r="905" spans="1:1" ht="12.75" customHeight="1">
      <c r="A905" s="99"/>
    </row>
    <row r="906" spans="1:1" ht="12.75" customHeight="1">
      <c r="A906" s="99"/>
    </row>
    <row r="907" spans="1:1" ht="12.75" customHeight="1">
      <c r="A907" s="99"/>
    </row>
    <row r="908" spans="1:1" ht="12.75" customHeight="1">
      <c r="A908" s="99"/>
    </row>
    <row r="909" spans="1:1" ht="12.75" customHeight="1">
      <c r="A909" s="99"/>
    </row>
    <row r="910" spans="1:1" ht="12.75" customHeight="1">
      <c r="A910" s="99"/>
    </row>
    <row r="911" spans="1:1" ht="12.75" customHeight="1">
      <c r="A911" s="99"/>
    </row>
    <row r="912" spans="1:1" ht="12.75" customHeight="1">
      <c r="A912" s="99"/>
    </row>
    <row r="913" spans="1:1" ht="12.75" customHeight="1">
      <c r="A913" s="99"/>
    </row>
    <row r="914" spans="1:1" ht="12.75" customHeight="1">
      <c r="A914" s="99"/>
    </row>
    <row r="915" spans="1:1" ht="12.75" customHeight="1">
      <c r="A915" s="99"/>
    </row>
    <row r="916" spans="1:1" ht="12.75" customHeight="1">
      <c r="A916" s="99"/>
    </row>
    <row r="917" spans="1:1" ht="12.75" customHeight="1">
      <c r="A917" s="99"/>
    </row>
    <row r="918" spans="1:1" ht="12.75" customHeight="1">
      <c r="A918" s="99"/>
    </row>
    <row r="919" spans="1:1" ht="12.75" customHeight="1">
      <c r="A919" s="99"/>
    </row>
    <row r="920" spans="1:1" ht="12.75" customHeight="1">
      <c r="A920" s="99"/>
    </row>
    <row r="921" spans="1:1" ht="12.75" customHeight="1">
      <c r="A921" s="99"/>
    </row>
    <row r="922" spans="1:1" ht="12.75" customHeight="1">
      <c r="A922" s="99"/>
    </row>
    <row r="923" spans="1:1" ht="12.75" customHeight="1">
      <c r="A923" s="99"/>
    </row>
    <row r="924" spans="1:1" ht="12.75" customHeight="1">
      <c r="A924" s="99"/>
    </row>
    <row r="925" spans="1:1" ht="12.75" customHeight="1">
      <c r="A925" s="99"/>
    </row>
    <row r="926" spans="1:1" ht="12.75" customHeight="1">
      <c r="A926" s="99"/>
    </row>
    <row r="927" spans="1:1" ht="12.75" customHeight="1">
      <c r="A927" s="99"/>
    </row>
    <row r="928" spans="1:1" ht="12.75" customHeight="1">
      <c r="A928" s="99"/>
    </row>
    <row r="929" spans="1:1" ht="12.75" customHeight="1">
      <c r="A929" s="99"/>
    </row>
    <row r="930" spans="1:1" ht="12.75" customHeight="1">
      <c r="A930" s="99"/>
    </row>
    <row r="931" spans="1:1" ht="12.75" customHeight="1">
      <c r="A931" s="99"/>
    </row>
    <row r="932" spans="1:1" ht="12.75" customHeight="1">
      <c r="A932" s="99"/>
    </row>
    <row r="933" spans="1:1" ht="12.75" customHeight="1">
      <c r="A933" s="99"/>
    </row>
    <row r="934" spans="1:1" ht="12.75" customHeight="1">
      <c r="A934" s="99"/>
    </row>
    <row r="935" spans="1:1" ht="12.75" customHeight="1">
      <c r="A935" s="99"/>
    </row>
    <row r="936" spans="1:1" ht="12.75" customHeight="1">
      <c r="A936" s="99"/>
    </row>
    <row r="937" spans="1:1" ht="12.75" customHeight="1">
      <c r="A937" s="99"/>
    </row>
    <row r="938" spans="1:1" ht="12.75" customHeight="1">
      <c r="A938" s="99"/>
    </row>
    <row r="939" spans="1:1" ht="12.75" customHeight="1">
      <c r="A939" s="99"/>
    </row>
    <row r="940" spans="1:1" ht="12.75" customHeight="1">
      <c r="A940" s="99"/>
    </row>
    <row r="941" spans="1:1" ht="12.75" customHeight="1">
      <c r="A941" s="99"/>
    </row>
    <row r="942" spans="1:1" ht="12.75" customHeight="1">
      <c r="A942" s="99"/>
    </row>
    <row r="943" spans="1:1" ht="12.75" customHeight="1">
      <c r="A943" s="99"/>
    </row>
    <row r="944" spans="1:1" ht="12.75" customHeight="1">
      <c r="A944" s="99"/>
    </row>
    <row r="945" spans="1:1" ht="12.75" customHeight="1">
      <c r="A945" s="99"/>
    </row>
    <row r="946" spans="1:1" ht="12.75" customHeight="1">
      <c r="A946" s="99"/>
    </row>
    <row r="947" spans="1:1" ht="12.75" customHeight="1">
      <c r="A947" s="99"/>
    </row>
    <row r="948" spans="1:1" ht="12.75" customHeight="1">
      <c r="A948" s="99"/>
    </row>
    <row r="949" spans="1:1" ht="12.75" customHeight="1">
      <c r="A949" s="99"/>
    </row>
    <row r="950" spans="1:1" ht="12.75" customHeight="1">
      <c r="A950" s="99"/>
    </row>
    <row r="951" spans="1:1" ht="12.75" customHeight="1">
      <c r="A951" s="99"/>
    </row>
    <row r="952" spans="1:1" ht="12.75" customHeight="1">
      <c r="A952" s="99"/>
    </row>
    <row r="953" spans="1:1" ht="12.75" customHeight="1">
      <c r="A953" s="99"/>
    </row>
    <row r="954" spans="1:1" ht="12.75" customHeight="1">
      <c r="A954" s="99"/>
    </row>
    <row r="955" spans="1:1" ht="12.75" customHeight="1">
      <c r="A955" s="99"/>
    </row>
    <row r="956" spans="1:1" ht="12.75" customHeight="1">
      <c r="A956" s="99"/>
    </row>
    <row r="957" spans="1:1" ht="12.75" customHeight="1">
      <c r="A957" s="99"/>
    </row>
    <row r="958" spans="1:1" ht="12.75" customHeight="1">
      <c r="A958" s="99"/>
    </row>
    <row r="959" spans="1:1" ht="12.75" customHeight="1">
      <c r="A959" s="99"/>
    </row>
    <row r="960" spans="1:1" ht="12.75" customHeight="1">
      <c r="A960" s="99"/>
    </row>
    <row r="961" spans="1:1" ht="12.75" customHeight="1">
      <c r="A961" s="99"/>
    </row>
    <row r="962" spans="1:1" ht="12.75" customHeight="1">
      <c r="A962" s="99"/>
    </row>
    <row r="963" spans="1:1" ht="12.75" customHeight="1">
      <c r="A963" s="99"/>
    </row>
    <row r="964" spans="1:1" ht="12.75" customHeight="1">
      <c r="A964" s="99"/>
    </row>
    <row r="965" spans="1:1" ht="12.75" customHeight="1">
      <c r="A965" s="99"/>
    </row>
    <row r="966" spans="1:1" ht="12.75" customHeight="1">
      <c r="A966" s="99"/>
    </row>
    <row r="967" spans="1:1" ht="12.75" customHeight="1">
      <c r="A967" s="99"/>
    </row>
    <row r="968" spans="1:1" ht="12.75" customHeight="1">
      <c r="A968" s="99"/>
    </row>
    <row r="969" spans="1:1" ht="12.75" customHeight="1">
      <c r="A969" s="99"/>
    </row>
    <row r="970" spans="1:1" ht="12.75" customHeight="1">
      <c r="A970" s="99"/>
    </row>
    <row r="971" spans="1:1" ht="12.75" customHeight="1">
      <c r="A971" s="99"/>
    </row>
    <row r="972" spans="1:1" ht="12.75" customHeight="1">
      <c r="A972" s="99"/>
    </row>
    <row r="973" spans="1:1" ht="12.75" customHeight="1">
      <c r="A973" s="99"/>
    </row>
    <row r="974" spans="1:1" ht="12.75" customHeight="1">
      <c r="A974" s="99"/>
    </row>
    <row r="975" spans="1:1" ht="12.75" customHeight="1">
      <c r="A975" s="99"/>
    </row>
    <row r="976" spans="1:1" ht="12.75" customHeight="1">
      <c r="A976" s="99"/>
    </row>
    <row r="977" spans="1:1" ht="12.75" customHeight="1">
      <c r="A977" s="99"/>
    </row>
    <row r="978" spans="1:1" ht="12.75" customHeight="1">
      <c r="A978" s="99"/>
    </row>
    <row r="979" spans="1:1" ht="12.75" customHeight="1">
      <c r="A979" s="99"/>
    </row>
    <row r="980" spans="1:1" ht="12.75" customHeight="1">
      <c r="A980" s="99"/>
    </row>
    <row r="981" spans="1:1" ht="12.75" customHeight="1">
      <c r="A981" s="99"/>
    </row>
    <row r="982" spans="1:1" ht="12.75" customHeight="1">
      <c r="A982" s="99"/>
    </row>
    <row r="983" spans="1:1" ht="12.75" customHeight="1">
      <c r="A983" s="99"/>
    </row>
    <row r="984" spans="1:1" ht="12.75" customHeight="1">
      <c r="A984" s="99"/>
    </row>
    <row r="985" spans="1:1" ht="12.75" customHeight="1">
      <c r="A985" s="99"/>
    </row>
    <row r="986" spans="1:1" ht="12.75" customHeight="1">
      <c r="A986" s="99"/>
    </row>
    <row r="987" spans="1:1" ht="12.75" customHeight="1">
      <c r="A987" s="99"/>
    </row>
    <row r="988" spans="1:1" ht="12.75" customHeight="1">
      <c r="A988" s="99"/>
    </row>
    <row r="989" spans="1:1" ht="12.75" customHeight="1">
      <c r="A989" s="99"/>
    </row>
    <row r="990" spans="1:1" ht="12.75" customHeight="1">
      <c r="A990" s="99"/>
    </row>
    <row r="991" spans="1:1" ht="12.75" customHeight="1">
      <c r="A991" s="99"/>
    </row>
    <row r="992" spans="1:1" ht="12.75" customHeight="1">
      <c r="A992" s="99"/>
    </row>
    <row r="993" spans="1:1" ht="12.75" customHeight="1">
      <c r="A993" s="99"/>
    </row>
    <row r="994" spans="1:1" ht="12.75" customHeight="1">
      <c r="A994" s="99"/>
    </row>
    <row r="995" spans="1:1" ht="12.75" customHeight="1">
      <c r="A995" s="99"/>
    </row>
    <row r="996" spans="1:1" ht="12.75" customHeight="1">
      <c r="A996" s="99"/>
    </row>
    <row r="997" spans="1:1" ht="12.75" customHeight="1">
      <c r="A997" s="99"/>
    </row>
    <row r="998" spans="1:1" ht="12.75" customHeight="1">
      <c r="A998" s="99"/>
    </row>
    <row r="999" spans="1:1" ht="12.75" customHeight="1">
      <c r="A999" s="99"/>
    </row>
    <row r="1000" spans="1:1" ht="12.75" customHeight="1">
      <c r="A1000" s="99"/>
    </row>
  </sheetData>
  <mergeCells count="7">
    <mergeCell ref="P1:Q1"/>
    <mergeCell ref="V2:X2"/>
    <mergeCell ref="A1:E1"/>
    <mergeCell ref="F1:G1"/>
    <mergeCell ref="H1:I1"/>
    <mergeCell ref="J1:M1"/>
    <mergeCell ref="N1:O1"/>
  </mergeCells>
  <conditionalFormatting sqref="A4:A31">
    <cfRule type="expression" dxfId="22" priority="3">
      <formula>AND(A4&gt;0, A4&lt;=DAY(LETZTETAG(IMMONAT(A4,0))))</formula>
    </cfRule>
  </conditionalFormatting>
  <pageMargins left="0.19685039370078741" right="0.19685039370078741" top="0.19685039370078741" bottom="0.19685039370078741" header="0" footer="0"/>
  <pageSetup paperSize="9" orientation="landscape"/>
  <ignoredErrors>
    <ignoredError sqref="U3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517B3AE-E357-407A-BD84-A91FFF69D67A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DB0419E3-D234-4B07-B2B0-E4F42B0ED070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Feb!P1+28</f>
        <v>46082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Feb!X1+1</f>
        <v>3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Feb!H2+(Feb!Q32/Summen!B9)</f>
        <v>0</v>
      </c>
      <c r="I2" s="11" t="s">
        <v>7</v>
      </c>
      <c r="J2" s="13">
        <f>E2-H2</f>
        <v>10.8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Feb!U32</f>
        <v>0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5"/>
      <c r="AG2" s="9"/>
      <c r="AH2" s="10"/>
      <c r="AI2" s="10"/>
      <c r="AJ2" s="106"/>
      <c r="AK2" s="7"/>
      <c r="AL2" s="7"/>
    </row>
    <row r="3" spans="1:38" ht="69.75" customHeight="1">
      <c r="A3" s="22" t="s">
        <v>10</v>
      </c>
      <c r="B3" s="25"/>
      <c r="C3" s="124"/>
      <c r="D3" s="125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26" t="s">
        <v>26</v>
      </c>
      <c r="AH3" s="36" t="s">
        <v>27</v>
      </c>
      <c r="AI3" s="36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46082</v>
      </c>
      <c r="B4" s="45" t="str">
        <f>IFERROR(VLOOKUP(A4, Feiertage!$B:$C, 2, 0), IF(OR(WEEKDAY(A4,2)=6, WEEKDAY(A4,2)=7), Feiertage!$C$23, ""))</f>
        <v>* * * * * * * * Wochenende * * * * * * * * * * * * * * * * * * * * * * * * * * * * * * * * * * * * * * * * * * * * * * * *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61">
        <f>IF(OR(WEEKDAY(A4,2)=6,WEEKDAY(A4,2)=7),0,IFERROR(IF(VLOOKUP(A4,Feiertage!$B:$D,3,0)="ja",0,Summen!$B$9),Summen!$B$9))</f>
        <v>0</v>
      </c>
      <c r="S4" s="47">
        <f t="shared" ref="S4:S34" si="0">SUM(C4:Q4)</f>
        <v>0</v>
      </c>
      <c r="T4" s="47">
        <f t="shared" ref="T4:T34" si="1">S4-R4</f>
        <v>0</v>
      </c>
      <c r="U4" s="48">
        <f>U2+T4</f>
        <v>0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</v>
      </c>
      <c r="AH4" s="47">
        <f t="shared" ref="AH4:AH34" si="3">HOUR(AG4)</f>
        <v>0</v>
      </c>
      <c r="AI4" s="47">
        <f t="shared" ref="AI4:AI34" si="4">MINUTE(AG4)/60</f>
        <v>0</v>
      </c>
      <c r="AJ4" s="48">
        <f t="shared" ref="AJ4:AJ34" si="5">AH4+AI4</f>
        <v>0</v>
      </c>
      <c r="AL4" s="54">
        <f t="shared" ref="AL4:AL35" si="6">SUM(C4:Q4)-AJ4</f>
        <v>0</v>
      </c>
    </row>
    <row r="5" spans="1:38" ht="13.5" customHeight="1">
      <c r="A5" s="56">
        <f t="shared" ref="A5:A34" si="7">A4+1</f>
        <v>46083</v>
      </c>
      <c r="B5" s="59" t="str">
        <f>IFERROR(VLOOKUP(A5, Feiertage!$B:$C, 2, 0), IF(OR(WEEKDAY(A5,2)=6, WEEKDAY(A5,2)=7), Feiertage!$C$23, ""))</f>
        <v/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v>0</v>
      </c>
      <c r="S5" s="62">
        <f t="shared" si="0"/>
        <v>0</v>
      </c>
      <c r="T5" s="62">
        <f t="shared" si="1"/>
        <v>0</v>
      </c>
      <c r="U5" s="63">
        <f t="shared" ref="U5:U34" si="8">U4+T5</f>
        <v>0</v>
      </c>
      <c r="V5" s="59"/>
      <c r="W5" s="64"/>
      <c r="X5" s="65">
        <f>V5+W5*Summen!$B$44</f>
        <v>0</v>
      </c>
      <c r="Y5" s="66"/>
      <c r="Z5" s="67"/>
      <c r="AA5" s="67"/>
      <c r="AB5" s="67"/>
      <c r="AC5" s="67"/>
      <c r="AD5" s="67"/>
      <c r="AE5" s="67"/>
      <c r="AF5" s="68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46084</v>
      </c>
      <c r="B6" s="45" t="str">
        <f>IFERROR(VLOOKUP(A6, Feiertage!$B:$C, 2, 0), IF(OR(WEEKDAY(A6,2)=6, WEEKDAY(A6,2)=7), Feiertage!$C$23, ""))</f>
        <v/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v>0</v>
      </c>
      <c r="S6" s="62">
        <f t="shared" si="0"/>
        <v>0</v>
      </c>
      <c r="T6" s="62">
        <f t="shared" si="1"/>
        <v>0</v>
      </c>
      <c r="U6" s="63">
        <f t="shared" si="8"/>
        <v>0</v>
      </c>
      <c r="V6" s="45"/>
      <c r="W6" s="49"/>
      <c r="X6" s="65">
        <f>V6+W6*Summen!$B$44</f>
        <v>0</v>
      </c>
      <c r="Y6" s="72"/>
      <c r="Z6" s="73"/>
      <c r="AA6" s="73"/>
      <c r="AB6" s="73"/>
      <c r="AC6" s="73"/>
      <c r="AD6" s="73"/>
      <c r="AE6" s="73"/>
      <c r="AF6" s="74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46085</v>
      </c>
      <c r="B7" s="59" t="str">
        <f>IFERROR(VLOOKUP(A7, Feiertage!$B:$C, 2, 0), IF(OR(WEEKDAY(A7,2)=6, WEEKDAY(A7,2)=7), Feiertage!$C$23, ""))</f>
        <v/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v>0</v>
      </c>
      <c r="S7" s="62">
        <f t="shared" si="0"/>
        <v>0</v>
      </c>
      <c r="T7" s="62">
        <f t="shared" si="1"/>
        <v>0</v>
      </c>
      <c r="U7" s="63">
        <f t="shared" si="8"/>
        <v>0</v>
      </c>
      <c r="V7" s="59"/>
      <c r="W7" s="64"/>
      <c r="X7" s="65">
        <f>V7+W7*Summen!$B$44</f>
        <v>0</v>
      </c>
      <c r="Y7" s="66"/>
      <c r="Z7" s="67"/>
      <c r="AA7" s="67"/>
      <c r="AB7" s="67"/>
      <c r="AC7" s="67"/>
      <c r="AD7" s="67"/>
      <c r="AE7" s="67"/>
      <c r="AF7" s="68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46086</v>
      </c>
      <c r="B8" s="45" t="str">
        <f>IFERROR(VLOOKUP(A8, Feiertage!$B:$C, 2, 0), IF(OR(WEEKDAY(A8,2)=6, WEEKDAY(A8,2)=7), Feiertage!$C$23, ""))</f>
        <v/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v>0</v>
      </c>
      <c r="S8" s="62">
        <f t="shared" si="0"/>
        <v>0</v>
      </c>
      <c r="T8" s="62">
        <f t="shared" si="1"/>
        <v>0</v>
      </c>
      <c r="U8" s="63">
        <f t="shared" si="8"/>
        <v>0</v>
      </c>
      <c r="V8" s="45"/>
      <c r="W8" s="49"/>
      <c r="X8" s="65">
        <f>V8+W8*Summen!$B$44</f>
        <v>0</v>
      </c>
      <c r="Y8" s="72"/>
      <c r="Z8" s="73"/>
      <c r="AA8" s="73"/>
      <c r="AB8" s="73"/>
      <c r="AC8" s="73"/>
      <c r="AD8" s="73"/>
      <c r="AE8" s="73"/>
      <c r="AF8" s="74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46087</v>
      </c>
      <c r="B9" s="59" t="str">
        <f>IFERROR(VLOOKUP(A9, Feiertage!$B:$C, 2, 0), IF(OR(WEEKDAY(A9,2)=6, WEEKDAY(A9,2)=7), Feiertage!$C$23, ""))</f>
        <v/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v>0</v>
      </c>
      <c r="S9" s="62">
        <f t="shared" si="0"/>
        <v>0</v>
      </c>
      <c r="T9" s="62">
        <f t="shared" si="1"/>
        <v>0</v>
      </c>
      <c r="U9" s="63">
        <f t="shared" si="8"/>
        <v>0</v>
      </c>
      <c r="V9" s="59"/>
      <c r="W9" s="64"/>
      <c r="X9" s="65">
        <f>V9+W9*Summen!$B$44</f>
        <v>0</v>
      </c>
      <c r="Y9" s="66"/>
      <c r="Z9" s="67"/>
      <c r="AA9" s="67"/>
      <c r="AB9" s="67"/>
      <c r="AC9" s="67"/>
      <c r="AD9" s="67"/>
      <c r="AE9" s="67"/>
      <c r="AF9" s="68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46088</v>
      </c>
      <c r="B10" s="45" t="str">
        <f>IFERROR(VLOOKUP(A10, Feiertage!$B:$C, 2, 0), IF(OR(WEEKDAY(A10,2)=6, WEEKDAY(A10,2)=7), Feiertage!$C$23, ""))</f>
        <v>* * * * * * * * Wochenende * * * * * * * * * * * * * * * * * * * * * * * * * * * * * * * * * * * * * * * * * * * * * * * *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0</v>
      </c>
      <c r="S10" s="62">
        <f t="shared" si="0"/>
        <v>0</v>
      </c>
      <c r="T10" s="62">
        <f t="shared" si="1"/>
        <v>0</v>
      </c>
      <c r="U10" s="63">
        <f t="shared" si="8"/>
        <v>0</v>
      </c>
      <c r="V10" s="45"/>
      <c r="W10" s="49"/>
      <c r="X10" s="65">
        <f>V10+W10*Summen!$B$44</f>
        <v>0</v>
      </c>
      <c r="Y10" s="72"/>
      <c r="Z10" s="73"/>
      <c r="AA10" s="73"/>
      <c r="AB10" s="73"/>
      <c r="AC10" s="73"/>
      <c r="AD10" s="73"/>
      <c r="AE10" s="73"/>
      <c r="AF10" s="74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46089</v>
      </c>
      <c r="B11" s="59" t="str">
        <f>IFERROR(VLOOKUP(A11, Feiertage!$B:$C, 2, 0), IF(OR(WEEKDAY(A11,2)=6, WEEKDAY(A11,2)=7), Feiertage!$C$23, ""))</f>
        <v>* * * * * * * * Wochenende * * * * * * * * * * * * * * * * * * * * * * * * * * * * * * * * * * * * * * * * * * * * * * * *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0</v>
      </c>
      <c r="S11" s="62">
        <f t="shared" si="0"/>
        <v>0</v>
      </c>
      <c r="T11" s="62">
        <f t="shared" si="1"/>
        <v>0</v>
      </c>
      <c r="U11" s="63">
        <f t="shared" si="8"/>
        <v>0</v>
      </c>
      <c r="V11" s="59"/>
      <c r="W11" s="64"/>
      <c r="X11" s="65">
        <f>V11+W11*Summen!$B$44</f>
        <v>0</v>
      </c>
      <c r="Y11" s="66"/>
      <c r="Z11" s="67"/>
      <c r="AA11" s="67"/>
      <c r="AB11" s="67"/>
      <c r="AC11" s="67"/>
      <c r="AD11" s="67"/>
      <c r="AE11" s="67"/>
      <c r="AF11" s="68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46090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v>0</v>
      </c>
      <c r="S12" s="62">
        <f t="shared" si="0"/>
        <v>0</v>
      </c>
      <c r="T12" s="62">
        <f t="shared" si="1"/>
        <v>0</v>
      </c>
      <c r="U12" s="63">
        <f t="shared" si="8"/>
        <v>0</v>
      </c>
      <c r="V12" s="45"/>
      <c r="W12" s="49"/>
      <c r="X12" s="65">
        <f>V12+W12*Summen!$B$44</f>
        <v>0</v>
      </c>
      <c r="Y12" s="72"/>
      <c r="Z12" s="73"/>
      <c r="AA12" s="73"/>
      <c r="AB12" s="73"/>
      <c r="AC12" s="73"/>
      <c r="AD12" s="73"/>
      <c r="AE12" s="73"/>
      <c r="AF12" s="74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46091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v>0</v>
      </c>
      <c r="S13" s="62">
        <f t="shared" si="0"/>
        <v>0</v>
      </c>
      <c r="T13" s="62">
        <f t="shared" si="1"/>
        <v>0</v>
      </c>
      <c r="U13" s="63">
        <f t="shared" si="8"/>
        <v>0</v>
      </c>
      <c r="V13" s="59"/>
      <c r="W13" s="64"/>
      <c r="X13" s="65">
        <f>V13+W13*Summen!$B$44</f>
        <v>0</v>
      </c>
      <c r="Y13" s="66"/>
      <c r="Z13" s="67"/>
      <c r="AA13" s="67"/>
      <c r="AB13" s="67"/>
      <c r="AC13" s="67"/>
      <c r="AD13" s="67"/>
      <c r="AE13" s="67"/>
      <c r="AF13" s="68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46092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v>0</v>
      </c>
      <c r="S14" s="62">
        <f t="shared" si="0"/>
        <v>0</v>
      </c>
      <c r="T14" s="62">
        <f t="shared" si="1"/>
        <v>0</v>
      </c>
      <c r="U14" s="63">
        <f t="shared" si="8"/>
        <v>0</v>
      </c>
      <c r="V14" s="45"/>
      <c r="W14" s="49"/>
      <c r="X14" s="65">
        <f>V14+W14*Summen!$B$44</f>
        <v>0</v>
      </c>
      <c r="Y14" s="72"/>
      <c r="Z14" s="73"/>
      <c r="AA14" s="73"/>
      <c r="AB14" s="73"/>
      <c r="AC14" s="73"/>
      <c r="AD14" s="73"/>
      <c r="AE14" s="73"/>
      <c r="AF14" s="74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46093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v>0</v>
      </c>
      <c r="S15" s="62">
        <f t="shared" si="0"/>
        <v>0</v>
      </c>
      <c r="T15" s="62">
        <f t="shared" si="1"/>
        <v>0</v>
      </c>
      <c r="U15" s="63">
        <f t="shared" si="8"/>
        <v>0</v>
      </c>
      <c r="V15" s="59"/>
      <c r="W15" s="64"/>
      <c r="X15" s="65">
        <f>V15+W15*Summen!$B$44</f>
        <v>0</v>
      </c>
      <c r="Y15" s="66"/>
      <c r="Z15" s="67"/>
      <c r="AA15" s="67"/>
      <c r="AB15" s="67"/>
      <c r="AC15" s="67"/>
      <c r="AD15" s="67"/>
      <c r="AE15" s="67"/>
      <c r="AF15" s="68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46094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v>0</v>
      </c>
      <c r="S16" s="62">
        <f t="shared" si="0"/>
        <v>0</v>
      </c>
      <c r="T16" s="62">
        <f t="shared" si="1"/>
        <v>0</v>
      </c>
      <c r="U16" s="63">
        <f t="shared" si="8"/>
        <v>0</v>
      </c>
      <c r="V16" s="45"/>
      <c r="W16" s="49"/>
      <c r="X16" s="65">
        <f>V16+W16*Summen!$B$44</f>
        <v>0</v>
      </c>
      <c r="Y16" s="72"/>
      <c r="Z16" s="73"/>
      <c r="AA16" s="73"/>
      <c r="AB16" s="73"/>
      <c r="AC16" s="73"/>
      <c r="AD16" s="73"/>
      <c r="AE16" s="73"/>
      <c r="AF16" s="74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46095</v>
      </c>
      <c r="B17" s="59" t="str">
        <f>IFERROR(VLOOKUP(A17, Feiertage!$B:$C, 2, 0), IF(OR(WEEKDAY(A17,2)=6, WEEKDAY(A17,2)=7), Feiertage!$C$23, ""))</f>
        <v>* * * * * * * * Wochenende * * * * * * * * * * * * * * * * * * * * * * * * * * * * * * * * * * * * * * * * * * * * * * * *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0</v>
      </c>
      <c r="S17" s="62">
        <f t="shared" si="0"/>
        <v>0</v>
      </c>
      <c r="T17" s="62">
        <f t="shared" si="1"/>
        <v>0</v>
      </c>
      <c r="U17" s="63">
        <f t="shared" si="8"/>
        <v>0</v>
      </c>
      <c r="V17" s="59"/>
      <c r="W17" s="64"/>
      <c r="X17" s="65">
        <f>V17+W17*Summen!$B$44</f>
        <v>0</v>
      </c>
      <c r="Y17" s="66"/>
      <c r="Z17" s="67"/>
      <c r="AA17" s="67"/>
      <c r="AB17" s="67"/>
      <c r="AC17" s="67"/>
      <c r="AD17" s="67"/>
      <c r="AE17" s="67"/>
      <c r="AF17" s="68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46096</v>
      </c>
      <c r="B18" s="45" t="str">
        <f>IFERROR(VLOOKUP(A18, Feiertage!$B:$C, 2, 0), IF(OR(WEEKDAY(A18,2)=6, WEEKDAY(A18,2)=7), Feiertage!$C$23, ""))</f>
        <v>* * * * * * * * Wochenende * * * * * * * * * * * * * * * * * * * * * * * * * * * * * * * * * * * * * * * * * * * * * * * *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0</v>
      </c>
      <c r="S18" s="62">
        <f t="shared" si="0"/>
        <v>0</v>
      </c>
      <c r="T18" s="62">
        <f t="shared" si="1"/>
        <v>0</v>
      </c>
      <c r="U18" s="63">
        <f t="shared" si="8"/>
        <v>0</v>
      </c>
      <c r="V18" s="45"/>
      <c r="W18" s="49"/>
      <c r="X18" s="65">
        <f>V18+W18*Summen!$B$44</f>
        <v>0</v>
      </c>
      <c r="Y18" s="72"/>
      <c r="Z18" s="73"/>
      <c r="AA18" s="73"/>
      <c r="AB18" s="73"/>
      <c r="AC18" s="73"/>
      <c r="AD18" s="73"/>
      <c r="AE18" s="73"/>
      <c r="AF18" s="74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46097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v>0</v>
      </c>
      <c r="S19" s="62">
        <f t="shared" si="0"/>
        <v>0</v>
      </c>
      <c r="T19" s="62">
        <f t="shared" si="1"/>
        <v>0</v>
      </c>
      <c r="U19" s="63">
        <f t="shared" si="8"/>
        <v>0</v>
      </c>
      <c r="V19" s="59"/>
      <c r="W19" s="64"/>
      <c r="X19" s="65">
        <f>V19+W19*Summen!$B$44</f>
        <v>0</v>
      </c>
      <c r="Y19" s="66"/>
      <c r="Z19" s="67"/>
      <c r="AA19" s="67"/>
      <c r="AB19" s="67"/>
      <c r="AC19" s="67"/>
      <c r="AD19" s="67"/>
      <c r="AE19" s="67"/>
      <c r="AF19" s="68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46098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v>0</v>
      </c>
      <c r="S20" s="62">
        <f t="shared" si="0"/>
        <v>0</v>
      </c>
      <c r="T20" s="62">
        <f t="shared" si="1"/>
        <v>0</v>
      </c>
      <c r="U20" s="63">
        <f t="shared" si="8"/>
        <v>0</v>
      </c>
      <c r="V20" s="45"/>
      <c r="W20" s="49"/>
      <c r="X20" s="65">
        <f>V20+W20*Summen!$B$44</f>
        <v>0</v>
      </c>
      <c r="Y20" s="72"/>
      <c r="Z20" s="73"/>
      <c r="AA20" s="73"/>
      <c r="AB20" s="73"/>
      <c r="AC20" s="73"/>
      <c r="AD20" s="73"/>
      <c r="AE20" s="73"/>
      <c r="AF20" s="74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46099</v>
      </c>
      <c r="B21" s="59" t="str">
        <f>IFERROR(VLOOKUP(A21, Feiertage!$B:$C, 2, 0), IF(OR(WEEKDAY(A21,2)=6, WEEKDAY(A21,2)=7), Feiertage!$C$23, ""))</f>
        <v/>
      </c>
      <c r="C21" s="127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v>0</v>
      </c>
      <c r="S21" s="62">
        <f t="shared" si="0"/>
        <v>0</v>
      </c>
      <c r="T21" s="62">
        <f t="shared" si="1"/>
        <v>0</v>
      </c>
      <c r="U21" s="63">
        <f t="shared" si="8"/>
        <v>0</v>
      </c>
      <c r="V21" s="59"/>
      <c r="W21" s="64"/>
      <c r="X21" s="65">
        <f>V21+W21*Summen!$B$44</f>
        <v>0</v>
      </c>
      <c r="Y21" s="66"/>
      <c r="Z21" s="67"/>
      <c r="AA21" s="67"/>
      <c r="AB21" s="67"/>
      <c r="AC21" s="67"/>
      <c r="AD21" s="67"/>
      <c r="AE21" s="67"/>
      <c r="AF21" s="68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46100</v>
      </c>
      <c r="B22" s="45" t="str">
        <f>IFERROR(VLOOKUP(A22, Feiertage!$B:$C, 2, 0), IF(OR(WEEKDAY(A22,2)=6, WEEKDAY(A22,2)=7), Feiertage!$C$23, ""))</f>
        <v>* * * * * * * * Josefstag * * * * * * * * * * * * * * * * * * * * * * * * * * * * * * * * * * * * * * * * * * * * * * * * * *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0</v>
      </c>
      <c r="S22" s="62">
        <f t="shared" si="0"/>
        <v>0</v>
      </c>
      <c r="T22" s="62">
        <f t="shared" si="1"/>
        <v>0</v>
      </c>
      <c r="U22" s="63">
        <f t="shared" si="8"/>
        <v>0</v>
      </c>
      <c r="V22" s="45"/>
      <c r="W22" s="49"/>
      <c r="X22" s="65">
        <f>V22+W22*Summen!$B$44</f>
        <v>0</v>
      </c>
      <c r="Y22" s="72"/>
      <c r="Z22" s="73"/>
      <c r="AA22" s="73"/>
      <c r="AB22" s="73"/>
      <c r="AC22" s="73"/>
      <c r="AD22" s="73"/>
      <c r="AE22" s="73"/>
      <c r="AF22" s="74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46101</v>
      </c>
      <c r="B23" s="59" t="str">
        <f>IFERROR(VLOOKUP(A23, Feiertage!$B:$C, 2, 0), IF(OR(WEEKDAY(A23,2)=6, WEEKDAY(A23,2)=7), Feiertage!$C$23, ""))</f>
        <v/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/>
      <c r="R23" s="61">
        <v>0</v>
      </c>
      <c r="S23" s="62">
        <f t="shared" si="0"/>
        <v>0</v>
      </c>
      <c r="T23" s="62">
        <f t="shared" si="1"/>
        <v>0</v>
      </c>
      <c r="U23" s="63">
        <f t="shared" si="8"/>
        <v>0</v>
      </c>
      <c r="V23" s="59"/>
      <c r="W23" s="64"/>
      <c r="X23" s="65">
        <f>V23+W23*Summen!$B$44</f>
        <v>0</v>
      </c>
      <c r="Y23" s="66"/>
      <c r="Z23" s="67"/>
      <c r="AA23" s="67"/>
      <c r="AB23" s="67"/>
      <c r="AC23" s="67"/>
      <c r="AD23" s="67"/>
      <c r="AE23" s="67"/>
      <c r="AF23" s="68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46102</v>
      </c>
      <c r="B24" s="45" t="str">
        <f>IFERROR(VLOOKUP(A24, Feiertage!$B:$C, 2, 0), IF(OR(WEEKDAY(A24,2)=6, WEEKDAY(A24,2)=7), Feiertage!$C$23, ""))</f>
        <v>* * * * * * * * Wochenende * * * * * * * * * * * * * * * * * * * * * * * * * * * * * * * * * * * * * * * * * * * * * * * *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0</v>
      </c>
      <c r="S24" s="62">
        <f t="shared" si="0"/>
        <v>0</v>
      </c>
      <c r="T24" s="62">
        <f t="shared" si="1"/>
        <v>0</v>
      </c>
      <c r="U24" s="63">
        <f t="shared" si="8"/>
        <v>0</v>
      </c>
      <c r="V24" s="45"/>
      <c r="W24" s="49"/>
      <c r="X24" s="65">
        <f>V24+W24*Summen!$B$44</f>
        <v>0</v>
      </c>
      <c r="Y24" s="72"/>
      <c r="Z24" s="73"/>
      <c r="AA24" s="73"/>
      <c r="AB24" s="73"/>
      <c r="AC24" s="73"/>
      <c r="AD24" s="73"/>
      <c r="AE24" s="73"/>
      <c r="AF24" s="74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46103</v>
      </c>
      <c r="B25" s="59" t="str">
        <f>IFERROR(VLOOKUP(A25, Feiertage!$B:$C, 2, 0), IF(OR(WEEKDAY(A25,2)=6, WEEKDAY(A25,2)=7), Feiertage!$C$23, ""))</f>
        <v>* * * * * * * * Wochenende * * * * * * * * * * * * * * * * * * * * * * * * * * * * * * * * * * * * * * * * * * * * * * * *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0</v>
      </c>
      <c r="S25" s="62">
        <f t="shared" si="0"/>
        <v>0</v>
      </c>
      <c r="T25" s="62">
        <f t="shared" si="1"/>
        <v>0</v>
      </c>
      <c r="U25" s="63">
        <f t="shared" si="8"/>
        <v>0</v>
      </c>
      <c r="V25" s="59"/>
      <c r="W25" s="64"/>
      <c r="X25" s="65">
        <f>V25+W25*Summen!$B$44</f>
        <v>0</v>
      </c>
      <c r="Y25" s="66"/>
      <c r="Z25" s="67"/>
      <c r="AA25" s="67"/>
      <c r="AB25" s="67"/>
      <c r="AC25" s="67"/>
      <c r="AD25" s="67"/>
      <c r="AE25" s="67"/>
      <c r="AF25" s="68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46104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v>0</v>
      </c>
      <c r="S26" s="62">
        <f t="shared" si="0"/>
        <v>0</v>
      </c>
      <c r="T26" s="62">
        <f t="shared" si="1"/>
        <v>0</v>
      </c>
      <c r="U26" s="63">
        <f t="shared" si="8"/>
        <v>0</v>
      </c>
      <c r="V26" s="45"/>
      <c r="W26" s="49"/>
      <c r="X26" s="65">
        <f>V26+W26*Summen!$B$44</f>
        <v>0</v>
      </c>
      <c r="Y26" s="72"/>
      <c r="Z26" s="73"/>
      <c r="AA26" s="73"/>
      <c r="AB26" s="73"/>
      <c r="AC26" s="73"/>
      <c r="AD26" s="73"/>
      <c r="AE26" s="73"/>
      <c r="AF26" s="74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46105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v>0</v>
      </c>
      <c r="S27" s="62">
        <f t="shared" si="0"/>
        <v>0</v>
      </c>
      <c r="T27" s="62">
        <f t="shared" si="1"/>
        <v>0</v>
      </c>
      <c r="U27" s="63">
        <f t="shared" si="8"/>
        <v>0</v>
      </c>
      <c r="V27" s="59"/>
      <c r="W27" s="64"/>
      <c r="X27" s="65">
        <f>V27+W27*Summen!$B$44</f>
        <v>0</v>
      </c>
      <c r="Y27" s="66"/>
      <c r="Z27" s="67"/>
      <c r="AA27" s="67"/>
      <c r="AB27" s="67"/>
      <c r="AC27" s="67"/>
      <c r="AD27" s="67"/>
      <c r="AE27" s="67"/>
      <c r="AF27" s="68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46106</v>
      </c>
      <c r="B28" s="45" t="str">
        <f>IFERROR(VLOOKUP(A28, Feiertage!$B:$C, 2, 0), IF(OR(WEEKDAY(A28,2)=6, WEEKDAY(A28,2)=7), Feiertage!$C$23, ""))</f>
        <v/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v>0</v>
      </c>
      <c r="S28" s="62">
        <f t="shared" si="0"/>
        <v>0</v>
      </c>
      <c r="T28" s="62">
        <f t="shared" si="1"/>
        <v>0</v>
      </c>
      <c r="U28" s="63">
        <f t="shared" si="8"/>
        <v>0</v>
      </c>
      <c r="V28" s="45"/>
      <c r="W28" s="49"/>
      <c r="X28" s="65">
        <f>V28+W28*Summen!$B$44</f>
        <v>0</v>
      </c>
      <c r="Y28" s="72"/>
      <c r="Z28" s="73"/>
      <c r="AA28" s="73"/>
      <c r="AB28" s="73"/>
      <c r="AC28" s="73"/>
      <c r="AD28" s="73"/>
      <c r="AE28" s="73"/>
      <c r="AF28" s="74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46107</v>
      </c>
      <c r="B29" s="59" t="str">
        <f>IFERROR(VLOOKUP(A29, Feiertage!$B:$C, 2, 0), IF(OR(WEEKDAY(A29,2)=6, WEEKDAY(A29,2)=7), Feiertage!$C$23, ""))</f>
        <v/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v>0</v>
      </c>
      <c r="S29" s="62">
        <f t="shared" si="0"/>
        <v>0</v>
      </c>
      <c r="T29" s="62">
        <f t="shared" si="1"/>
        <v>0</v>
      </c>
      <c r="U29" s="63">
        <f t="shared" si="8"/>
        <v>0</v>
      </c>
      <c r="V29" s="59"/>
      <c r="W29" s="64"/>
      <c r="X29" s="65">
        <f>V29+W29*Summen!$B$44</f>
        <v>0</v>
      </c>
      <c r="Y29" s="66"/>
      <c r="Z29" s="67"/>
      <c r="AA29" s="67"/>
      <c r="AB29" s="67"/>
      <c r="AC29" s="67"/>
      <c r="AD29" s="67"/>
      <c r="AE29" s="67"/>
      <c r="AF29" s="68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46108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v>0</v>
      </c>
      <c r="S30" s="62">
        <f t="shared" si="0"/>
        <v>0</v>
      </c>
      <c r="T30" s="62">
        <f t="shared" si="1"/>
        <v>0</v>
      </c>
      <c r="U30" s="63">
        <f t="shared" si="8"/>
        <v>0</v>
      </c>
      <c r="V30" s="45"/>
      <c r="W30" s="49"/>
      <c r="X30" s="65">
        <f>V30+W30*Summen!$B$44</f>
        <v>0</v>
      </c>
      <c r="Y30" s="72"/>
      <c r="Z30" s="73"/>
      <c r="AA30" s="73"/>
      <c r="AB30" s="73"/>
      <c r="AC30" s="73"/>
      <c r="AD30" s="73"/>
      <c r="AE30" s="73"/>
      <c r="AF30" s="74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46109</v>
      </c>
      <c r="B31" s="59" t="str">
        <f>IFERROR(VLOOKUP(A31, Feiertage!$B:$C, 2, 0), IF(OR(WEEKDAY(A31,2)=6, WEEKDAY(A31,2)=7), Feiertage!$C$23, ""))</f>
        <v>* * * * * * * * Wochenende * * * * * * * * * * * * * * * * * * * * * * * * * * * * * * * * * * * * * * * * * * * * * * * *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0</v>
      </c>
      <c r="S31" s="62">
        <f t="shared" si="0"/>
        <v>0</v>
      </c>
      <c r="T31" s="62">
        <f t="shared" si="1"/>
        <v>0</v>
      </c>
      <c r="U31" s="63">
        <f t="shared" si="8"/>
        <v>0</v>
      </c>
      <c r="V31" s="59"/>
      <c r="W31" s="64"/>
      <c r="X31" s="65">
        <f>V31+W31*Summen!$B$44</f>
        <v>0</v>
      </c>
      <c r="Y31" s="66"/>
      <c r="Z31" s="67"/>
      <c r="AA31" s="67"/>
      <c r="AB31" s="67"/>
      <c r="AC31" s="67"/>
      <c r="AD31" s="67"/>
      <c r="AE31" s="67"/>
      <c r="AF31" s="68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46110</v>
      </c>
      <c r="B32" s="45" t="str">
        <f>IFERROR(VLOOKUP(A32, Feiertage!$B:$C, 2, 0), IF(OR(WEEKDAY(A32,2)=6, WEEKDAY(A32,2)=7), Feiertage!$C$23, ""))</f>
        <v>* * * * * * * * Wochenende * * * * * * * * * * * * * * * * * * * * * * * * * * * * * * * * * * * * * * * * * * * * * * * *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0</v>
      </c>
      <c r="S32" s="62">
        <f t="shared" si="0"/>
        <v>0</v>
      </c>
      <c r="T32" s="62">
        <f t="shared" si="1"/>
        <v>0</v>
      </c>
      <c r="U32" s="63">
        <f t="shared" si="8"/>
        <v>0</v>
      </c>
      <c r="V32" s="45"/>
      <c r="W32" s="49"/>
      <c r="X32" s="65">
        <f>V32+W32*Summen!$B$44</f>
        <v>0</v>
      </c>
      <c r="Y32" s="72"/>
      <c r="Z32" s="73"/>
      <c r="AA32" s="73"/>
      <c r="AB32" s="73"/>
      <c r="AC32" s="73"/>
      <c r="AD32" s="73"/>
      <c r="AE32" s="73"/>
      <c r="AF32" s="74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56">
        <f t="shared" si="7"/>
        <v>46111</v>
      </c>
      <c r="B33" s="59" t="str">
        <f>IFERROR(VLOOKUP(A33, Feiertage!$B:$C, 2, 0), IF(OR(WEEKDAY(A33,2)=6, WEEKDAY(A33,2)=7), Feiertage!$C$23, ""))</f>
        <v/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9"/>
      <c r="R33" s="61">
        <v>0</v>
      </c>
      <c r="S33" s="62">
        <f t="shared" si="0"/>
        <v>0</v>
      </c>
      <c r="T33" s="62">
        <f t="shared" si="1"/>
        <v>0</v>
      </c>
      <c r="U33" s="63">
        <f t="shared" si="8"/>
        <v>0</v>
      </c>
      <c r="V33" s="59"/>
      <c r="W33" s="64"/>
      <c r="X33" s="65">
        <f>V33+W33*Summen!$B$44</f>
        <v>0</v>
      </c>
      <c r="Y33" s="66"/>
      <c r="Z33" s="67"/>
      <c r="AA33" s="67"/>
      <c r="AB33" s="67"/>
      <c r="AC33" s="67"/>
      <c r="AD33" s="67"/>
      <c r="AE33" s="67"/>
      <c r="AF33" s="68"/>
      <c r="AG33" s="69">
        <f t="shared" si="2"/>
        <v>0</v>
      </c>
      <c r="AH33" s="62">
        <f t="shared" si="3"/>
        <v>0</v>
      </c>
      <c r="AI33" s="62">
        <f t="shared" si="4"/>
        <v>0</v>
      </c>
      <c r="AJ33" s="63">
        <f t="shared" si="5"/>
        <v>0</v>
      </c>
      <c r="AL33" s="54">
        <f t="shared" si="6"/>
        <v>0</v>
      </c>
    </row>
    <row r="34" spans="1:38" ht="13.5" customHeight="1">
      <c r="A34" s="80">
        <f t="shared" si="7"/>
        <v>46112</v>
      </c>
      <c r="B34" s="82" t="str">
        <f>IFERROR(VLOOKUP(A34, Feiertage!$B:$C, 2, 0), IF(OR(WEEKDAY(A34,2)=6, WEEKDAY(A34,2)=7), Feiertage!$C$23, ""))</f>
        <v/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130"/>
      <c r="R34" s="61">
        <v>0</v>
      </c>
      <c r="S34" s="84">
        <f t="shared" si="0"/>
        <v>0</v>
      </c>
      <c r="T34" s="84">
        <f t="shared" si="1"/>
        <v>0</v>
      </c>
      <c r="U34" s="85">
        <f t="shared" si="8"/>
        <v>0</v>
      </c>
      <c r="V34" s="82"/>
      <c r="W34" s="131"/>
      <c r="X34" s="65">
        <f>V34+W34*Summen!$B$44</f>
        <v>0</v>
      </c>
      <c r="Y34" s="132"/>
      <c r="Z34" s="133"/>
      <c r="AA34" s="133"/>
      <c r="AB34" s="133"/>
      <c r="AC34" s="133"/>
      <c r="AD34" s="133"/>
      <c r="AE34" s="133"/>
      <c r="AF34" s="133"/>
      <c r="AG34" s="86">
        <f t="shared" si="2"/>
        <v>0</v>
      </c>
      <c r="AH34" s="84">
        <f t="shared" si="3"/>
        <v>0</v>
      </c>
      <c r="AI34" s="84">
        <f t="shared" si="4"/>
        <v>0</v>
      </c>
      <c r="AJ34" s="85">
        <f t="shared" si="5"/>
        <v>0</v>
      </c>
      <c r="AL34" s="54">
        <f t="shared" si="6"/>
        <v>0</v>
      </c>
    </row>
    <row r="35" spans="1:38" ht="18" customHeight="1">
      <c r="A35" s="87" t="s">
        <v>31</v>
      </c>
      <c r="B35" s="88"/>
      <c r="C35" s="134">
        <f t="shared" ref="C35:T35" si="9">SUM(C4:C34)</f>
        <v>0</v>
      </c>
      <c r="D35" s="88">
        <f t="shared" si="9"/>
        <v>0</v>
      </c>
      <c r="E35" s="88">
        <f t="shared" si="9"/>
        <v>0</v>
      </c>
      <c r="F35" s="88">
        <f t="shared" si="9"/>
        <v>0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0</v>
      </c>
      <c r="L35" s="88">
        <f t="shared" si="9"/>
        <v>0</v>
      </c>
      <c r="M35" s="88">
        <f t="shared" si="9"/>
        <v>0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0</v>
      </c>
      <c r="S35" s="91">
        <f t="shared" si="9"/>
        <v>0</v>
      </c>
      <c r="T35" s="91">
        <f t="shared" si="9"/>
        <v>0</v>
      </c>
      <c r="U35" s="92">
        <f>U34</f>
        <v>0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135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92">
        <f>SUM(AJ4:AJ34)</f>
        <v>0</v>
      </c>
      <c r="AL35" s="54">
        <f t="shared" si="6"/>
        <v>0</v>
      </c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2C4D65B-B44B-4A86-AFAD-001E138279F5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DC694AEE-7F15-4FC8-B693-CE28400071FD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Mar!P1+31</f>
        <v>46113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Mar!X1+1</f>
        <v>4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Mar!H2+(Mar!Q35/Summen!B9)</f>
        <v>0</v>
      </c>
      <c r="I2" s="11" t="s">
        <v>7</v>
      </c>
      <c r="J2" s="13">
        <f>E2-H2</f>
        <v>10.8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Mar!U35</f>
        <v>0</v>
      </c>
      <c r="V2" s="191" t="s">
        <v>9</v>
      </c>
      <c r="W2" s="192"/>
      <c r="X2" s="190"/>
      <c r="Y2" s="137"/>
      <c r="Z2" s="17"/>
      <c r="AA2" s="17"/>
      <c r="AB2" s="17"/>
      <c r="AC2" s="17"/>
      <c r="AD2" s="17"/>
      <c r="AE2" s="17"/>
      <c r="AF2" s="18"/>
      <c r="AG2" s="1"/>
      <c r="AH2" s="18"/>
      <c r="AI2" s="18"/>
      <c r="AJ2" s="138"/>
      <c r="AK2" s="6"/>
      <c r="AL2" s="7"/>
    </row>
    <row r="3" spans="1:38" ht="69.75" customHeight="1">
      <c r="A3" s="22" t="s">
        <v>10</v>
      </c>
      <c r="B3" s="25"/>
      <c r="C3" s="124"/>
      <c r="D3" s="125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39" t="s">
        <v>26</v>
      </c>
      <c r="AH3" s="140" t="s">
        <v>27</v>
      </c>
      <c r="AI3" s="140" t="s">
        <v>28</v>
      </c>
      <c r="AJ3" s="111" t="s">
        <v>29</v>
      </c>
      <c r="AK3" s="6"/>
      <c r="AL3" s="41" t="s">
        <v>30</v>
      </c>
    </row>
    <row r="4" spans="1:38" ht="13.5" customHeight="1">
      <c r="A4" s="42">
        <f>P1</f>
        <v>46113</v>
      </c>
      <c r="B4" s="45" t="str">
        <f>IFERROR(VLOOKUP(A4, Feiertage!$B:$C, 2, 0), IF(OR(WEEKDAY(A4,2)=6, WEEKDAY(A4,2)=7), Feiertage!$C$23, ""))</f>
        <v/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141">
        <v>0</v>
      </c>
      <c r="S4" s="47">
        <f t="shared" ref="S4:S33" si="0">SUM(C4:Q4)</f>
        <v>0</v>
      </c>
      <c r="T4" s="47">
        <f t="shared" ref="T4:T33" si="1">S4-R4</f>
        <v>0</v>
      </c>
      <c r="U4" s="48">
        <f>U2+T4</f>
        <v>0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3" si="2">(Z4-Y4)+(AB4-AA4)+(AD4-AC4)+(AF4-AE4)</f>
        <v>0</v>
      </c>
      <c r="AH4" s="47">
        <f t="shared" ref="AH4:AH33" si="3">HOUR(AG4)</f>
        <v>0</v>
      </c>
      <c r="AI4" s="47">
        <f t="shared" ref="AI4:AI33" si="4">MINUTE(AG4)/60</f>
        <v>0</v>
      </c>
      <c r="AJ4" s="48">
        <f t="shared" ref="AJ4:AJ33" si="5">AH4+AI4</f>
        <v>0</v>
      </c>
      <c r="AL4" s="54">
        <f t="shared" ref="AL4:AL34" si="6">SUM(C4:Q4)-AJ4</f>
        <v>0</v>
      </c>
    </row>
    <row r="5" spans="1:38" ht="13.5" customHeight="1">
      <c r="A5" s="56">
        <f t="shared" ref="A5:A33" si="7">A4+1</f>
        <v>46114</v>
      </c>
      <c r="B5" s="59" t="str">
        <f>IFERROR(VLOOKUP(A5, Feiertage!$B:$C, 2, 0), IF(OR(WEEKDAY(A5,2)=6, WEEKDAY(A5,2)=7), Feiertage!$C$23, ""))</f>
        <v/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9"/>
      <c r="R5" s="61">
        <v>0</v>
      </c>
      <c r="S5" s="62">
        <f t="shared" si="0"/>
        <v>0</v>
      </c>
      <c r="T5" s="62">
        <f t="shared" si="1"/>
        <v>0</v>
      </c>
      <c r="U5" s="63">
        <f t="shared" ref="U5:U33" si="8">U4+T5</f>
        <v>0</v>
      </c>
      <c r="V5" s="59"/>
      <c r="W5" s="64"/>
      <c r="X5" s="65">
        <f>V5+W5*Summen!$B$44</f>
        <v>0</v>
      </c>
      <c r="Y5" s="66"/>
      <c r="Z5" s="67"/>
      <c r="AA5" s="67"/>
      <c r="AB5" s="67"/>
      <c r="AC5" s="67"/>
      <c r="AD5" s="67"/>
      <c r="AE5" s="67"/>
      <c r="AF5" s="68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46115</v>
      </c>
      <c r="B6" s="45" t="str">
        <f>IFERROR(VLOOKUP(A6, Feiertage!$B:$C, 2, 0), IF(OR(WEEKDAY(A6,2)=6, WEEKDAY(A6,2)=7), Feiertage!$C$23, ""))</f>
        <v>* * * * * * * * Karfreitag * * * * * * * * * * * * * * * * * * * * * * * * * * * * * * * * * * * * * * * * * * * * * * * * * *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0</v>
      </c>
      <c r="S6" s="62">
        <f t="shared" si="0"/>
        <v>0</v>
      </c>
      <c r="T6" s="62">
        <f t="shared" si="1"/>
        <v>0</v>
      </c>
      <c r="U6" s="63">
        <f t="shared" si="8"/>
        <v>0</v>
      </c>
      <c r="V6" s="45"/>
      <c r="W6" s="49"/>
      <c r="X6" s="65">
        <f>V6+W6*Summen!$B$44</f>
        <v>0</v>
      </c>
      <c r="Y6" s="72"/>
      <c r="Z6" s="73"/>
      <c r="AA6" s="73"/>
      <c r="AB6" s="73"/>
      <c r="AC6" s="73"/>
      <c r="AD6" s="73"/>
      <c r="AE6" s="73"/>
      <c r="AF6" s="74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46116</v>
      </c>
      <c r="B7" s="59" t="str">
        <f>IFERROR(VLOOKUP(A7, Feiertage!$B:$C, 2, 0), IF(OR(WEEKDAY(A7,2)=6, WEEKDAY(A7,2)=7), Feiertage!$C$23, ""))</f>
        <v>* * * * * * * * Wochenende * * * * * * * * * * * * * * * * * * * * * * * * * * * * * * * * * * * * * * * * * * * * * * * *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0</v>
      </c>
      <c r="S7" s="62">
        <f t="shared" si="0"/>
        <v>0</v>
      </c>
      <c r="T7" s="62">
        <f t="shared" si="1"/>
        <v>0</v>
      </c>
      <c r="U7" s="63">
        <f t="shared" si="8"/>
        <v>0</v>
      </c>
      <c r="V7" s="59"/>
      <c r="W7" s="64"/>
      <c r="X7" s="65">
        <f>V7+W7*Summen!$B$44</f>
        <v>0</v>
      </c>
      <c r="Y7" s="66"/>
      <c r="Z7" s="67"/>
      <c r="AA7" s="67"/>
      <c r="AB7" s="67"/>
      <c r="AC7" s="67"/>
      <c r="AD7" s="67"/>
      <c r="AE7" s="67"/>
      <c r="AF7" s="68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46117</v>
      </c>
      <c r="B8" s="45" t="str">
        <f>IFERROR(VLOOKUP(A8, Feiertage!$B:$C, 2, 0), IF(OR(WEEKDAY(A8,2)=6, WEEKDAY(A8,2)=7), Feiertage!$C$23, ""))</f>
        <v>* * * * * * * * Wochenende * * * * * * * * * * * * * * * * * * * * * * * * * * * * * * * * * * * * * * * * * * * * * * * *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f>IF(OR(WEEKDAY(A8,2)=6,WEEKDAY(A8,2)=7),0,IFERROR(IF(VLOOKUP(A8,Feiertage!$B:$D,3,0)="ja",0,Summen!$B$9),Summen!$B$9))</f>
        <v>0</v>
      </c>
      <c r="S8" s="62">
        <f t="shared" si="0"/>
        <v>0</v>
      </c>
      <c r="T8" s="62">
        <f t="shared" si="1"/>
        <v>0</v>
      </c>
      <c r="U8" s="63">
        <f t="shared" si="8"/>
        <v>0</v>
      </c>
      <c r="V8" s="45"/>
      <c r="W8" s="49"/>
      <c r="X8" s="65">
        <f>V8+W8*Summen!$B$44</f>
        <v>0</v>
      </c>
      <c r="Y8" s="72"/>
      <c r="Z8" s="73"/>
      <c r="AA8" s="73"/>
      <c r="AB8" s="73"/>
      <c r="AC8" s="73"/>
      <c r="AD8" s="73"/>
      <c r="AE8" s="73"/>
      <c r="AF8" s="74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46118</v>
      </c>
      <c r="B9" s="59" t="str">
        <f>IFERROR(VLOOKUP(A9, Feiertage!$B:$C, 2, 0), IF(OR(WEEKDAY(A9,2)=6, WEEKDAY(A9,2)=7), Feiertage!$C$23, ""))</f>
        <v>* * * * * * * * Ostermontag * * * * * * * * * * * * * * * * * * * * * * * * * * * * * * * * * * * * * * * * * * * * * * * *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v>0</v>
      </c>
      <c r="S9" s="62">
        <f t="shared" si="0"/>
        <v>0</v>
      </c>
      <c r="T9" s="62">
        <f t="shared" si="1"/>
        <v>0</v>
      </c>
      <c r="U9" s="63">
        <f t="shared" si="8"/>
        <v>0</v>
      </c>
      <c r="V9" s="59"/>
      <c r="W9" s="64"/>
      <c r="X9" s="65">
        <f>V9+W9*Summen!$B$44</f>
        <v>0</v>
      </c>
      <c r="Y9" s="66"/>
      <c r="Z9" s="67"/>
      <c r="AA9" s="67"/>
      <c r="AB9" s="67"/>
      <c r="AC9" s="67"/>
      <c r="AD9" s="67"/>
      <c r="AE9" s="67"/>
      <c r="AF9" s="68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46119</v>
      </c>
      <c r="B10" s="45" t="str">
        <f>IFERROR(VLOOKUP(A10, Feiertage!$B:$C, 2, 0), IF(OR(WEEKDAY(A10,2)=6, WEEKDAY(A10,2)=7), Feiertage!$C$23, ""))</f>
        <v/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v>0</v>
      </c>
      <c r="S10" s="62">
        <f t="shared" si="0"/>
        <v>0</v>
      </c>
      <c r="T10" s="62">
        <f t="shared" si="1"/>
        <v>0</v>
      </c>
      <c r="U10" s="63">
        <f t="shared" si="8"/>
        <v>0</v>
      </c>
      <c r="V10" s="45"/>
      <c r="W10" s="49"/>
      <c r="X10" s="65">
        <f>V10+W10*Summen!$B$44</f>
        <v>0</v>
      </c>
      <c r="Y10" s="72"/>
      <c r="Z10" s="73"/>
      <c r="AA10" s="73"/>
      <c r="AB10" s="73"/>
      <c r="AC10" s="73"/>
      <c r="AD10" s="73"/>
      <c r="AE10" s="73"/>
      <c r="AF10" s="74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46120</v>
      </c>
      <c r="B11" s="59" t="str">
        <f>IFERROR(VLOOKUP(A11, Feiertage!$B:$C, 2, 0), IF(OR(WEEKDAY(A11,2)=6, WEEKDAY(A11,2)=7), Feiertage!$C$23, ""))</f>
        <v/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v>0</v>
      </c>
      <c r="S11" s="62">
        <f t="shared" si="0"/>
        <v>0</v>
      </c>
      <c r="T11" s="62">
        <f t="shared" si="1"/>
        <v>0</v>
      </c>
      <c r="U11" s="63">
        <f t="shared" si="8"/>
        <v>0</v>
      </c>
      <c r="V11" s="59"/>
      <c r="W11" s="64"/>
      <c r="X11" s="65">
        <f>V11+W11*Summen!$B$44</f>
        <v>0</v>
      </c>
      <c r="Y11" s="66"/>
      <c r="Z11" s="67"/>
      <c r="AA11" s="67"/>
      <c r="AB11" s="67"/>
      <c r="AC11" s="67"/>
      <c r="AD11" s="67"/>
      <c r="AE11" s="67"/>
      <c r="AF11" s="68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46121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v>0</v>
      </c>
      <c r="S12" s="62">
        <f t="shared" si="0"/>
        <v>0</v>
      </c>
      <c r="T12" s="62">
        <f t="shared" si="1"/>
        <v>0</v>
      </c>
      <c r="U12" s="63">
        <f t="shared" si="8"/>
        <v>0</v>
      </c>
      <c r="V12" s="45"/>
      <c r="W12" s="49"/>
      <c r="X12" s="65">
        <f>V12+W12*Summen!$B$44</f>
        <v>0</v>
      </c>
      <c r="Y12" s="72"/>
      <c r="Z12" s="73"/>
      <c r="AA12" s="73"/>
      <c r="AB12" s="73"/>
      <c r="AC12" s="73"/>
      <c r="AD12" s="73"/>
      <c r="AE12" s="73"/>
      <c r="AF12" s="74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46122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v>0</v>
      </c>
      <c r="S13" s="62">
        <f t="shared" si="0"/>
        <v>0</v>
      </c>
      <c r="T13" s="62">
        <f t="shared" si="1"/>
        <v>0</v>
      </c>
      <c r="U13" s="63">
        <f t="shared" si="8"/>
        <v>0</v>
      </c>
      <c r="V13" s="59"/>
      <c r="W13" s="64"/>
      <c r="X13" s="65">
        <f>V13+W13*Summen!$B$44</f>
        <v>0</v>
      </c>
      <c r="Y13" s="66"/>
      <c r="Z13" s="67"/>
      <c r="AA13" s="67"/>
      <c r="AB13" s="67"/>
      <c r="AC13" s="67"/>
      <c r="AD13" s="67"/>
      <c r="AE13" s="67"/>
      <c r="AF13" s="68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46123</v>
      </c>
      <c r="B14" s="45" t="str">
        <f>IFERROR(VLOOKUP(A14, Feiertage!$B:$C, 2, 0), IF(OR(WEEKDAY(A14,2)=6, WEEKDAY(A14,2)=7), Feiertage!$C$23, ""))</f>
        <v>* * * * * * * * Wochenende * * * * * * * * * * * * * * * * * * * * * * * * * * * * * * * * * * * * * * * * * * * * * * * *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0</v>
      </c>
      <c r="S14" s="62">
        <f t="shared" si="0"/>
        <v>0</v>
      </c>
      <c r="T14" s="62">
        <f t="shared" si="1"/>
        <v>0</v>
      </c>
      <c r="U14" s="63">
        <f t="shared" si="8"/>
        <v>0</v>
      </c>
      <c r="V14" s="45"/>
      <c r="W14" s="49"/>
      <c r="X14" s="65">
        <f>V14+W14*Summen!$B$44</f>
        <v>0</v>
      </c>
      <c r="Y14" s="72"/>
      <c r="Z14" s="73"/>
      <c r="AA14" s="73"/>
      <c r="AB14" s="73"/>
      <c r="AC14" s="73"/>
      <c r="AD14" s="73"/>
      <c r="AE14" s="73"/>
      <c r="AF14" s="74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46124</v>
      </c>
      <c r="B15" s="59" t="str">
        <f>IFERROR(VLOOKUP(A15, Feiertage!$B:$C, 2, 0), IF(OR(WEEKDAY(A15,2)=6, WEEKDAY(A15,2)=7), Feiertage!$C$23, ""))</f>
        <v>* * * * * * * * Wochenende * * * * * * * * * * * * * * * * * * * * * * * * * * * * * * * * * * * * * * * * * * * * * * * *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f>IF(OR(WEEKDAY(A15,2)=6,WEEKDAY(A15,2)=7),0,IFERROR(IF(VLOOKUP(A15,Feiertage!$B:$D,3,0)="ja",0,Summen!$B$9),Summen!$B$9))</f>
        <v>0</v>
      </c>
      <c r="S15" s="62">
        <f t="shared" si="0"/>
        <v>0</v>
      </c>
      <c r="T15" s="62">
        <f t="shared" si="1"/>
        <v>0</v>
      </c>
      <c r="U15" s="63">
        <f t="shared" si="8"/>
        <v>0</v>
      </c>
      <c r="V15" s="59"/>
      <c r="W15" s="64"/>
      <c r="X15" s="65">
        <f>V15+W15*Summen!$B$44</f>
        <v>0</v>
      </c>
      <c r="Y15" s="66"/>
      <c r="Z15" s="67"/>
      <c r="AA15" s="67"/>
      <c r="AB15" s="67"/>
      <c r="AC15" s="67"/>
      <c r="AD15" s="67"/>
      <c r="AE15" s="67"/>
      <c r="AF15" s="68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46125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v>0</v>
      </c>
      <c r="S16" s="62">
        <f t="shared" si="0"/>
        <v>0</v>
      </c>
      <c r="T16" s="62">
        <f t="shared" si="1"/>
        <v>0</v>
      </c>
      <c r="U16" s="63">
        <f t="shared" si="8"/>
        <v>0</v>
      </c>
      <c r="V16" s="45"/>
      <c r="W16" s="49"/>
      <c r="X16" s="65">
        <f>V16+W16*Summen!$B$44</f>
        <v>0</v>
      </c>
      <c r="Y16" s="72"/>
      <c r="Z16" s="73"/>
      <c r="AA16" s="73"/>
      <c r="AB16" s="73"/>
      <c r="AC16" s="73"/>
      <c r="AD16" s="73"/>
      <c r="AE16" s="73"/>
      <c r="AF16" s="74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46126</v>
      </c>
      <c r="B17" s="59" t="str">
        <f>IFERROR(VLOOKUP(A17, Feiertage!$B:$C, 2, 0), IF(OR(WEEKDAY(A17,2)=6, WEEKDAY(A17,2)=7), Feiertage!$C$23, ""))</f>
        <v/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v>0</v>
      </c>
      <c r="S17" s="62">
        <f t="shared" si="0"/>
        <v>0</v>
      </c>
      <c r="T17" s="62">
        <f t="shared" si="1"/>
        <v>0</v>
      </c>
      <c r="U17" s="63">
        <f t="shared" si="8"/>
        <v>0</v>
      </c>
      <c r="V17" s="59"/>
      <c r="W17" s="64"/>
      <c r="X17" s="65">
        <f>V17+W17*Summen!$B$44</f>
        <v>0</v>
      </c>
      <c r="Y17" s="66"/>
      <c r="Z17" s="67"/>
      <c r="AA17" s="67"/>
      <c r="AB17" s="67"/>
      <c r="AC17" s="67"/>
      <c r="AD17" s="67"/>
      <c r="AE17" s="67"/>
      <c r="AF17" s="68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46127</v>
      </c>
      <c r="B18" s="45" t="str">
        <f>IFERROR(VLOOKUP(A18, Feiertage!$B:$C, 2, 0), IF(OR(WEEKDAY(A18,2)=6, WEEKDAY(A18,2)=7), Feiertage!$C$23, ""))</f>
        <v/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v>0</v>
      </c>
      <c r="S18" s="62">
        <f t="shared" si="0"/>
        <v>0</v>
      </c>
      <c r="T18" s="62">
        <f t="shared" si="1"/>
        <v>0</v>
      </c>
      <c r="U18" s="63">
        <f t="shared" si="8"/>
        <v>0</v>
      </c>
      <c r="V18" s="45"/>
      <c r="W18" s="49"/>
      <c r="X18" s="65">
        <f>V18+W18*Summen!$B$44</f>
        <v>0</v>
      </c>
      <c r="Y18" s="72"/>
      <c r="Z18" s="73"/>
      <c r="AA18" s="73"/>
      <c r="AB18" s="73"/>
      <c r="AC18" s="73"/>
      <c r="AD18" s="73"/>
      <c r="AE18" s="73"/>
      <c r="AF18" s="74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46128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v>0</v>
      </c>
      <c r="S19" s="62">
        <f t="shared" si="0"/>
        <v>0</v>
      </c>
      <c r="T19" s="62">
        <f t="shared" si="1"/>
        <v>0</v>
      </c>
      <c r="U19" s="63">
        <f t="shared" si="8"/>
        <v>0</v>
      </c>
      <c r="V19" s="59"/>
      <c r="W19" s="64"/>
      <c r="X19" s="65">
        <f>V19+W19*Summen!$B$44</f>
        <v>0</v>
      </c>
      <c r="Y19" s="66"/>
      <c r="Z19" s="67"/>
      <c r="AA19" s="67"/>
      <c r="AB19" s="67"/>
      <c r="AC19" s="67"/>
      <c r="AD19" s="67"/>
      <c r="AE19" s="67"/>
      <c r="AF19" s="68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46129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v>0</v>
      </c>
      <c r="S20" s="62">
        <f t="shared" si="0"/>
        <v>0</v>
      </c>
      <c r="T20" s="62">
        <f t="shared" si="1"/>
        <v>0</v>
      </c>
      <c r="U20" s="63">
        <f t="shared" si="8"/>
        <v>0</v>
      </c>
      <c r="V20" s="45"/>
      <c r="W20" s="49"/>
      <c r="X20" s="65">
        <f>V20+W20*Summen!$B$44</f>
        <v>0</v>
      </c>
      <c r="Y20" s="72"/>
      <c r="Z20" s="73"/>
      <c r="AA20" s="73"/>
      <c r="AB20" s="73"/>
      <c r="AC20" s="73"/>
      <c r="AD20" s="73"/>
      <c r="AE20" s="73"/>
      <c r="AF20" s="74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46130</v>
      </c>
      <c r="B21" s="59" t="str">
        <f>IFERROR(VLOOKUP(A21, Feiertage!$B:$C, 2, 0), IF(OR(WEEKDAY(A21,2)=6, WEEKDAY(A21,2)=7), Feiertage!$C$23, ""))</f>
        <v>* * * * * * * * Wochenende * * * * * * * * * * * * * * * * * * * * * * * * * * * * * * * * * * * * * * * * * * * * * * * *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0</v>
      </c>
      <c r="S21" s="62">
        <f t="shared" si="0"/>
        <v>0</v>
      </c>
      <c r="T21" s="62">
        <f t="shared" si="1"/>
        <v>0</v>
      </c>
      <c r="U21" s="63">
        <f t="shared" si="8"/>
        <v>0</v>
      </c>
      <c r="V21" s="59"/>
      <c r="W21" s="64"/>
      <c r="X21" s="65">
        <f>V21+W21*Summen!$B$44</f>
        <v>0</v>
      </c>
      <c r="Y21" s="66"/>
      <c r="Z21" s="67"/>
      <c r="AA21" s="67"/>
      <c r="AB21" s="67"/>
      <c r="AC21" s="67"/>
      <c r="AD21" s="67"/>
      <c r="AE21" s="67"/>
      <c r="AF21" s="68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46131</v>
      </c>
      <c r="B22" s="45" t="str">
        <f>IFERROR(VLOOKUP(A22, Feiertage!$B:$C, 2, 0), IF(OR(WEEKDAY(A22,2)=6, WEEKDAY(A22,2)=7), Feiertage!$C$23, ""))</f>
        <v>* * * * * * * * Wochenende * * * * * * * * * * * * * * * * * * * * * * * * * * * * * * * * * * * * * * * * * * * * * * * *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0</v>
      </c>
      <c r="S22" s="62">
        <f t="shared" si="0"/>
        <v>0</v>
      </c>
      <c r="T22" s="62">
        <f t="shared" si="1"/>
        <v>0</v>
      </c>
      <c r="U22" s="63">
        <f t="shared" si="8"/>
        <v>0</v>
      </c>
      <c r="V22" s="45"/>
      <c r="W22" s="49"/>
      <c r="X22" s="65">
        <f>V22+W22*Summen!$B$44</f>
        <v>0</v>
      </c>
      <c r="Y22" s="72"/>
      <c r="Z22" s="73"/>
      <c r="AA22" s="73"/>
      <c r="AB22" s="73"/>
      <c r="AC22" s="73"/>
      <c r="AD22" s="73"/>
      <c r="AE22" s="73"/>
      <c r="AF22" s="74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46132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v>0</v>
      </c>
      <c r="S23" s="62">
        <f t="shared" si="0"/>
        <v>0</v>
      </c>
      <c r="T23" s="62">
        <f t="shared" si="1"/>
        <v>0</v>
      </c>
      <c r="U23" s="63">
        <f t="shared" si="8"/>
        <v>0</v>
      </c>
      <c r="V23" s="59"/>
      <c r="W23" s="64"/>
      <c r="X23" s="65">
        <f>V23+W23*Summen!$B$44</f>
        <v>0</v>
      </c>
      <c r="Y23" s="66"/>
      <c r="Z23" s="67"/>
      <c r="AA23" s="67"/>
      <c r="AB23" s="67"/>
      <c r="AC23" s="67"/>
      <c r="AD23" s="67"/>
      <c r="AE23" s="67"/>
      <c r="AF23" s="68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46133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v>0</v>
      </c>
      <c r="S24" s="62">
        <f t="shared" si="0"/>
        <v>0</v>
      </c>
      <c r="T24" s="62">
        <f t="shared" si="1"/>
        <v>0</v>
      </c>
      <c r="U24" s="63">
        <f t="shared" si="8"/>
        <v>0</v>
      </c>
      <c r="V24" s="45"/>
      <c r="W24" s="49"/>
      <c r="X24" s="65">
        <f>V24+W24*Summen!$B$44</f>
        <v>0</v>
      </c>
      <c r="Y24" s="72"/>
      <c r="Z24" s="73"/>
      <c r="AA24" s="73"/>
      <c r="AB24" s="73"/>
      <c r="AC24" s="73"/>
      <c r="AD24" s="73"/>
      <c r="AE24" s="73"/>
      <c r="AF24" s="74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46134</v>
      </c>
      <c r="B25" s="59" t="str">
        <f>IFERROR(VLOOKUP(A25, Feiertage!$B:$C, 2, 0), IF(OR(WEEKDAY(A25,2)=6, WEEKDAY(A25,2)=7), Feiertage!$C$23, ""))</f>
        <v/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v>0</v>
      </c>
      <c r="S25" s="62">
        <f t="shared" si="0"/>
        <v>0</v>
      </c>
      <c r="T25" s="62">
        <f t="shared" si="1"/>
        <v>0</v>
      </c>
      <c r="U25" s="63">
        <f t="shared" si="8"/>
        <v>0</v>
      </c>
      <c r="V25" s="59"/>
      <c r="W25" s="64"/>
      <c r="X25" s="65">
        <f>V25+W25*Summen!$B$44</f>
        <v>0</v>
      </c>
      <c r="Y25" s="66"/>
      <c r="Z25" s="67"/>
      <c r="AA25" s="67"/>
      <c r="AB25" s="67"/>
      <c r="AC25" s="67"/>
      <c r="AD25" s="67"/>
      <c r="AE25" s="67"/>
      <c r="AF25" s="68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46135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v>0</v>
      </c>
      <c r="S26" s="62">
        <f t="shared" si="0"/>
        <v>0</v>
      </c>
      <c r="T26" s="62">
        <f t="shared" si="1"/>
        <v>0</v>
      </c>
      <c r="U26" s="63">
        <f t="shared" si="8"/>
        <v>0</v>
      </c>
      <c r="V26" s="45"/>
      <c r="W26" s="49"/>
      <c r="X26" s="65">
        <f>V26+W26*Summen!$B$44</f>
        <v>0</v>
      </c>
      <c r="Y26" s="72"/>
      <c r="Z26" s="73"/>
      <c r="AA26" s="73"/>
      <c r="AB26" s="73"/>
      <c r="AC26" s="73"/>
      <c r="AD26" s="73"/>
      <c r="AE26" s="73"/>
      <c r="AF26" s="74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46136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v>0</v>
      </c>
      <c r="S27" s="62">
        <f t="shared" si="0"/>
        <v>0</v>
      </c>
      <c r="T27" s="62">
        <f t="shared" si="1"/>
        <v>0</v>
      </c>
      <c r="U27" s="63">
        <f t="shared" si="8"/>
        <v>0</v>
      </c>
      <c r="V27" s="59"/>
      <c r="W27" s="64"/>
      <c r="X27" s="65">
        <f>V27+W27*Summen!$B$44</f>
        <v>0</v>
      </c>
      <c r="Y27" s="66"/>
      <c r="Z27" s="67"/>
      <c r="AA27" s="67"/>
      <c r="AB27" s="67"/>
      <c r="AC27" s="67"/>
      <c r="AD27" s="67"/>
      <c r="AE27" s="67"/>
      <c r="AF27" s="68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46137</v>
      </c>
      <c r="B28" s="45" t="str">
        <f>IFERROR(VLOOKUP(A28, Feiertage!$B:$C, 2, 0), IF(OR(WEEKDAY(A28,2)=6, WEEKDAY(A28,2)=7), Feiertage!$C$23, ""))</f>
        <v>* * * * * * * * Wochenende * * * * * * * * * * * * * * * * * * * * * * * * * * * * * * * * * * * * * * * * * * * * * * * *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0</v>
      </c>
      <c r="S28" s="62">
        <f t="shared" si="0"/>
        <v>0</v>
      </c>
      <c r="T28" s="62">
        <f t="shared" si="1"/>
        <v>0</v>
      </c>
      <c r="U28" s="63">
        <f t="shared" si="8"/>
        <v>0</v>
      </c>
      <c r="V28" s="45"/>
      <c r="W28" s="49"/>
      <c r="X28" s="65">
        <f>V28+W28*Summen!$B$44</f>
        <v>0</v>
      </c>
      <c r="Y28" s="72"/>
      <c r="Z28" s="73"/>
      <c r="AA28" s="73"/>
      <c r="AB28" s="73"/>
      <c r="AC28" s="73"/>
      <c r="AD28" s="73"/>
      <c r="AE28" s="73"/>
      <c r="AF28" s="74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46138</v>
      </c>
      <c r="B29" s="59" t="str">
        <f>IFERROR(VLOOKUP(A29, Feiertage!$B:$C, 2, 0), IF(OR(WEEKDAY(A29,2)=6, WEEKDAY(A29,2)=7), Feiertage!$C$23, ""))</f>
        <v>* * * * * * * * Wochenende * * * * * * * * * * * * * * * * * * * * * * * * * * * * * * * * * * * * * * * * * * * * * * * *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f>IF(OR(WEEKDAY(A29,2)=6,WEEKDAY(A29,2)=7),0,IFERROR(IF(VLOOKUP(A29,Feiertage!$B:$D,3,0)="ja",0,Summen!$B$9),Summen!$B$9))</f>
        <v>0</v>
      </c>
      <c r="S29" s="62">
        <f t="shared" si="0"/>
        <v>0</v>
      </c>
      <c r="T29" s="62">
        <f t="shared" si="1"/>
        <v>0</v>
      </c>
      <c r="U29" s="63">
        <f t="shared" si="8"/>
        <v>0</v>
      </c>
      <c r="V29" s="59"/>
      <c r="W29" s="64"/>
      <c r="X29" s="65">
        <f>V29+W29*Summen!$B$44</f>
        <v>0</v>
      </c>
      <c r="Y29" s="66"/>
      <c r="Z29" s="67"/>
      <c r="AA29" s="67"/>
      <c r="AB29" s="67"/>
      <c r="AC29" s="67"/>
      <c r="AD29" s="67"/>
      <c r="AE29" s="67"/>
      <c r="AF29" s="68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46139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v>0</v>
      </c>
      <c r="S30" s="62">
        <f t="shared" si="0"/>
        <v>0</v>
      </c>
      <c r="T30" s="62">
        <f t="shared" si="1"/>
        <v>0</v>
      </c>
      <c r="U30" s="63">
        <f t="shared" si="8"/>
        <v>0</v>
      </c>
      <c r="V30" s="45"/>
      <c r="W30" s="49"/>
      <c r="X30" s="65">
        <f>V30+W30*Summen!$B$44</f>
        <v>0</v>
      </c>
      <c r="Y30" s="72"/>
      <c r="Z30" s="73"/>
      <c r="AA30" s="73"/>
      <c r="AB30" s="73"/>
      <c r="AC30" s="73"/>
      <c r="AD30" s="73"/>
      <c r="AE30" s="73"/>
      <c r="AF30" s="74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46140</v>
      </c>
      <c r="B31" s="59" t="str">
        <f>IFERROR(VLOOKUP(A31, Feiertage!$B:$C, 2, 0), IF(OR(WEEKDAY(A31,2)=6, WEEKDAY(A31,2)=7), Feiertage!$C$23, ""))</f>
        <v/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v>0</v>
      </c>
      <c r="S31" s="62">
        <f t="shared" si="0"/>
        <v>0</v>
      </c>
      <c r="T31" s="62">
        <f t="shared" si="1"/>
        <v>0</v>
      </c>
      <c r="U31" s="63">
        <f t="shared" si="8"/>
        <v>0</v>
      </c>
      <c r="V31" s="59"/>
      <c r="W31" s="64"/>
      <c r="X31" s="65">
        <f>V31+W31*Summen!$B$44</f>
        <v>0</v>
      </c>
      <c r="Y31" s="66"/>
      <c r="Z31" s="67"/>
      <c r="AA31" s="67"/>
      <c r="AB31" s="67"/>
      <c r="AC31" s="67"/>
      <c r="AD31" s="67"/>
      <c r="AE31" s="67"/>
      <c r="AF31" s="68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46141</v>
      </c>
      <c r="B32" s="45" t="str">
        <f>IFERROR(VLOOKUP(A32, Feiertage!$B:$C, 2, 0), IF(OR(WEEKDAY(A32,2)=6, WEEKDAY(A32,2)=7), Feiertage!$C$23, ""))</f>
        <v/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v>0</v>
      </c>
      <c r="S32" s="62">
        <f t="shared" si="0"/>
        <v>0</v>
      </c>
      <c r="T32" s="62">
        <f t="shared" si="1"/>
        <v>0</v>
      </c>
      <c r="U32" s="63">
        <f t="shared" si="8"/>
        <v>0</v>
      </c>
      <c r="V32" s="45"/>
      <c r="W32" s="49"/>
      <c r="X32" s="65">
        <f>V32+W32*Summen!$B$44</f>
        <v>0</v>
      </c>
      <c r="Y32" s="72"/>
      <c r="Z32" s="73"/>
      <c r="AA32" s="73"/>
      <c r="AB32" s="73"/>
      <c r="AC32" s="73"/>
      <c r="AD32" s="73"/>
      <c r="AE32" s="73"/>
      <c r="AF32" s="74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80">
        <f t="shared" si="7"/>
        <v>46142</v>
      </c>
      <c r="B33" s="59" t="str">
        <f>IFERROR(VLOOKUP(A33, Feiertage!$B:$C, 2, 0), IF(OR(WEEKDAY(A33,2)=6, WEEKDAY(A33,2)=7), Feiertage!$C$23, ""))</f>
        <v/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v>0</v>
      </c>
      <c r="S33" s="84">
        <f t="shared" si="0"/>
        <v>0</v>
      </c>
      <c r="T33" s="84">
        <f t="shared" si="1"/>
        <v>0</v>
      </c>
      <c r="U33" s="85">
        <f t="shared" si="8"/>
        <v>0</v>
      </c>
      <c r="V33" s="59"/>
      <c r="W33" s="64"/>
      <c r="X33" s="65">
        <f>V33+W33*Summen!$B$44</f>
        <v>0</v>
      </c>
      <c r="Y33" s="66"/>
      <c r="Z33" s="67"/>
      <c r="AA33" s="67"/>
      <c r="AB33" s="67"/>
      <c r="AC33" s="67"/>
      <c r="AD33" s="67"/>
      <c r="AE33" s="67"/>
      <c r="AF33" s="68"/>
      <c r="AG33" s="86">
        <f t="shared" si="2"/>
        <v>0</v>
      </c>
      <c r="AH33" s="84">
        <f t="shared" si="3"/>
        <v>0</v>
      </c>
      <c r="AI33" s="84">
        <f t="shared" si="4"/>
        <v>0</v>
      </c>
      <c r="AJ33" s="85">
        <f t="shared" si="5"/>
        <v>0</v>
      </c>
      <c r="AL33" s="54">
        <f t="shared" si="6"/>
        <v>0</v>
      </c>
    </row>
    <row r="34" spans="1:38" ht="18" customHeight="1">
      <c r="A34" s="87" t="s">
        <v>31</v>
      </c>
      <c r="B34" s="142"/>
      <c r="C34" s="88">
        <f t="shared" ref="C34:T34" si="9">SUM(C4:C33)</f>
        <v>0</v>
      </c>
      <c r="D34" s="88">
        <f t="shared" si="9"/>
        <v>0</v>
      </c>
      <c r="E34" s="88">
        <f t="shared" si="9"/>
        <v>0</v>
      </c>
      <c r="F34" s="88">
        <f t="shared" si="9"/>
        <v>0</v>
      </c>
      <c r="G34" s="88">
        <f t="shared" si="9"/>
        <v>0</v>
      </c>
      <c r="H34" s="88">
        <f t="shared" si="9"/>
        <v>0</v>
      </c>
      <c r="I34" s="88">
        <f t="shared" si="9"/>
        <v>0</v>
      </c>
      <c r="J34" s="88">
        <f t="shared" si="9"/>
        <v>0</v>
      </c>
      <c r="K34" s="88">
        <f t="shared" si="9"/>
        <v>0</v>
      </c>
      <c r="L34" s="88">
        <f t="shared" si="9"/>
        <v>0</v>
      </c>
      <c r="M34" s="88">
        <f t="shared" si="9"/>
        <v>0</v>
      </c>
      <c r="N34" s="88">
        <f t="shared" si="9"/>
        <v>0</v>
      </c>
      <c r="O34" s="88">
        <f t="shared" si="9"/>
        <v>0</v>
      </c>
      <c r="P34" s="88">
        <f t="shared" si="9"/>
        <v>0</v>
      </c>
      <c r="Q34" s="88">
        <f t="shared" si="9"/>
        <v>0</v>
      </c>
      <c r="R34" s="90">
        <f t="shared" si="9"/>
        <v>0</v>
      </c>
      <c r="S34" s="91">
        <f t="shared" si="9"/>
        <v>0</v>
      </c>
      <c r="T34" s="91">
        <f t="shared" si="9"/>
        <v>0</v>
      </c>
      <c r="U34" s="92">
        <f>U33</f>
        <v>0</v>
      </c>
      <c r="V34" s="93">
        <f>SUM(V4:V33)</f>
        <v>0</v>
      </c>
      <c r="W34" s="93">
        <f>SUM(W4:W33)*Summen!$B$44</f>
        <v>0</v>
      </c>
      <c r="X34" s="94">
        <f>V34+W34</f>
        <v>0</v>
      </c>
      <c r="Y34" s="117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2">
        <f>SUM(AJ4:AJ33)</f>
        <v>0</v>
      </c>
      <c r="AL34" s="54">
        <f t="shared" si="6"/>
        <v>0</v>
      </c>
    </row>
    <row r="35" spans="1:38" ht="12.75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L35" s="7"/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2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A5F6ABE-BAC7-4680-81B7-F365F87BBFFE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9131F8D2-2785-4BDD-B52C-75E169D2581F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000"/>
  <sheetViews>
    <sheetView topLeftCell="C2" zoomScale="90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Apr!P1+30</f>
        <v>46143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Apr!X1+1</f>
        <v>5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Apr!H2+(Apr!Q34/Summen!B9)</f>
        <v>0</v>
      </c>
      <c r="I2" s="11" t="s">
        <v>7</v>
      </c>
      <c r="J2" s="13">
        <f>E2-H2</f>
        <v>10.8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Apr!U34</f>
        <v>0</v>
      </c>
      <c r="V2" s="191" t="s">
        <v>9</v>
      </c>
      <c r="W2" s="192"/>
      <c r="X2" s="190"/>
      <c r="Y2" s="143"/>
      <c r="Z2" s="144"/>
      <c r="AA2" s="144"/>
      <c r="AB2" s="144"/>
      <c r="AC2" s="144"/>
      <c r="AD2" s="144"/>
      <c r="AE2" s="144"/>
      <c r="AF2" s="145"/>
      <c r="AG2" s="143"/>
      <c r="AH2" s="146"/>
      <c r="AI2" s="146"/>
      <c r="AJ2" s="147"/>
      <c r="AK2" s="7"/>
      <c r="AL2" s="7"/>
    </row>
    <row r="3" spans="1:38" ht="69.75" customHeight="1">
      <c r="A3" s="22" t="s">
        <v>10</v>
      </c>
      <c r="B3" s="25"/>
      <c r="C3" s="24"/>
      <c r="D3" s="24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26" t="s">
        <v>26</v>
      </c>
      <c r="AH3" s="36" t="s">
        <v>27</v>
      </c>
      <c r="AI3" s="36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46143</v>
      </c>
      <c r="B4" s="45" t="str">
        <f>IFERROR(VLOOKUP(A4, Feiertage!$B:$C, 2, 0), IF(OR(WEEKDAY(A4,2)=6, WEEKDAY(A4,2)=7), Feiertage!$C$23, ""))</f>
        <v/>
      </c>
      <c r="C4" s="113"/>
      <c r="D4" s="113"/>
      <c r="E4" s="45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41">
        <v>0</v>
      </c>
      <c r="S4" s="47">
        <f t="shared" ref="S4:S34" si="0">SUM(C4:Q4)</f>
        <v>0</v>
      </c>
      <c r="T4" s="47">
        <f t="shared" ref="T4:T34" si="1">S4-R4</f>
        <v>0</v>
      </c>
      <c r="U4" s="48">
        <f>U2+T4</f>
        <v>0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</v>
      </c>
      <c r="AH4" s="47">
        <f t="shared" ref="AH4:AH34" si="3">HOUR(AG4)</f>
        <v>0</v>
      </c>
      <c r="AI4" s="47">
        <f t="shared" ref="AI4:AI34" si="4">MINUTE(AG4)/60</f>
        <v>0</v>
      </c>
      <c r="AJ4" s="48">
        <f t="shared" ref="AJ4:AJ34" si="5">AH4+AI4</f>
        <v>0</v>
      </c>
      <c r="AL4" s="54">
        <f t="shared" ref="AL4:AL35" si="6">SUM(C4:Q4)-AJ4</f>
        <v>0</v>
      </c>
    </row>
    <row r="5" spans="1:38" ht="13.5" customHeight="1">
      <c r="A5" s="56">
        <f t="shared" ref="A5:A34" si="7">A4+1</f>
        <v>46144</v>
      </c>
      <c r="B5" s="59" t="str">
        <f>IFERROR(VLOOKUP(A5, Feiertage!$B:$C, 2, 0), IF(OR(WEEKDAY(A5,2)=6, WEEKDAY(A5,2)=7), Feiertage!$C$23, ""))</f>
        <v>* * * * * * * * Wochenende * * * * * * * * * * * * * * * * * * * * * * * * * * * * * * * * * * * * * * * * * * * * * * * *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0</v>
      </c>
      <c r="S5" s="62">
        <f t="shared" si="0"/>
        <v>0</v>
      </c>
      <c r="T5" s="62">
        <f t="shared" si="1"/>
        <v>0</v>
      </c>
      <c r="U5" s="63">
        <f t="shared" ref="U5:U34" si="8">U4+T5</f>
        <v>0</v>
      </c>
      <c r="V5" s="59"/>
      <c r="W5" s="64"/>
      <c r="X5" s="65">
        <f>V5+W5*Summen!$B$44</f>
        <v>0</v>
      </c>
      <c r="Y5" s="66"/>
      <c r="Z5" s="67"/>
      <c r="AA5" s="67"/>
      <c r="AB5" s="67"/>
      <c r="AC5" s="67"/>
      <c r="AD5" s="67"/>
      <c r="AE5" s="67"/>
      <c r="AF5" s="68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46145</v>
      </c>
      <c r="B6" s="45" t="str">
        <f>IFERROR(VLOOKUP(A6, Feiertage!$B:$C, 2, 0), IF(OR(WEEKDAY(A6,2)=6, WEEKDAY(A6,2)=7), Feiertage!$C$23, ""))</f>
        <v>* * * * * * * * Wochenende * * * * * * * * * * * * * * * * * * * * * * * * * * * * * * * * * * * * * * * * * * * * * * * *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0</v>
      </c>
      <c r="S6" s="62">
        <f t="shared" si="0"/>
        <v>0</v>
      </c>
      <c r="T6" s="62">
        <f t="shared" si="1"/>
        <v>0</v>
      </c>
      <c r="U6" s="63">
        <f t="shared" si="8"/>
        <v>0</v>
      </c>
      <c r="V6" s="45"/>
      <c r="W6" s="49"/>
      <c r="X6" s="65">
        <f>V6+W6*Summen!$B$44</f>
        <v>0</v>
      </c>
      <c r="Y6" s="72"/>
      <c r="Z6" s="73"/>
      <c r="AA6" s="73"/>
      <c r="AB6" s="73"/>
      <c r="AC6" s="73"/>
      <c r="AD6" s="73"/>
      <c r="AE6" s="73"/>
      <c r="AF6" s="74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46146</v>
      </c>
      <c r="B7" s="59" t="str">
        <f>IFERROR(VLOOKUP(A7, Feiertage!$B:$C, 2, 0), IF(OR(WEEKDAY(A7,2)=6, WEEKDAY(A7,2)=7), Feiertage!$C$23, ""))</f>
        <v/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v>0</v>
      </c>
      <c r="S7" s="62">
        <f t="shared" si="0"/>
        <v>0</v>
      </c>
      <c r="T7" s="62">
        <f t="shared" si="1"/>
        <v>0</v>
      </c>
      <c r="U7" s="63">
        <f t="shared" si="8"/>
        <v>0</v>
      </c>
      <c r="V7" s="59"/>
      <c r="W7" s="64"/>
      <c r="X7" s="65">
        <f>V7+W7*Summen!$B$44</f>
        <v>0</v>
      </c>
      <c r="Y7" s="66"/>
      <c r="Z7" s="67"/>
      <c r="AA7" s="67"/>
      <c r="AB7" s="67"/>
      <c r="AC7" s="67"/>
      <c r="AD7" s="67"/>
      <c r="AE7" s="67"/>
      <c r="AF7" s="68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46147</v>
      </c>
      <c r="B8" s="45" t="str">
        <f>IFERROR(VLOOKUP(A8, Feiertage!$B:$C, 2, 0), IF(OR(WEEKDAY(A8,2)=6, WEEKDAY(A8,2)=7), Feiertage!$C$23, ""))</f>
        <v/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v>0</v>
      </c>
      <c r="S8" s="62">
        <f t="shared" si="0"/>
        <v>0</v>
      </c>
      <c r="T8" s="62">
        <f t="shared" si="1"/>
        <v>0</v>
      </c>
      <c r="U8" s="63">
        <f t="shared" si="8"/>
        <v>0</v>
      </c>
      <c r="V8" s="45"/>
      <c r="W8" s="49"/>
      <c r="X8" s="65">
        <f>V8+W8*Summen!$B$44</f>
        <v>0</v>
      </c>
      <c r="Y8" s="72"/>
      <c r="Z8" s="73"/>
      <c r="AA8" s="73"/>
      <c r="AB8" s="73"/>
      <c r="AC8" s="73"/>
      <c r="AD8" s="73"/>
      <c r="AE8" s="73"/>
      <c r="AF8" s="74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46148</v>
      </c>
      <c r="B9" s="59" t="str">
        <f>IFERROR(VLOOKUP(A9, Feiertage!$B:$C, 2, 0), IF(OR(WEEKDAY(A9,2)=6, WEEKDAY(A9,2)=7), Feiertage!$C$23, ""))</f>
        <v/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v>0</v>
      </c>
      <c r="S9" s="62">
        <f t="shared" si="0"/>
        <v>0</v>
      </c>
      <c r="T9" s="62">
        <f t="shared" si="1"/>
        <v>0</v>
      </c>
      <c r="U9" s="63">
        <f t="shared" si="8"/>
        <v>0</v>
      </c>
      <c r="V9" s="59"/>
      <c r="W9" s="64"/>
      <c r="X9" s="65">
        <f>V9+W9*Summen!$B$44</f>
        <v>0</v>
      </c>
      <c r="Y9" s="66"/>
      <c r="Z9" s="67"/>
      <c r="AA9" s="67"/>
      <c r="AB9" s="67"/>
      <c r="AC9" s="67"/>
      <c r="AD9" s="67"/>
      <c r="AE9" s="67"/>
      <c r="AF9" s="68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46149</v>
      </c>
      <c r="B10" s="45" t="str">
        <f>IFERROR(VLOOKUP(A10, Feiertage!$B:$C, 2, 0), IF(OR(WEEKDAY(A10,2)=6, WEEKDAY(A10,2)=7), Feiertage!$C$23, ""))</f>
        <v/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v>0</v>
      </c>
      <c r="S10" s="62">
        <f t="shared" si="0"/>
        <v>0</v>
      </c>
      <c r="T10" s="62">
        <f t="shared" si="1"/>
        <v>0</v>
      </c>
      <c r="U10" s="63">
        <f t="shared" si="8"/>
        <v>0</v>
      </c>
      <c r="V10" s="45"/>
      <c r="W10" s="49"/>
      <c r="X10" s="65">
        <f>V10+W10*Summen!$B$44</f>
        <v>0</v>
      </c>
      <c r="Y10" s="72"/>
      <c r="Z10" s="73"/>
      <c r="AA10" s="73"/>
      <c r="AB10" s="73"/>
      <c r="AC10" s="73"/>
      <c r="AD10" s="73"/>
      <c r="AE10" s="73"/>
      <c r="AF10" s="74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46150</v>
      </c>
      <c r="B11" s="59" t="str">
        <f>IFERROR(VLOOKUP(A11, Feiertage!$B:$C, 2, 0), IF(OR(WEEKDAY(A11,2)=6, WEEKDAY(A11,2)=7), Feiertage!$C$23, ""))</f>
        <v/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v>0</v>
      </c>
      <c r="S11" s="62">
        <f t="shared" si="0"/>
        <v>0</v>
      </c>
      <c r="T11" s="62">
        <f t="shared" si="1"/>
        <v>0</v>
      </c>
      <c r="U11" s="63">
        <f t="shared" si="8"/>
        <v>0</v>
      </c>
      <c r="V11" s="59"/>
      <c r="W11" s="64"/>
      <c r="X11" s="65">
        <f>V11+W11*Summen!$B$44</f>
        <v>0</v>
      </c>
      <c r="Y11" s="66"/>
      <c r="Z11" s="67"/>
      <c r="AA11" s="67"/>
      <c r="AB11" s="67"/>
      <c r="AC11" s="67"/>
      <c r="AD11" s="67"/>
      <c r="AE11" s="67"/>
      <c r="AF11" s="68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46151</v>
      </c>
      <c r="B12" s="45" t="str">
        <f>IFERROR(VLOOKUP(A12, Feiertage!$B:$C, 2, 0), IF(OR(WEEKDAY(A12,2)=6, WEEKDAY(A12,2)=7), Feiertage!$C$23, ""))</f>
        <v>* * * * * * * * Wochenende * * * * * * * * * * * * * * * * * * * * * * * * * * * * * * * * * * * * * * * * * * * * * * * *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0</v>
      </c>
      <c r="S12" s="62">
        <f t="shared" si="0"/>
        <v>0</v>
      </c>
      <c r="T12" s="62">
        <f t="shared" si="1"/>
        <v>0</v>
      </c>
      <c r="U12" s="63">
        <f t="shared" si="8"/>
        <v>0</v>
      </c>
      <c r="V12" s="45"/>
      <c r="W12" s="49"/>
      <c r="X12" s="65">
        <f>V12+W12*Summen!$B$44</f>
        <v>0</v>
      </c>
      <c r="Y12" s="72"/>
      <c r="Z12" s="73"/>
      <c r="AA12" s="73"/>
      <c r="AB12" s="73"/>
      <c r="AC12" s="73"/>
      <c r="AD12" s="73"/>
      <c r="AE12" s="73"/>
      <c r="AF12" s="74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46152</v>
      </c>
      <c r="B13" s="59" t="str">
        <f>IFERROR(VLOOKUP(A13, Feiertage!$B:$C, 2, 0), IF(OR(WEEKDAY(A13,2)=6, WEEKDAY(A13,2)=7), Feiertage!$C$23, ""))</f>
        <v>* * * * * * * * Wochenende * * * * * * * * * * * * * * * * * * * * * * * * * * * * * * * * * * * * * * * * * * * * * * * *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0</v>
      </c>
      <c r="S13" s="62">
        <f t="shared" si="0"/>
        <v>0</v>
      </c>
      <c r="T13" s="62">
        <f t="shared" si="1"/>
        <v>0</v>
      </c>
      <c r="U13" s="63">
        <f t="shared" si="8"/>
        <v>0</v>
      </c>
      <c r="V13" s="59"/>
      <c r="W13" s="64"/>
      <c r="X13" s="65">
        <f>V13+W13*Summen!$B$44</f>
        <v>0</v>
      </c>
      <c r="Y13" s="66"/>
      <c r="Z13" s="67"/>
      <c r="AA13" s="67"/>
      <c r="AB13" s="67"/>
      <c r="AC13" s="67"/>
      <c r="AD13" s="67"/>
      <c r="AE13" s="67"/>
      <c r="AF13" s="68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46153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v>0</v>
      </c>
      <c r="S14" s="62">
        <f t="shared" si="0"/>
        <v>0</v>
      </c>
      <c r="T14" s="62">
        <f t="shared" si="1"/>
        <v>0</v>
      </c>
      <c r="U14" s="63">
        <f t="shared" si="8"/>
        <v>0</v>
      </c>
      <c r="V14" s="45"/>
      <c r="W14" s="49"/>
      <c r="X14" s="65">
        <f>V14+W14*Summen!$B$44</f>
        <v>0</v>
      </c>
      <c r="Y14" s="72"/>
      <c r="Z14" s="73"/>
      <c r="AA14" s="73"/>
      <c r="AB14" s="73"/>
      <c r="AC14" s="73"/>
      <c r="AD14" s="73"/>
      <c r="AE14" s="73"/>
      <c r="AF14" s="74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46154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v>0</v>
      </c>
      <c r="S15" s="62">
        <f t="shared" si="0"/>
        <v>0</v>
      </c>
      <c r="T15" s="62">
        <f t="shared" si="1"/>
        <v>0</v>
      </c>
      <c r="U15" s="63">
        <f t="shared" si="8"/>
        <v>0</v>
      </c>
      <c r="V15" s="59"/>
      <c r="W15" s="64"/>
      <c r="X15" s="65">
        <f>V15+W15*Summen!$B$44</f>
        <v>0</v>
      </c>
      <c r="Y15" s="66"/>
      <c r="Z15" s="67"/>
      <c r="AA15" s="67"/>
      <c r="AB15" s="67"/>
      <c r="AC15" s="67"/>
      <c r="AD15" s="67"/>
      <c r="AE15" s="67"/>
      <c r="AF15" s="68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46155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v>0</v>
      </c>
      <c r="S16" s="62">
        <f t="shared" si="0"/>
        <v>0</v>
      </c>
      <c r="T16" s="62">
        <f t="shared" si="1"/>
        <v>0</v>
      </c>
      <c r="U16" s="63">
        <f t="shared" si="8"/>
        <v>0</v>
      </c>
      <c r="V16" s="45"/>
      <c r="W16" s="49"/>
      <c r="X16" s="65">
        <f>V16+W16*Summen!$B$44</f>
        <v>0</v>
      </c>
      <c r="Y16" s="72"/>
      <c r="Z16" s="73"/>
      <c r="AA16" s="73"/>
      <c r="AB16" s="73"/>
      <c r="AC16" s="73"/>
      <c r="AD16" s="73"/>
      <c r="AE16" s="73"/>
      <c r="AF16" s="74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46156</v>
      </c>
      <c r="B17" s="59" t="str">
        <f>IFERROR(VLOOKUP(A17, Feiertage!$B:$C, 2, 0), IF(OR(WEEKDAY(A17,2)=6, WEEKDAY(A17,2)=7), Feiertage!$C$23, ""))</f>
        <v>* * * * * * * * Auffahrt * * * * * * * * * * * * * * * * * * * * * * * * * * * * * * * * * * * * * * * * * * * * * * * * * * * *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0</v>
      </c>
      <c r="S17" s="62">
        <f t="shared" si="0"/>
        <v>0</v>
      </c>
      <c r="T17" s="62">
        <f t="shared" si="1"/>
        <v>0</v>
      </c>
      <c r="U17" s="63">
        <f t="shared" si="8"/>
        <v>0</v>
      </c>
      <c r="V17" s="59"/>
      <c r="W17" s="64"/>
      <c r="X17" s="65">
        <f>V17+W17*Summen!$B$44</f>
        <v>0</v>
      </c>
      <c r="Y17" s="66"/>
      <c r="Z17" s="67"/>
      <c r="AA17" s="67"/>
      <c r="AB17" s="67"/>
      <c r="AC17" s="67"/>
      <c r="AD17" s="67"/>
      <c r="AE17" s="67"/>
      <c r="AF17" s="68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46157</v>
      </c>
      <c r="B18" s="45" t="str">
        <f>IFERROR(VLOOKUP(A18, Feiertage!$B:$C, 2, 0), IF(OR(WEEKDAY(A18,2)=6, WEEKDAY(A18,2)=7), Feiertage!$C$23, ""))</f>
        <v/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v>0</v>
      </c>
      <c r="S18" s="62">
        <f t="shared" si="0"/>
        <v>0</v>
      </c>
      <c r="T18" s="62">
        <f t="shared" si="1"/>
        <v>0</v>
      </c>
      <c r="U18" s="63">
        <f t="shared" si="8"/>
        <v>0</v>
      </c>
      <c r="V18" s="45"/>
      <c r="W18" s="49"/>
      <c r="X18" s="65">
        <f>V18+W18*Summen!$B$44</f>
        <v>0</v>
      </c>
      <c r="Y18" s="72"/>
      <c r="Z18" s="73"/>
      <c r="AA18" s="73"/>
      <c r="AB18" s="73"/>
      <c r="AC18" s="73"/>
      <c r="AD18" s="73"/>
      <c r="AE18" s="73"/>
      <c r="AF18" s="74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46158</v>
      </c>
      <c r="B19" s="59" t="str">
        <f>IFERROR(VLOOKUP(A19, Feiertage!$B:$C, 2, 0), IF(OR(WEEKDAY(A19,2)=6, WEEKDAY(A19,2)=7), Feiertage!$C$23, ""))</f>
        <v>* * * * * * * * Wochenende * * * * * * * * * * * * * * * * * * * * * * * * * * * * * * * * * * * * * * * * * * * * * * * *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0</v>
      </c>
      <c r="S19" s="62">
        <f t="shared" si="0"/>
        <v>0</v>
      </c>
      <c r="T19" s="62">
        <f t="shared" si="1"/>
        <v>0</v>
      </c>
      <c r="U19" s="63">
        <f t="shared" si="8"/>
        <v>0</v>
      </c>
      <c r="V19" s="59"/>
      <c r="W19" s="64"/>
      <c r="X19" s="65">
        <f>V19+W19*Summen!$B$44</f>
        <v>0</v>
      </c>
      <c r="Y19" s="66"/>
      <c r="Z19" s="67"/>
      <c r="AA19" s="67"/>
      <c r="AB19" s="67"/>
      <c r="AC19" s="67"/>
      <c r="AD19" s="67"/>
      <c r="AE19" s="67"/>
      <c r="AF19" s="68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46159</v>
      </c>
      <c r="B20" s="45" t="str">
        <f>IFERROR(VLOOKUP(A20, Feiertage!$B:$C, 2, 0), IF(OR(WEEKDAY(A20,2)=6, WEEKDAY(A20,2)=7), Feiertage!$C$23, ""))</f>
        <v>* * * * * * * * Wochenende * * * * * * * * * * * * * * * * * * * * * * * * * * * * * * * * * * * * * * * * * * * * * * * *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0</v>
      </c>
      <c r="S20" s="62">
        <f t="shared" si="0"/>
        <v>0</v>
      </c>
      <c r="T20" s="62">
        <f t="shared" si="1"/>
        <v>0</v>
      </c>
      <c r="U20" s="63">
        <f t="shared" si="8"/>
        <v>0</v>
      </c>
      <c r="V20" s="45"/>
      <c r="W20" s="49"/>
      <c r="X20" s="65">
        <f>V20+W20*Summen!$B$44</f>
        <v>0</v>
      </c>
      <c r="Y20" s="72"/>
      <c r="Z20" s="73"/>
      <c r="AA20" s="73"/>
      <c r="AB20" s="73"/>
      <c r="AC20" s="73"/>
      <c r="AD20" s="73"/>
      <c r="AE20" s="73"/>
      <c r="AF20" s="74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46160</v>
      </c>
      <c r="B21" s="59" t="str">
        <f>IFERROR(VLOOKUP(A21, Feiertage!$B:$C, 2, 0), IF(OR(WEEKDAY(A21,2)=6, WEEKDAY(A21,2)=7), Feiertage!$C$23, ""))</f>
        <v/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v>0</v>
      </c>
      <c r="S21" s="62">
        <f t="shared" si="0"/>
        <v>0</v>
      </c>
      <c r="T21" s="62">
        <f t="shared" si="1"/>
        <v>0</v>
      </c>
      <c r="U21" s="63">
        <f t="shared" si="8"/>
        <v>0</v>
      </c>
      <c r="V21" s="59"/>
      <c r="W21" s="64"/>
      <c r="X21" s="65">
        <f>V21+W21*Summen!$B$44</f>
        <v>0</v>
      </c>
      <c r="Y21" s="66"/>
      <c r="Z21" s="67"/>
      <c r="AA21" s="67"/>
      <c r="AB21" s="67"/>
      <c r="AC21" s="67"/>
      <c r="AD21" s="67"/>
      <c r="AE21" s="67"/>
      <c r="AF21" s="68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46161</v>
      </c>
      <c r="B22" s="45" t="str">
        <f>IFERROR(VLOOKUP(A22, Feiertage!$B:$C, 2, 0), IF(OR(WEEKDAY(A22,2)=6, WEEKDAY(A22,2)=7), Feiertage!$C$23, ""))</f>
        <v/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v>0</v>
      </c>
      <c r="S22" s="62">
        <f t="shared" si="0"/>
        <v>0</v>
      </c>
      <c r="T22" s="62">
        <f t="shared" si="1"/>
        <v>0</v>
      </c>
      <c r="U22" s="63">
        <f t="shared" si="8"/>
        <v>0</v>
      </c>
      <c r="V22" s="45"/>
      <c r="W22" s="49"/>
      <c r="X22" s="65">
        <f>V22+W22*Summen!$B$44</f>
        <v>0</v>
      </c>
      <c r="Y22" s="72"/>
      <c r="Z22" s="73"/>
      <c r="AA22" s="73"/>
      <c r="AB22" s="73"/>
      <c r="AC22" s="73"/>
      <c r="AD22" s="73"/>
      <c r="AE22" s="73"/>
      <c r="AF22" s="74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46162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v>0</v>
      </c>
      <c r="S23" s="62">
        <f t="shared" si="0"/>
        <v>0</v>
      </c>
      <c r="T23" s="62">
        <f t="shared" si="1"/>
        <v>0</v>
      </c>
      <c r="U23" s="63">
        <f t="shared" si="8"/>
        <v>0</v>
      </c>
      <c r="V23" s="59"/>
      <c r="W23" s="64"/>
      <c r="X23" s="65">
        <f>V23+W23*Summen!$B$44</f>
        <v>0</v>
      </c>
      <c r="Y23" s="66"/>
      <c r="Z23" s="67"/>
      <c r="AA23" s="67"/>
      <c r="AB23" s="67"/>
      <c r="AC23" s="67"/>
      <c r="AD23" s="67"/>
      <c r="AE23" s="67"/>
      <c r="AF23" s="68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46163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v>0</v>
      </c>
      <c r="S24" s="62">
        <f t="shared" si="0"/>
        <v>0</v>
      </c>
      <c r="T24" s="62">
        <f t="shared" si="1"/>
        <v>0</v>
      </c>
      <c r="U24" s="63">
        <f t="shared" si="8"/>
        <v>0</v>
      </c>
      <c r="V24" s="45"/>
      <c r="W24" s="49"/>
      <c r="X24" s="65">
        <f>V24+W24*Summen!$B$44</f>
        <v>0</v>
      </c>
      <c r="Y24" s="72"/>
      <c r="Z24" s="73"/>
      <c r="AA24" s="73"/>
      <c r="AB24" s="73"/>
      <c r="AC24" s="73"/>
      <c r="AD24" s="73"/>
      <c r="AE24" s="73"/>
      <c r="AF24" s="74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46164</v>
      </c>
      <c r="B25" s="59" t="str">
        <f>IFERROR(VLOOKUP(A25, Feiertage!$B:$C, 2, 0), IF(OR(WEEKDAY(A25,2)=6, WEEKDAY(A25,2)=7), Feiertage!$C$23, ""))</f>
        <v/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v>0</v>
      </c>
      <c r="S25" s="62">
        <f t="shared" si="0"/>
        <v>0</v>
      </c>
      <c r="T25" s="62">
        <f t="shared" si="1"/>
        <v>0</v>
      </c>
      <c r="U25" s="63">
        <f t="shared" si="8"/>
        <v>0</v>
      </c>
      <c r="V25" s="59"/>
      <c r="W25" s="64"/>
      <c r="X25" s="65">
        <f>V25+W25*Summen!$B$44</f>
        <v>0</v>
      </c>
      <c r="Y25" s="66"/>
      <c r="Z25" s="67"/>
      <c r="AA25" s="67"/>
      <c r="AB25" s="67"/>
      <c r="AC25" s="67"/>
      <c r="AD25" s="67"/>
      <c r="AE25" s="67"/>
      <c r="AF25" s="68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46165</v>
      </c>
      <c r="B26" s="45" t="str">
        <f>IFERROR(VLOOKUP(A26, Feiertage!$B:$C, 2, 0), IF(OR(WEEKDAY(A26,2)=6, WEEKDAY(A26,2)=7), Feiertage!$C$23, ""))</f>
        <v>* * * * * * * * Wochenende * * * * * * * * * * * * * * * * * * * * * * * * * * * * * * * * * * * * * * * * * * * * * * * *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0</v>
      </c>
      <c r="S26" s="62">
        <f t="shared" si="0"/>
        <v>0</v>
      </c>
      <c r="T26" s="62">
        <f t="shared" si="1"/>
        <v>0</v>
      </c>
      <c r="U26" s="63">
        <f t="shared" si="8"/>
        <v>0</v>
      </c>
      <c r="V26" s="45"/>
      <c r="W26" s="49"/>
      <c r="X26" s="65">
        <f>V26+W26*Summen!$B$44</f>
        <v>0</v>
      </c>
      <c r="Y26" s="72"/>
      <c r="Z26" s="73"/>
      <c r="AA26" s="73"/>
      <c r="AB26" s="73"/>
      <c r="AC26" s="73"/>
      <c r="AD26" s="73"/>
      <c r="AE26" s="73"/>
      <c r="AF26" s="74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46166</v>
      </c>
      <c r="B27" s="59" t="str">
        <f>IFERROR(VLOOKUP(A27, Feiertage!$B:$C, 2, 0), IF(OR(WEEKDAY(A27,2)=6, WEEKDAY(A27,2)=7), Feiertage!$C$23, ""))</f>
        <v>* * * * * * * * Wochenende * * * * * * * * * * * * * * * * * * * * * * * * * * * * * * * * * * * * * * * * * * * * * * * *</v>
      </c>
      <c r="C27" s="59"/>
      <c r="D27" s="148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0</v>
      </c>
      <c r="S27" s="62">
        <f t="shared" si="0"/>
        <v>0</v>
      </c>
      <c r="T27" s="62">
        <f t="shared" si="1"/>
        <v>0</v>
      </c>
      <c r="U27" s="63">
        <f t="shared" si="8"/>
        <v>0</v>
      </c>
      <c r="V27" s="59"/>
      <c r="W27" s="64"/>
      <c r="X27" s="65">
        <f>V27+W27*Summen!$B$44</f>
        <v>0</v>
      </c>
      <c r="Y27" s="66"/>
      <c r="Z27" s="67"/>
      <c r="AA27" s="67"/>
      <c r="AB27" s="67"/>
      <c r="AC27" s="67"/>
      <c r="AD27" s="67"/>
      <c r="AE27" s="67"/>
      <c r="AF27" s="68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46167</v>
      </c>
      <c r="B28" s="45" t="str">
        <f>IFERROR(VLOOKUP(A28, Feiertage!$B:$C, 2, 0), IF(OR(WEEKDAY(A28,2)=6, WEEKDAY(A28,2)=7), Feiertage!$C$23, ""))</f>
        <v>* * * * * * * * Pfingstmontag * * * * * * * * * * * * * * * * * * * * * * * * * * * * * * * * * * * * * * * * * * * * * * *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v>0</v>
      </c>
      <c r="S28" s="62">
        <f t="shared" si="0"/>
        <v>0</v>
      </c>
      <c r="T28" s="62">
        <f t="shared" si="1"/>
        <v>0</v>
      </c>
      <c r="U28" s="63">
        <f t="shared" si="8"/>
        <v>0</v>
      </c>
      <c r="V28" s="45"/>
      <c r="W28" s="49"/>
      <c r="X28" s="65">
        <f>V28+W28*Summen!$B$44</f>
        <v>0</v>
      </c>
      <c r="Y28" s="72"/>
      <c r="Z28" s="73"/>
      <c r="AA28" s="73"/>
      <c r="AB28" s="73"/>
      <c r="AC28" s="73"/>
      <c r="AD28" s="73"/>
      <c r="AE28" s="73"/>
      <c r="AF28" s="74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46168</v>
      </c>
      <c r="B29" s="59" t="str">
        <f>IFERROR(VLOOKUP(A29, Feiertage!$B:$C, 2, 0), IF(OR(WEEKDAY(A29,2)=6, WEEKDAY(A29,2)=7), Feiertage!$C$23, ""))</f>
        <v/>
      </c>
      <c r="C29" s="59"/>
      <c r="D29" s="148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v>0</v>
      </c>
      <c r="S29" s="62">
        <f t="shared" si="0"/>
        <v>0</v>
      </c>
      <c r="T29" s="62">
        <f t="shared" si="1"/>
        <v>0</v>
      </c>
      <c r="U29" s="63">
        <f t="shared" si="8"/>
        <v>0</v>
      </c>
      <c r="V29" s="59"/>
      <c r="W29" s="64"/>
      <c r="X29" s="65">
        <f>V29+W29*Summen!$B$44</f>
        <v>0</v>
      </c>
      <c r="Y29" s="66"/>
      <c r="Z29" s="67"/>
      <c r="AA29" s="67"/>
      <c r="AB29" s="67"/>
      <c r="AC29" s="67"/>
      <c r="AD29" s="67"/>
      <c r="AE29" s="67"/>
      <c r="AF29" s="68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46169</v>
      </c>
      <c r="B30" s="45" t="str">
        <f>IFERROR(VLOOKUP(A30, Feiertage!$B:$C, 2, 0), IF(OR(WEEKDAY(A30,2)=6, WEEKDAY(A30,2)=7), Feiertage!$C$23, ""))</f>
        <v/>
      </c>
      <c r="C30" s="149"/>
      <c r="D30" s="150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46"/>
      <c r="R30" s="61">
        <v>0</v>
      </c>
      <c r="S30" s="62">
        <f t="shared" si="0"/>
        <v>0</v>
      </c>
      <c r="T30" s="62">
        <f t="shared" si="1"/>
        <v>0</v>
      </c>
      <c r="U30" s="63">
        <f t="shared" si="8"/>
        <v>0</v>
      </c>
      <c r="V30" s="45"/>
      <c r="W30" s="49"/>
      <c r="X30" s="65">
        <f>V30+W30*Summen!$B$44</f>
        <v>0</v>
      </c>
      <c r="Y30" s="72"/>
      <c r="Z30" s="73"/>
      <c r="AA30" s="73"/>
      <c r="AB30" s="73"/>
      <c r="AC30" s="73"/>
      <c r="AD30" s="73"/>
      <c r="AE30" s="73"/>
      <c r="AF30" s="74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46170</v>
      </c>
      <c r="B31" s="59" t="str">
        <f>IFERROR(VLOOKUP(A31, Feiertage!$B:$C, 2, 0), IF(OR(WEEKDAY(A31,2)=6, WEEKDAY(A31,2)=7), Feiertage!$C$23, ""))</f>
        <v/>
      </c>
      <c r="C31" s="127"/>
      <c r="D31" s="151"/>
      <c r="E31" s="7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v>0</v>
      </c>
      <c r="S31" s="62">
        <f t="shared" si="0"/>
        <v>0</v>
      </c>
      <c r="T31" s="62">
        <f t="shared" si="1"/>
        <v>0</v>
      </c>
      <c r="U31" s="63">
        <f t="shared" si="8"/>
        <v>0</v>
      </c>
      <c r="V31" s="59"/>
      <c r="W31" s="64"/>
      <c r="X31" s="65">
        <f>V31+W31*Summen!$B$44</f>
        <v>0</v>
      </c>
      <c r="Y31" s="66"/>
      <c r="Z31" s="67"/>
      <c r="AA31" s="67"/>
      <c r="AB31" s="67"/>
      <c r="AC31" s="67"/>
      <c r="AD31" s="67"/>
      <c r="AE31" s="67"/>
      <c r="AF31" s="68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46171</v>
      </c>
      <c r="B32" s="45" t="str">
        <f>IFERROR(VLOOKUP(A32, Feiertage!$B:$C, 2, 0), IF(OR(WEEKDAY(A32,2)=6, WEEKDAY(A32,2)=7), Feiertage!$C$23, ""))</f>
        <v/>
      </c>
      <c r="C32" s="149"/>
      <c r="D32" s="150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46"/>
      <c r="R32" s="61">
        <v>0</v>
      </c>
      <c r="S32" s="62">
        <f t="shared" si="0"/>
        <v>0</v>
      </c>
      <c r="T32" s="62">
        <f t="shared" si="1"/>
        <v>0</v>
      </c>
      <c r="U32" s="63">
        <f t="shared" si="8"/>
        <v>0</v>
      </c>
      <c r="V32" s="45"/>
      <c r="W32" s="49"/>
      <c r="X32" s="65">
        <f>V32+W32*Summen!$B$44</f>
        <v>0</v>
      </c>
      <c r="Y32" s="72"/>
      <c r="Z32" s="73"/>
      <c r="AA32" s="73"/>
      <c r="AB32" s="73"/>
      <c r="AC32" s="73"/>
      <c r="AD32" s="73"/>
      <c r="AE32" s="73"/>
      <c r="AF32" s="74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56">
        <f t="shared" si="7"/>
        <v>46172</v>
      </c>
      <c r="B33" s="59" t="str">
        <f>IFERROR(VLOOKUP(A33, Feiertage!$B:$C, 2, 0), IF(OR(WEEKDAY(A33,2)=6, WEEKDAY(A33,2)=7), Feiertage!$C$23, ""))</f>
        <v>* * * * * * * * Wochenende * * * * * * * * * * * * * * * * * * * * * * * * * * * * * * * * * * * * * * * * * * * * * * * *</v>
      </c>
      <c r="C33" s="127"/>
      <c r="D33" s="151"/>
      <c r="E33" s="7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0</v>
      </c>
      <c r="S33" s="62">
        <f t="shared" si="0"/>
        <v>0</v>
      </c>
      <c r="T33" s="62">
        <f t="shared" si="1"/>
        <v>0</v>
      </c>
      <c r="U33" s="63">
        <f t="shared" si="8"/>
        <v>0</v>
      </c>
      <c r="V33" s="59"/>
      <c r="W33" s="64"/>
      <c r="X33" s="65">
        <f>V33+W33*Summen!$B$44</f>
        <v>0</v>
      </c>
      <c r="Y33" s="66"/>
      <c r="Z33" s="67"/>
      <c r="AA33" s="67"/>
      <c r="AB33" s="67"/>
      <c r="AC33" s="67"/>
      <c r="AD33" s="67"/>
      <c r="AE33" s="67"/>
      <c r="AF33" s="68"/>
      <c r="AG33" s="69">
        <f t="shared" si="2"/>
        <v>0</v>
      </c>
      <c r="AH33" s="62">
        <f t="shared" si="3"/>
        <v>0</v>
      </c>
      <c r="AI33" s="62">
        <f t="shared" si="4"/>
        <v>0</v>
      </c>
      <c r="AJ33" s="63">
        <f t="shared" si="5"/>
        <v>0</v>
      </c>
      <c r="AL33" s="54">
        <f t="shared" si="6"/>
        <v>0</v>
      </c>
    </row>
    <row r="34" spans="1:38" ht="13.5" customHeight="1">
      <c r="A34" s="80">
        <f t="shared" si="7"/>
        <v>46173</v>
      </c>
      <c r="B34" s="45" t="str">
        <f>IFERROR(VLOOKUP(A34, Feiertage!$B:$C, 2, 0), IF(OR(WEEKDAY(A34,2)=6, WEEKDAY(A34,2)=7), Feiertage!$C$23, ""))</f>
        <v>* * * * * * * * Wochenende * * * * * * * * * * * * * * * * * * * * * * * * * * * * * * * * * * * * * * * * * * * * * * * *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6"/>
      <c r="R34" s="61">
        <f>IF(OR(WEEKDAY(A34,2)=6,WEEKDAY(A34,2)=7),0,IFERROR(IF(VLOOKUP(A34,Feiertage!$B:$D,3,0)="ja",0,Summen!$B$9),Summen!$B$9))</f>
        <v>0</v>
      </c>
      <c r="S34" s="84">
        <f t="shared" si="0"/>
        <v>0</v>
      </c>
      <c r="T34" s="84">
        <f t="shared" si="1"/>
        <v>0</v>
      </c>
      <c r="U34" s="85">
        <f t="shared" si="8"/>
        <v>0</v>
      </c>
      <c r="V34" s="45"/>
      <c r="W34" s="49"/>
      <c r="X34" s="65">
        <f>V34+W34*Summen!$B$44</f>
        <v>0</v>
      </c>
      <c r="Y34" s="51"/>
      <c r="Z34" s="52"/>
      <c r="AA34" s="52"/>
      <c r="AB34" s="52"/>
      <c r="AC34" s="52"/>
      <c r="AD34" s="52"/>
      <c r="AE34" s="52"/>
      <c r="AF34" s="52"/>
      <c r="AG34" s="86">
        <f t="shared" si="2"/>
        <v>0</v>
      </c>
      <c r="AH34" s="84">
        <f t="shared" si="3"/>
        <v>0</v>
      </c>
      <c r="AI34" s="84">
        <f t="shared" si="4"/>
        <v>0</v>
      </c>
      <c r="AJ34" s="85">
        <f t="shared" si="5"/>
        <v>0</v>
      </c>
      <c r="AL34" s="54">
        <f t="shared" si="6"/>
        <v>0</v>
      </c>
    </row>
    <row r="35" spans="1:38" ht="18" customHeight="1">
      <c r="A35" s="87" t="s">
        <v>31</v>
      </c>
      <c r="B35" s="142"/>
      <c r="C35" s="88">
        <f t="shared" ref="C35:T35" si="9">SUM(C4:C34)</f>
        <v>0</v>
      </c>
      <c r="D35" s="88">
        <f t="shared" si="9"/>
        <v>0</v>
      </c>
      <c r="E35" s="88">
        <f t="shared" si="9"/>
        <v>0</v>
      </c>
      <c r="F35" s="88">
        <f t="shared" si="9"/>
        <v>0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0</v>
      </c>
      <c r="L35" s="88">
        <f t="shared" si="9"/>
        <v>0</v>
      </c>
      <c r="M35" s="88">
        <f t="shared" si="9"/>
        <v>0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0</v>
      </c>
      <c r="S35" s="91">
        <f t="shared" si="9"/>
        <v>0</v>
      </c>
      <c r="T35" s="91">
        <f t="shared" si="9"/>
        <v>0</v>
      </c>
      <c r="U35" s="92">
        <f>U34</f>
        <v>0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135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92">
        <f>SUM(AJ4:AJ34)</f>
        <v>0</v>
      </c>
      <c r="AL35" s="54">
        <f t="shared" si="6"/>
        <v>0</v>
      </c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L40" s="7"/>
    </row>
    <row r="41" spans="1:38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L41" s="7"/>
    </row>
    <row r="42" spans="1:38" ht="12.75" customHeight="1">
      <c r="A42" s="99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L42" s="7"/>
    </row>
    <row r="43" spans="1:38" ht="12.75" customHeight="1">
      <c r="A43" s="99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L43" s="7"/>
    </row>
    <row r="44" spans="1:38" ht="12.75" customHeight="1">
      <c r="A44" s="99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L44" s="7"/>
    </row>
    <row r="45" spans="1:38" ht="12.75" customHeight="1">
      <c r="A45" s="99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L45" s="7"/>
    </row>
    <row r="46" spans="1:38" ht="12.75" customHeight="1">
      <c r="A46" s="99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L46" s="7"/>
    </row>
    <row r="47" spans="1:38" ht="12.75" customHeight="1">
      <c r="A47" s="99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L47" s="7"/>
    </row>
    <row r="48" spans="1:38" ht="12.75" customHeight="1">
      <c r="A48" s="99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L48" s="7"/>
    </row>
    <row r="49" spans="1:38" ht="12.75" customHeight="1">
      <c r="A49" s="99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L49" s="7"/>
    </row>
    <row r="50" spans="1:38" ht="12.75" customHeight="1">
      <c r="A50" s="99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L50" s="7"/>
    </row>
    <row r="51" spans="1:38" ht="12.75" customHeight="1">
      <c r="A51" s="99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L51" s="7"/>
    </row>
    <row r="52" spans="1:38" ht="12.75" customHeight="1">
      <c r="A52" s="99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L52" s="7"/>
    </row>
    <row r="53" spans="1:38" ht="12.75" customHeight="1">
      <c r="A53" s="99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L53" s="7"/>
    </row>
    <row r="54" spans="1:38" ht="12.75" customHeight="1">
      <c r="A54" s="99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L54" s="7"/>
    </row>
    <row r="55" spans="1:38" ht="12.75" customHeight="1">
      <c r="A55" s="99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L55" s="7"/>
    </row>
    <row r="56" spans="1:38" ht="12.75" customHeight="1">
      <c r="A56" s="99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L56" s="7"/>
    </row>
    <row r="57" spans="1:38" ht="12.75" customHeight="1">
      <c r="A57" s="99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L57" s="7"/>
    </row>
    <row r="58" spans="1:38" ht="12.75" customHeight="1">
      <c r="A58" s="99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L58" s="7"/>
    </row>
    <row r="59" spans="1:38" ht="12.75" customHeight="1">
      <c r="A59" s="99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L59" s="7"/>
    </row>
    <row r="60" spans="1:38" ht="12.75" customHeight="1">
      <c r="A60" s="99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L60" s="7"/>
    </row>
    <row r="61" spans="1:38" ht="12.75" customHeight="1">
      <c r="A61" s="99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L61" s="7"/>
    </row>
    <row r="62" spans="1:38" ht="12.75" customHeight="1">
      <c r="A62" s="99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L62" s="7"/>
    </row>
    <row r="63" spans="1:38" ht="12.75" customHeight="1">
      <c r="A63" s="99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L63" s="7"/>
    </row>
    <row r="64" spans="1:38" ht="12.75" customHeight="1">
      <c r="A64" s="99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L64" s="7"/>
    </row>
    <row r="65" spans="1:38" ht="12.75" customHeight="1">
      <c r="A65" s="99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L65" s="7"/>
    </row>
    <row r="66" spans="1:38" ht="12.75" customHeight="1">
      <c r="A66" s="99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L66" s="7"/>
    </row>
    <row r="67" spans="1:38" ht="12.75" customHeight="1">
      <c r="A67" s="99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L67" s="7"/>
    </row>
    <row r="68" spans="1:38" ht="12.75" customHeight="1">
      <c r="A68" s="99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L68" s="7"/>
    </row>
    <row r="69" spans="1:38" ht="12.75" customHeight="1">
      <c r="A69" s="99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L69" s="7"/>
    </row>
    <row r="70" spans="1:38" ht="12.75" customHeight="1">
      <c r="A70" s="99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L70" s="7"/>
    </row>
    <row r="71" spans="1:38" ht="12.75" customHeight="1">
      <c r="A71" s="99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L71" s="7"/>
    </row>
    <row r="72" spans="1:38" ht="12.75" customHeight="1">
      <c r="A72" s="99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L72" s="7"/>
    </row>
    <row r="73" spans="1:38" ht="12.75" customHeight="1">
      <c r="A73" s="99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L73" s="7"/>
    </row>
    <row r="74" spans="1:38" ht="12.75" customHeight="1">
      <c r="A74" s="99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L74" s="7"/>
    </row>
    <row r="75" spans="1:38" ht="12.75" customHeight="1">
      <c r="A75" s="99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L75" s="7"/>
    </row>
    <row r="76" spans="1:38" ht="12.75" customHeight="1">
      <c r="A76" s="99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L76" s="7"/>
    </row>
    <row r="77" spans="1:38" ht="12.75" customHeight="1">
      <c r="A77" s="99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L77" s="7"/>
    </row>
    <row r="78" spans="1:38" ht="12.75" customHeight="1">
      <c r="A78" s="99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L78" s="7"/>
    </row>
    <row r="79" spans="1:38" ht="12.75" customHeight="1">
      <c r="A79" s="99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L79" s="7"/>
    </row>
    <row r="80" spans="1:38" ht="12.75" customHeight="1">
      <c r="A80" s="99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L80" s="7"/>
    </row>
    <row r="81" spans="1:38" ht="12.75" customHeight="1">
      <c r="A81" s="99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L81" s="7"/>
    </row>
    <row r="82" spans="1:38" ht="12.75" customHeight="1">
      <c r="A82" s="99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L82" s="7"/>
    </row>
    <row r="83" spans="1:38" ht="12.75" customHeight="1">
      <c r="A83" s="99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L83" s="7"/>
    </row>
    <row r="84" spans="1:38" ht="12.75" customHeight="1">
      <c r="A84" s="99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L84" s="7"/>
    </row>
    <row r="85" spans="1:38" ht="12.75" customHeight="1">
      <c r="A85" s="99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L85" s="7"/>
    </row>
    <row r="86" spans="1:38" ht="12.75" customHeight="1">
      <c r="A86" s="99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L86" s="7"/>
    </row>
    <row r="87" spans="1:38" ht="12.75" customHeight="1">
      <c r="A87" s="99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L87" s="7"/>
    </row>
    <row r="88" spans="1:38" ht="12.75" customHeight="1">
      <c r="A88" s="99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L88" s="7"/>
    </row>
    <row r="89" spans="1:38" ht="12.75" customHeight="1">
      <c r="A89" s="99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L89" s="7"/>
    </row>
    <row r="90" spans="1:38" ht="12.75" customHeight="1">
      <c r="A90" s="99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L90" s="7"/>
    </row>
    <row r="91" spans="1:38" ht="12.75" customHeight="1">
      <c r="A91" s="99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L91" s="7"/>
    </row>
    <row r="92" spans="1:38" ht="12.75" customHeight="1">
      <c r="A92" s="99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L92" s="7"/>
    </row>
    <row r="93" spans="1:38" ht="12.75" customHeight="1">
      <c r="A93" s="99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L93" s="7"/>
    </row>
    <row r="94" spans="1:38" ht="12.75" customHeight="1">
      <c r="A94" s="99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L94" s="7"/>
    </row>
    <row r="95" spans="1:38" ht="12.75" customHeight="1">
      <c r="A95" s="99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L95" s="7"/>
    </row>
    <row r="96" spans="1:38" ht="12.75" customHeight="1">
      <c r="A96" s="99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L96" s="7"/>
    </row>
    <row r="97" spans="1:38" ht="12.75" customHeight="1">
      <c r="A97" s="99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L97" s="7"/>
    </row>
    <row r="98" spans="1:38" ht="12.75" customHeight="1">
      <c r="A98" s="99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L98" s="7"/>
    </row>
    <row r="99" spans="1:38" ht="12.75" customHeight="1">
      <c r="A99" s="99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L99" s="7"/>
    </row>
    <row r="100" spans="1:38" ht="12.75" customHeight="1">
      <c r="A100" s="99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L100" s="7"/>
    </row>
    <row r="101" spans="1:38" ht="12.75" customHeight="1">
      <c r="A101" s="99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L101" s="7"/>
    </row>
    <row r="102" spans="1:38" ht="12.75" customHeight="1">
      <c r="A102" s="99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L102" s="7"/>
    </row>
    <row r="103" spans="1:38" ht="12.75" customHeight="1">
      <c r="A103" s="99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L103" s="7"/>
    </row>
    <row r="104" spans="1:38" ht="12.75" customHeight="1">
      <c r="A104" s="99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L104" s="7"/>
    </row>
    <row r="105" spans="1:38" ht="12.75" customHeight="1">
      <c r="A105" s="99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L105" s="7"/>
    </row>
    <row r="106" spans="1:38" ht="12.75" customHeight="1">
      <c r="A106" s="99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L106" s="7"/>
    </row>
    <row r="107" spans="1:38" ht="12.75" customHeight="1">
      <c r="A107" s="99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L107" s="7"/>
    </row>
    <row r="108" spans="1:38" ht="12.75" customHeight="1">
      <c r="A108" s="99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L108" s="7"/>
    </row>
    <row r="109" spans="1:38" ht="12.75" customHeight="1">
      <c r="A109" s="99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L109" s="7"/>
    </row>
    <row r="110" spans="1:38" ht="12.75" customHeight="1">
      <c r="A110" s="99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L110" s="7"/>
    </row>
    <row r="111" spans="1:38" ht="12.75" customHeight="1">
      <c r="A111" s="99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L111" s="7"/>
    </row>
    <row r="112" spans="1:38" ht="12.75" customHeight="1">
      <c r="A112" s="99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L112" s="7"/>
    </row>
    <row r="113" spans="1:38" ht="12.75" customHeight="1">
      <c r="A113" s="99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L113" s="7"/>
    </row>
    <row r="114" spans="1:38" ht="12.75" customHeight="1">
      <c r="A114" s="99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L114" s="7"/>
    </row>
    <row r="115" spans="1:38" ht="12.75" customHeight="1">
      <c r="A115" s="99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L115" s="7"/>
    </row>
    <row r="116" spans="1:38" ht="12.75" customHeight="1">
      <c r="A116" s="99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L116" s="7"/>
    </row>
    <row r="117" spans="1:38" ht="12.75" customHeight="1">
      <c r="A117" s="99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L117" s="7"/>
    </row>
    <row r="118" spans="1:38" ht="12.75" customHeight="1">
      <c r="A118" s="99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L118" s="7"/>
    </row>
    <row r="119" spans="1:38" ht="12.75" customHeight="1">
      <c r="A119" s="99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L119" s="7"/>
    </row>
    <row r="120" spans="1:38" ht="12.75" customHeight="1">
      <c r="A120" s="99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L120" s="7"/>
    </row>
    <row r="121" spans="1:38" ht="12.75" customHeight="1">
      <c r="A121" s="99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L121" s="7"/>
    </row>
    <row r="122" spans="1:38" ht="12.75" customHeight="1">
      <c r="A122" s="99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L122" s="7"/>
    </row>
    <row r="123" spans="1:38" ht="12.75" customHeight="1">
      <c r="A123" s="99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L123" s="7"/>
    </row>
    <row r="124" spans="1:38" ht="12.75" customHeight="1">
      <c r="A124" s="99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L124" s="7"/>
    </row>
    <row r="125" spans="1:38" ht="12.75" customHeight="1">
      <c r="A125" s="99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L125" s="7"/>
    </row>
    <row r="126" spans="1:38" ht="12.75" customHeight="1">
      <c r="A126" s="99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L126" s="7"/>
    </row>
    <row r="127" spans="1:38" ht="12.75" customHeight="1">
      <c r="A127" s="99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L127" s="7"/>
    </row>
    <row r="128" spans="1:38" ht="12.75" customHeight="1">
      <c r="A128" s="99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L128" s="7"/>
    </row>
    <row r="129" spans="1:38" ht="12.75" customHeight="1">
      <c r="A129" s="99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L129" s="7"/>
    </row>
    <row r="130" spans="1:38" ht="12.75" customHeight="1">
      <c r="A130" s="99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L130" s="7"/>
    </row>
    <row r="131" spans="1:38" ht="12.75" customHeight="1">
      <c r="A131" s="99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L131" s="7"/>
    </row>
    <row r="132" spans="1:38" ht="12.75" customHeight="1">
      <c r="A132" s="99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L132" s="7"/>
    </row>
    <row r="133" spans="1:38" ht="12.75" customHeight="1">
      <c r="A133" s="99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L133" s="7"/>
    </row>
    <row r="134" spans="1:38" ht="12.75" customHeight="1">
      <c r="A134" s="99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L134" s="7"/>
    </row>
    <row r="135" spans="1:38" ht="12.75" customHeight="1">
      <c r="A135" s="99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L135" s="7"/>
    </row>
    <row r="136" spans="1:38" ht="12.75" customHeight="1">
      <c r="A136" s="99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L136" s="7"/>
    </row>
    <row r="137" spans="1:38" ht="12.75" customHeight="1">
      <c r="A137" s="99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L137" s="7"/>
    </row>
    <row r="138" spans="1:38" ht="12.75" customHeight="1">
      <c r="A138" s="99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L138" s="7"/>
    </row>
    <row r="139" spans="1:38" ht="12.75" customHeight="1">
      <c r="A139" s="99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L139" s="7"/>
    </row>
    <row r="140" spans="1:38" ht="12.75" customHeight="1">
      <c r="A140" s="99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L140" s="7"/>
    </row>
    <row r="141" spans="1:38" ht="12.75" customHeight="1">
      <c r="A141" s="99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L141" s="7"/>
    </row>
    <row r="142" spans="1:38" ht="12.75" customHeight="1">
      <c r="A142" s="99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L142" s="7"/>
    </row>
    <row r="143" spans="1:38" ht="12.75" customHeight="1">
      <c r="A143" s="99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L143" s="7"/>
    </row>
    <row r="144" spans="1:38" ht="12.75" customHeight="1">
      <c r="A144" s="99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L144" s="7"/>
    </row>
    <row r="145" spans="1:38" ht="12.75" customHeight="1">
      <c r="A145" s="99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L145" s="7"/>
    </row>
    <row r="146" spans="1:38" ht="12.75" customHeight="1">
      <c r="A146" s="99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L146" s="7"/>
    </row>
    <row r="147" spans="1:38" ht="12.75" customHeight="1">
      <c r="A147" s="99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L147" s="7"/>
    </row>
    <row r="148" spans="1:38" ht="12.75" customHeight="1">
      <c r="A148" s="99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L148" s="7"/>
    </row>
    <row r="149" spans="1:38" ht="12.75" customHeight="1">
      <c r="A149" s="99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L149" s="7"/>
    </row>
    <row r="150" spans="1:38" ht="12.75" customHeight="1">
      <c r="A150" s="99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L150" s="7"/>
    </row>
    <row r="151" spans="1:38" ht="12.75" customHeight="1">
      <c r="A151" s="99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L151" s="7"/>
    </row>
    <row r="152" spans="1:38" ht="12.75" customHeight="1">
      <c r="A152" s="99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L152" s="7"/>
    </row>
    <row r="153" spans="1:38" ht="12.75" customHeight="1">
      <c r="A153" s="99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L153" s="7"/>
    </row>
    <row r="154" spans="1:38" ht="12.75" customHeight="1">
      <c r="A154" s="99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L154" s="7"/>
    </row>
    <row r="155" spans="1:38" ht="12.75" customHeight="1">
      <c r="A155" s="99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L155" s="7"/>
    </row>
    <row r="156" spans="1:38" ht="12.75" customHeight="1">
      <c r="A156" s="99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L156" s="7"/>
    </row>
    <row r="157" spans="1:38" ht="12.75" customHeight="1">
      <c r="A157" s="99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L157" s="7"/>
    </row>
    <row r="158" spans="1:38" ht="12.75" customHeight="1">
      <c r="A158" s="99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L158" s="7"/>
    </row>
    <row r="159" spans="1:38" ht="12.75" customHeight="1">
      <c r="A159" s="99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L159" s="7"/>
    </row>
    <row r="160" spans="1:38" ht="12.75" customHeight="1">
      <c r="A160" s="99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L160" s="7"/>
    </row>
    <row r="161" spans="1:38" ht="12.75" customHeight="1">
      <c r="A161" s="99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L161" s="7"/>
    </row>
    <row r="162" spans="1:38" ht="12.75" customHeight="1">
      <c r="A162" s="99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L162" s="7"/>
    </row>
    <row r="163" spans="1:38" ht="12.75" customHeight="1">
      <c r="A163" s="99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L163" s="7"/>
    </row>
    <row r="164" spans="1:38" ht="12.75" customHeight="1">
      <c r="A164" s="99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L164" s="7"/>
    </row>
    <row r="165" spans="1:38" ht="12.75" customHeight="1">
      <c r="A165" s="99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L165" s="7"/>
    </row>
    <row r="166" spans="1:38" ht="12.75" customHeight="1">
      <c r="A166" s="99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L166" s="7"/>
    </row>
    <row r="167" spans="1:38" ht="12.75" customHeight="1">
      <c r="A167" s="99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L167" s="7"/>
    </row>
    <row r="168" spans="1:38" ht="12.75" customHeight="1">
      <c r="A168" s="99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L168" s="7"/>
    </row>
    <row r="169" spans="1:38" ht="12.75" customHeight="1">
      <c r="A169" s="99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L169" s="7"/>
    </row>
    <row r="170" spans="1:38" ht="12.75" customHeight="1">
      <c r="A170" s="99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L170" s="7"/>
    </row>
    <row r="171" spans="1:38" ht="12.75" customHeight="1">
      <c r="A171" s="99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L171" s="7"/>
    </row>
    <row r="172" spans="1:38" ht="12.75" customHeight="1">
      <c r="A172" s="99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L172" s="7"/>
    </row>
    <row r="173" spans="1:38" ht="12.75" customHeight="1">
      <c r="A173" s="99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L173" s="7"/>
    </row>
    <row r="174" spans="1:38" ht="12.75" customHeight="1">
      <c r="A174" s="99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L174" s="7"/>
    </row>
    <row r="175" spans="1:38" ht="12.75" customHeight="1">
      <c r="A175" s="99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L175" s="7"/>
    </row>
    <row r="176" spans="1:38" ht="12.75" customHeight="1">
      <c r="A176" s="99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L176" s="7"/>
    </row>
    <row r="177" spans="1:38" ht="12.75" customHeight="1">
      <c r="A177" s="99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L177" s="7"/>
    </row>
    <row r="178" spans="1:38" ht="12.75" customHeight="1">
      <c r="A178" s="99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L178" s="7"/>
    </row>
    <row r="179" spans="1:38" ht="12.75" customHeight="1">
      <c r="A179" s="99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L179" s="7"/>
    </row>
    <row r="180" spans="1:38" ht="12.75" customHeight="1">
      <c r="A180" s="99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L180" s="7"/>
    </row>
    <row r="181" spans="1:38" ht="12.75" customHeight="1">
      <c r="A181" s="99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L181" s="7"/>
    </row>
    <row r="182" spans="1:38" ht="12.75" customHeight="1">
      <c r="A182" s="99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L182" s="7"/>
    </row>
    <row r="183" spans="1:38" ht="12.75" customHeight="1">
      <c r="A183" s="99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L183" s="7"/>
    </row>
    <row r="184" spans="1:38" ht="12.75" customHeight="1">
      <c r="A184" s="99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L184" s="7"/>
    </row>
    <row r="185" spans="1:38" ht="12.75" customHeight="1">
      <c r="A185" s="99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L185" s="7"/>
    </row>
    <row r="186" spans="1:38" ht="12.75" customHeight="1">
      <c r="A186" s="99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L186" s="7"/>
    </row>
    <row r="187" spans="1:38" ht="12.75" customHeight="1">
      <c r="A187" s="99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L187" s="7"/>
    </row>
    <row r="188" spans="1:38" ht="12.75" customHeight="1">
      <c r="A188" s="99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L188" s="7"/>
    </row>
    <row r="189" spans="1:38" ht="12.75" customHeight="1">
      <c r="A189" s="99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L189" s="7"/>
    </row>
    <row r="190" spans="1:38" ht="12.75" customHeight="1">
      <c r="A190" s="99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L190" s="7"/>
    </row>
    <row r="191" spans="1:38" ht="12.75" customHeight="1">
      <c r="A191" s="99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L191" s="7"/>
    </row>
    <row r="192" spans="1:38" ht="12.75" customHeight="1">
      <c r="A192" s="99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L192" s="7"/>
    </row>
    <row r="193" spans="1:38" ht="12.75" customHeight="1">
      <c r="A193" s="99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L193" s="7"/>
    </row>
    <row r="194" spans="1:38" ht="12.75" customHeight="1">
      <c r="A194" s="99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L194" s="7"/>
    </row>
    <row r="195" spans="1:38" ht="12.75" customHeight="1">
      <c r="A195" s="99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L195" s="7"/>
    </row>
    <row r="196" spans="1:38" ht="12.75" customHeight="1">
      <c r="A196" s="99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L196" s="7"/>
    </row>
    <row r="197" spans="1:38" ht="12.75" customHeight="1">
      <c r="A197" s="99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L197" s="7"/>
    </row>
    <row r="198" spans="1:38" ht="12.75" customHeight="1">
      <c r="A198" s="99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L198" s="7"/>
    </row>
    <row r="199" spans="1:38" ht="12.75" customHeight="1">
      <c r="A199" s="99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L199" s="7"/>
    </row>
    <row r="200" spans="1:38" ht="12.75" customHeight="1">
      <c r="A200" s="99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L200" s="7"/>
    </row>
    <row r="201" spans="1:38" ht="12.75" customHeight="1">
      <c r="A201" s="99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L201" s="7"/>
    </row>
    <row r="202" spans="1:38" ht="12.75" customHeight="1">
      <c r="A202" s="99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L202" s="7"/>
    </row>
    <row r="203" spans="1:38" ht="12.75" customHeight="1">
      <c r="A203" s="99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L203" s="7"/>
    </row>
    <row r="204" spans="1:38" ht="12.75" customHeight="1">
      <c r="A204" s="99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L204" s="7"/>
    </row>
    <row r="205" spans="1:38" ht="12.75" customHeight="1">
      <c r="A205" s="99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L205" s="7"/>
    </row>
    <row r="206" spans="1:38" ht="12.75" customHeight="1">
      <c r="A206" s="99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L206" s="7"/>
    </row>
    <row r="207" spans="1:38" ht="12.75" customHeight="1">
      <c r="A207" s="99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L207" s="7"/>
    </row>
    <row r="208" spans="1:38" ht="12.75" customHeight="1">
      <c r="A208" s="99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L208" s="7"/>
    </row>
    <row r="209" spans="1:38" ht="12.75" customHeight="1">
      <c r="A209" s="99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L209" s="7"/>
    </row>
    <row r="210" spans="1:38" ht="12.75" customHeight="1">
      <c r="A210" s="99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L210" s="7"/>
    </row>
    <row r="211" spans="1:38" ht="12.75" customHeight="1">
      <c r="A211" s="99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L211" s="7"/>
    </row>
    <row r="212" spans="1:38" ht="12.75" customHeight="1">
      <c r="A212" s="99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L212" s="7"/>
    </row>
    <row r="213" spans="1:38" ht="12.75" customHeight="1">
      <c r="A213" s="99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L213" s="7"/>
    </row>
    <row r="214" spans="1:38" ht="12.75" customHeight="1">
      <c r="A214" s="99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L214" s="7"/>
    </row>
    <row r="215" spans="1:38" ht="12.75" customHeight="1">
      <c r="A215" s="99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L215" s="7"/>
    </row>
    <row r="216" spans="1:38" ht="12.75" customHeight="1">
      <c r="A216" s="99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L216" s="7"/>
    </row>
    <row r="217" spans="1:38" ht="12.75" customHeight="1">
      <c r="A217" s="99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L217" s="7"/>
    </row>
    <row r="218" spans="1:38" ht="12.75" customHeight="1">
      <c r="A218" s="99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L218" s="7"/>
    </row>
    <row r="219" spans="1:38" ht="12.75" customHeight="1">
      <c r="A219" s="99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L219" s="7"/>
    </row>
    <row r="220" spans="1:38" ht="12.75" customHeight="1">
      <c r="A220" s="99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L220" s="7"/>
    </row>
    <row r="221" spans="1:38" ht="12.75" customHeight="1">
      <c r="A221" s="99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L221" s="7"/>
    </row>
    <row r="222" spans="1:38" ht="12.75" customHeight="1">
      <c r="A222" s="99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L222" s="7"/>
    </row>
    <row r="223" spans="1:38" ht="12.75" customHeight="1">
      <c r="A223" s="99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L223" s="7"/>
    </row>
    <row r="224" spans="1:38" ht="12.75" customHeight="1">
      <c r="A224" s="99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L224" s="7"/>
    </row>
    <row r="225" spans="1:38" ht="12.75" customHeight="1">
      <c r="A225" s="99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L225" s="7"/>
    </row>
    <row r="226" spans="1:38" ht="12.75" customHeight="1">
      <c r="A226" s="99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L226" s="7"/>
    </row>
    <row r="227" spans="1:38" ht="12.75" customHeight="1">
      <c r="A227" s="99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L227" s="7"/>
    </row>
    <row r="228" spans="1:38" ht="12.75" customHeight="1">
      <c r="A228" s="99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L228" s="7"/>
    </row>
    <row r="229" spans="1:38" ht="12.75" customHeight="1">
      <c r="A229" s="99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L229" s="7"/>
    </row>
    <row r="230" spans="1:38" ht="12.75" customHeight="1">
      <c r="A230" s="99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L230" s="7"/>
    </row>
    <row r="231" spans="1:38" ht="12.75" customHeight="1">
      <c r="A231" s="99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L231" s="7"/>
    </row>
    <row r="232" spans="1:38" ht="12.75" customHeight="1">
      <c r="A232" s="99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L232" s="7"/>
    </row>
    <row r="233" spans="1:38" ht="12.75" customHeight="1">
      <c r="A233" s="99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L233" s="7"/>
    </row>
    <row r="234" spans="1:38" ht="12.75" customHeight="1">
      <c r="A234" s="99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L234" s="7"/>
    </row>
    <row r="235" spans="1:38" ht="12.75" customHeight="1">
      <c r="A235" s="99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L235" s="7"/>
    </row>
    <row r="236" spans="1:38" ht="12.75" customHeight="1">
      <c r="A236" s="99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L236" s="7"/>
    </row>
    <row r="237" spans="1:38" ht="12.75" customHeight="1">
      <c r="A237" s="99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L237" s="7"/>
    </row>
    <row r="238" spans="1:38" ht="12.75" customHeight="1">
      <c r="A238" s="99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L238" s="7"/>
    </row>
    <row r="239" spans="1:38" ht="12.75" customHeight="1">
      <c r="A239" s="99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L239" s="7"/>
    </row>
    <row r="240" spans="1:38" ht="12.75" customHeight="1">
      <c r="A240" s="99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L240" s="7"/>
    </row>
    <row r="241" spans="1:38" ht="12.75" customHeight="1">
      <c r="A241" s="99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L241" s="7"/>
    </row>
    <row r="242" spans="1:38" ht="12.75" customHeight="1">
      <c r="A242" s="99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L242" s="7"/>
    </row>
    <row r="243" spans="1:38" ht="12.75" customHeight="1">
      <c r="A243" s="99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L243" s="7"/>
    </row>
    <row r="244" spans="1:38" ht="12.75" customHeight="1">
      <c r="A244" s="99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L244" s="7"/>
    </row>
    <row r="245" spans="1:38" ht="12.75" customHeight="1">
      <c r="A245" s="99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L245" s="7"/>
    </row>
    <row r="246" spans="1:38" ht="12.75" customHeight="1">
      <c r="A246" s="99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L246" s="7"/>
    </row>
    <row r="247" spans="1:38" ht="12.75" customHeight="1">
      <c r="A247" s="99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L247" s="7"/>
    </row>
    <row r="248" spans="1:38" ht="12.75" customHeight="1">
      <c r="A248" s="99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L248" s="7"/>
    </row>
    <row r="249" spans="1:38" ht="12.75" customHeight="1">
      <c r="A249" s="99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L249" s="7"/>
    </row>
    <row r="250" spans="1:38" ht="12.75" customHeight="1">
      <c r="A250" s="99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L250" s="7"/>
    </row>
    <row r="251" spans="1:38" ht="12.75" customHeight="1">
      <c r="A251" s="99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L251" s="7"/>
    </row>
    <row r="252" spans="1:38" ht="12.75" customHeight="1">
      <c r="A252" s="99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L252" s="7"/>
    </row>
    <row r="253" spans="1:38" ht="12.75" customHeight="1">
      <c r="A253" s="99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L253" s="7"/>
    </row>
    <row r="254" spans="1:38" ht="12.75" customHeight="1">
      <c r="A254" s="99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L254" s="7"/>
    </row>
    <row r="255" spans="1:38" ht="12.75" customHeight="1">
      <c r="A255" s="99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L255" s="7"/>
    </row>
    <row r="256" spans="1:38" ht="12.75" customHeight="1">
      <c r="A256" s="99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L256" s="7"/>
    </row>
    <row r="257" spans="1:38" ht="12.75" customHeight="1">
      <c r="A257" s="99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L257" s="7"/>
    </row>
    <row r="258" spans="1:38" ht="12.75" customHeight="1">
      <c r="A258" s="99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L258" s="7"/>
    </row>
    <row r="259" spans="1:38" ht="12.75" customHeight="1">
      <c r="A259" s="99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L259" s="7"/>
    </row>
    <row r="260" spans="1:38" ht="12.75" customHeight="1">
      <c r="A260" s="99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L260" s="7"/>
    </row>
    <row r="261" spans="1:38" ht="12.75" customHeight="1">
      <c r="A261" s="99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L261" s="7"/>
    </row>
    <row r="262" spans="1:38" ht="12.75" customHeight="1">
      <c r="A262" s="99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L262" s="7"/>
    </row>
    <row r="263" spans="1:38" ht="12.75" customHeight="1">
      <c r="A263" s="99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L263" s="7"/>
    </row>
    <row r="264" spans="1:38" ht="12.75" customHeight="1">
      <c r="A264" s="99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L264" s="7"/>
    </row>
    <row r="265" spans="1:38" ht="12.75" customHeight="1">
      <c r="A265" s="99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L265" s="7"/>
    </row>
    <row r="266" spans="1:38" ht="12.75" customHeight="1">
      <c r="A266" s="99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L266" s="7"/>
    </row>
    <row r="267" spans="1:38" ht="12.75" customHeight="1">
      <c r="A267" s="99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L267" s="7"/>
    </row>
    <row r="268" spans="1:38" ht="12.75" customHeight="1">
      <c r="A268" s="99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L268" s="7"/>
    </row>
    <row r="269" spans="1:38" ht="12.75" customHeight="1">
      <c r="A269" s="99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L269" s="7"/>
    </row>
    <row r="270" spans="1:38" ht="12.75" customHeight="1">
      <c r="A270" s="99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L270" s="7"/>
    </row>
    <row r="271" spans="1:38" ht="12.75" customHeight="1">
      <c r="A271" s="99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L271" s="7"/>
    </row>
    <row r="272" spans="1:38" ht="12.75" customHeight="1">
      <c r="A272" s="99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L272" s="7"/>
    </row>
    <row r="273" spans="1:38" ht="12.75" customHeight="1">
      <c r="A273" s="99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L273" s="7"/>
    </row>
    <row r="274" spans="1:38" ht="12.75" customHeight="1">
      <c r="A274" s="99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L274" s="7"/>
    </row>
    <row r="275" spans="1:38" ht="12.75" customHeight="1">
      <c r="A275" s="99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L275" s="7"/>
    </row>
    <row r="276" spans="1:38" ht="12.75" customHeight="1">
      <c r="A276" s="99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L276" s="7"/>
    </row>
    <row r="277" spans="1:38" ht="12.75" customHeight="1">
      <c r="A277" s="99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L277" s="7"/>
    </row>
    <row r="278" spans="1:38" ht="12.75" customHeight="1">
      <c r="A278" s="99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L278" s="7"/>
    </row>
    <row r="279" spans="1:38" ht="12.75" customHeight="1">
      <c r="A279" s="99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L279" s="7"/>
    </row>
    <row r="280" spans="1:38" ht="12.75" customHeight="1">
      <c r="A280" s="99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L280" s="7"/>
    </row>
    <row r="281" spans="1:38" ht="12.75" customHeight="1">
      <c r="A281" s="99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L281" s="7"/>
    </row>
    <row r="282" spans="1:38" ht="12.75" customHeight="1">
      <c r="A282" s="99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L282" s="7"/>
    </row>
    <row r="283" spans="1:38" ht="12.75" customHeight="1">
      <c r="A283" s="99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L283" s="7"/>
    </row>
    <row r="284" spans="1:38" ht="12.75" customHeight="1">
      <c r="A284" s="99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L284" s="7"/>
    </row>
    <row r="285" spans="1:38" ht="12.75" customHeight="1">
      <c r="A285" s="99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L285" s="7"/>
    </row>
    <row r="286" spans="1:38" ht="12.75" customHeight="1">
      <c r="A286" s="99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L286" s="7"/>
    </row>
    <row r="287" spans="1:38" ht="12.75" customHeight="1">
      <c r="A287" s="99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L287" s="7"/>
    </row>
    <row r="288" spans="1:38" ht="12.75" customHeight="1">
      <c r="A288" s="99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L288" s="7"/>
    </row>
    <row r="289" spans="1:38" ht="12.75" customHeight="1">
      <c r="A289" s="99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L289" s="7"/>
    </row>
    <row r="290" spans="1:38" ht="12.75" customHeight="1">
      <c r="A290" s="99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L290" s="7"/>
    </row>
    <row r="291" spans="1:38" ht="12.75" customHeight="1">
      <c r="A291" s="99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L291" s="7"/>
    </row>
    <row r="292" spans="1:38" ht="12.75" customHeight="1">
      <c r="A292" s="99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L292" s="7"/>
    </row>
    <row r="293" spans="1:38" ht="12.75" customHeight="1">
      <c r="A293" s="99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L293" s="7"/>
    </row>
    <row r="294" spans="1:38" ht="12.75" customHeight="1">
      <c r="A294" s="99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L294" s="7"/>
    </row>
    <row r="295" spans="1:38" ht="12.75" customHeight="1">
      <c r="A295" s="99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L295" s="7"/>
    </row>
    <row r="296" spans="1:38" ht="12.75" customHeight="1">
      <c r="A296" s="99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L296" s="7"/>
    </row>
    <row r="297" spans="1:38" ht="12.75" customHeight="1">
      <c r="A297" s="99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L297" s="7"/>
    </row>
    <row r="298" spans="1:38" ht="12.75" customHeight="1">
      <c r="A298" s="99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L298" s="7"/>
    </row>
    <row r="299" spans="1:38" ht="12.75" customHeight="1">
      <c r="A299" s="99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L299" s="7"/>
    </row>
    <row r="300" spans="1:38" ht="12.75" customHeight="1">
      <c r="A300" s="99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L300" s="7"/>
    </row>
    <row r="301" spans="1:38" ht="12.75" customHeight="1">
      <c r="A301" s="99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L301" s="7"/>
    </row>
    <row r="302" spans="1:38" ht="12.75" customHeight="1">
      <c r="A302" s="99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L302" s="7"/>
    </row>
    <row r="303" spans="1:38" ht="12.75" customHeight="1">
      <c r="A303" s="99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L303" s="7"/>
    </row>
    <row r="304" spans="1:38" ht="12.75" customHeight="1">
      <c r="A304" s="99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L304" s="7"/>
    </row>
    <row r="305" spans="1:38" ht="12.75" customHeight="1">
      <c r="A305" s="99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L305" s="7"/>
    </row>
    <row r="306" spans="1:38" ht="12.75" customHeight="1">
      <c r="A306" s="99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L306" s="7"/>
    </row>
    <row r="307" spans="1:38" ht="12.75" customHeight="1">
      <c r="A307" s="99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L307" s="7"/>
    </row>
    <row r="308" spans="1:38" ht="12.75" customHeight="1">
      <c r="A308" s="99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L308" s="7"/>
    </row>
    <row r="309" spans="1:38" ht="12.75" customHeight="1">
      <c r="A309" s="99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L309" s="7"/>
    </row>
    <row r="310" spans="1:38" ht="12.75" customHeight="1">
      <c r="A310" s="99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L310" s="7"/>
    </row>
    <row r="311" spans="1:38" ht="12.75" customHeight="1">
      <c r="A311" s="99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L311" s="7"/>
    </row>
    <row r="312" spans="1:38" ht="12.75" customHeight="1">
      <c r="A312" s="99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L312" s="7"/>
    </row>
    <row r="313" spans="1:38" ht="12.75" customHeight="1">
      <c r="A313" s="99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L313" s="7"/>
    </row>
    <row r="314" spans="1:38" ht="12.75" customHeight="1">
      <c r="A314" s="99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L314" s="7"/>
    </row>
    <row r="315" spans="1:38" ht="12.75" customHeight="1">
      <c r="A315" s="99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L315" s="7"/>
    </row>
    <row r="316" spans="1:38" ht="12.75" customHeight="1">
      <c r="A316" s="99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L316" s="7"/>
    </row>
    <row r="317" spans="1:38" ht="12.75" customHeight="1">
      <c r="A317" s="99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L317" s="7"/>
    </row>
    <row r="318" spans="1:38" ht="12.75" customHeight="1">
      <c r="A318" s="99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L318" s="7"/>
    </row>
    <row r="319" spans="1:38" ht="12.75" customHeight="1">
      <c r="A319" s="99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L319" s="7"/>
    </row>
    <row r="320" spans="1:38" ht="12.75" customHeight="1">
      <c r="A320" s="99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L320" s="7"/>
    </row>
    <row r="321" spans="1:38" ht="12.75" customHeight="1">
      <c r="A321" s="99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L321" s="7"/>
    </row>
    <row r="322" spans="1:38" ht="12.75" customHeight="1">
      <c r="A322" s="99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L322" s="7"/>
    </row>
    <row r="323" spans="1:38" ht="12.75" customHeight="1">
      <c r="A323" s="99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L323" s="7"/>
    </row>
    <row r="324" spans="1:38" ht="12.75" customHeight="1">
      <c r="A324" s="99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L324" s="7"/>
    </row>
    <row r="325" spans="1:38" ht="12.75" customHeight="1">
      <c r="A325" s="99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L325" s="7"/>
    </row>
    <row r="326" spans="1:38" ht="12.75" customHeight="1">
      <c r="A326" s="99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L326" s="7"/>
    </row>
    <row r="327" spans="1:38" ht="12.75" customHeight="1">
      <c r="A327" s="99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L327" s="7"/>
    </row>
    <row r="328" spans="1:38" ht="12.75" customHeight="1">
      <c r="A328" s="99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L328" s="7"/>
    </row>
    <row r="329" spans="1:38" ht="12.75" customHeight="1">
      <c r="A329" s="99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L329" s="7"/>
    </row>
    <row r="330" spans="1:38" ht="12.75" customHeight="1">
      <c r="A330" s="99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L330" s="7"/>
    </row>
    <row r="331" spans="1:38" ht="12.75" customHeight="1">
      <c r="A331" s="99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L331" s="7"/>
    </row>
    <row r="332" spans="1:38" ht="12.75" customHeight="1">
      <c r="A332" s="99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L332" s="7"/>
    </row>
    <row r="333" spans="1:38" ht="12.75" customHeight="1">
      <c r="A333" s="99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L333" s="7"/>
    </row>
    <row r="334" spans="1:38" ht="12.75" customHeight="1">
      <c r="A334" s="99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L334" s="7"/>
    </row>
    <row r="335" spans="1:38" ht="12.75" customHeight="1">
      <c r="A335" s="99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L335" s="7"/>
    </row>
    <row r="336" spans="1:38" ht="12.75" customHeight="1">
      <c r="A336" s="99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L336" s="7"/>
    </row>
    <row r="337" spans="1:38" ht="12.75" customHeight="1">
      <c r="A337" s="99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L337" s="7"/>
    </row>
    <row r="338" spans="1:38" ht="12.75" customHeight="1">
      <c r="A338" s="99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L338" s="7"/>
    </row>
    <row r="339" spans="1:38" ht="12.75" customHeight="1">
      <c r="A339" s="99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L339" s="7"/>
    </row>
    <row r="340" spans="1:38" ht="12.75" customHeight="1">
      <c r="A340" s="99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L340" s="7"/>
    </row>
    <row r="341" spans="1:38" ht="12.75" customHeight="1">
      <c r="A341" s="99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L341" s="7"/>
    </row>
    <row r="342" spans="1:38" ht="12.75" customHeight="1">
      <c r="A342" s="99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L342" s="7"/>
    </row>
    <row r="343" spans="1:38" ht="12.75" customHeight="1">
      <c r="A343" s="99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L343" s="7"/>
    </row>
    <row r="344" spans="1:38" ht="12.75" customHeight="1">
      <c r="A344" s="99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L344" s="7"/>
    </row>
    <row r="345" spans="1:38" ht="12.75" customHeight="1">
      <c r="A345" s="99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L345" s="7"/>
    </row>
    <row r="346" spans="1:38" ht="12.75" customHeight="1">
      <c r="A346" s="99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L346" s="7"/>
    </row>
    <row r="347" spans="1:38" ht="12.75" customHeight="1">
      <c r="A347" s="99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L347" s="7"/>
    </row>
    <row r="348" spans="1:38" ht="12.75" customHeight="1">
      <c r="A348" s="99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L348" s="7"/>
    </row>
    <row r="349" spans="1:38" ht="12.75" customHeight="1">
      <c r="A349" s="99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L349" s="7"/>
    </row>
    <row r="350" spans="1:38" ht="12.75" customHeight="1">
      <c r="A350" s="99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L350" s="7"/>
    </row>
    <row r="351" spans="1:38" ht="12.75" customHeight="1">
      <c r="A351" s="99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L351" s="7"/>
    </row>
    <row r="352" spans="1:38" ht="12.75" customHeight="1">
      <c r="A352" s="99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L352" s="7"/>
    </row>
    <row r="353" spans="1:38" ht="12.75" customHeight="1">
      <c r="A353" s="99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L353" s="7"/>
    </row>
    <row r="354" spans="1:38" ht="12.75" customHeight="1">
      <c r="A354" s="99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L354" s="7"/>
    </row>
    <row r="355" spans="1:38" ht="12.75" customHeight="1">
      <c r="A355" s="99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L355" s="7"/>
    </row>
    <row r="356" spans="1:38" ht="12.75" customHeight="1">
      <c r="A356" s="99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L356" s="7"/>
    </row>
    <row r="357" spans="1:38" ht="12.75" customHeight="1">
      <c r="A357" s="99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L357" s="7"/>
    </row>
    <row r="358" spans="1:38" ht="12.75" customHeight="1">
      <c r="A358" s="99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L358" s="7"/>
    </row>
    <row r="359" spans="1:38" ht="12.75" customHeight="1">
      <c r="A359" s="99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L359" s="7"/>
    </row>
    <row r="360" spans="1:38" ht="12.75" customHeight="1">
      <c r="A360" s="99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L360" s="7"/>
    </row>
    <row r="361" spans="1:38" ht="12.75" customHeight="1">
      <c r="A361" s="99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L361" s="7"/>
    </row>
    <row r="362" spans="1:38" ht="12.75" customHeight="1">
      <c r="A362" s="99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L362" s="7"/>
    </row>
    <row r="363" spans="1:38" ht="12.75" customHeight="1">
      <c r="A363" s="99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L363" s="7"/>
    </row>
    <row r="364" spans="1:38" ht="12.75" customHeight="1">
      <c r="A364" s="99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L364" s="7"/>
    </row>
    <row r="365" spans="1:38" ht="12.75" customHeight="1">
      <c r="A365" s="99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L365" s="7"/>
    </row>
    <row r="366" spans="1:38" ht="12.75" customHeight="1">
      <c r="A366" s="99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L366" s="7"/>
    </row>
    <row r="367" spans="1:38" ht="12.75" customHeight="1">
      <c r="A367" s="99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L367" s="7"/>
    </row>
    <row r="368" spans="1:38" ht="12.75" customHeight="1">
      <c r="A368" s="99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L368" s="7"/>
    </row>
    <row r="369" spans="1:38" ht="12.75" customHeight="1">
      <c r="A369" s="99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L369" s="7"/>
    </row>
    <row r="370" spans="1:38" ht="12.75" customHeight="1">
      <c r="A370" s="99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L370" s="7"/>
    </row>
    <row r="371" spans="1:38" ht="12.75" customHeight="1">
      <c r="A371" s="99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L371" s="7"/>
    </row>
    <row r="372" spans="1:38" ht="12.75" customHeight="1">
      <c r="A372" s="99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L372" s="7"/>
    </row>
    <row r="373" spans="1:38" ht="12.75" customHeight="1">
      <c r="A373" s="99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L373" s="7"/>
    </row>
    <row r="374" spans="1:38" ht="12.75" customHeight="1">
      <c r="A374" s="99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L374" s="7"/>
    </row>
    <row r="375" spans="1:38" ht="12.75" customHeight="1">
      <c r="A375" s="99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L375" s="7"/>
    </row>
    <row r="376" spans="1:38" ht="12.75" customHeight="1">
      <c r="A376" s="99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L376" s="7"/>
    </row>
    <row r="377" spans="1:38" ht="12.75" customHeight="1">
      <c r="A377" s="99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L377" s="7"/>
    </row>
    <row r="378" spans="1:38" ht="12.75" customHeight="1">
      <c r="A378" s="99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L378" s="7"/>
    </row>
    <row r="379" spans="1:38" ht="12.75" customHeight="1">
      <c r="A379" s="99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L379" s="7"/>
    </row>
    <row r="380" spans="1:38" ht="12.75" customHeight="1">
      <c r="A380" s="99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L380" s="7"/>
    </row>
    <row r="381" spans="1:38" ht="12.75" customHeight="1">
      <c r="A381" s="99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L381" s="7"/>
    </row>
    <row r="382" spans="1:38" ht="12.75" customHeight="1">
      <c r="A382" s="99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L382" s="7"/>
    </row>
    <row r="383" spans="1:38" ht="12.75" customHeight="1">
      <c r="A383" s="99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L383" s="7"/>
    </row>
    <row r="384" spans="1:38" ht="12.75" customHeight="1">
      <c r="A384" s="99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L384" s="7"/>
    </row>
    <row r="385" spans="1:38" ht="12.75" customHeight="1">
      <c r="A385" s="99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L385" s="7"/>
    </row>
    <row r="386" spans="1:38" ht="12.75" customHeight="1">
      <c r="A386" s="99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L386" s="7"/>
    </row>
    <row r="387" spans="1:38" ht="12.75" customHeight="1">
      <c r="A387" s="99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L387" s="7"/>
    </row>
    <row r="388" spans="1:38" ht="12.75" customHeight="1">
      <c r="A388" s="99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L388" s="7"/>
    </row>
    <row r="389" spans="1:38" ht="12.75" customHeight="1">
      <c r="A389" s="99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L389" s="7"/>
    </row>
    <row r="390" spans="1:38" ht="12.75" customHeight="1">
      <c r="A390" s="99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L390" s="7"/>
    </row>
    <row r="391" spans="1:38" ht="12.75" customHeight="1">
      <c r="A391" s="99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L391" s="7"/>
    </row>
    <row r="392" spans="1:38" ht="12.75" customHeight="1">
      <c r="A392" s="99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L392" s="7"/>
    </row>
    <row r="393" spans="1:38" ht="12.75" customHeight="1">
      <c r="A393" s="99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L393" s="7"/>
    </row>
    <row r="394" spans="1:38" ht="12.75" customHeight="1">
      <c r="A394" s="99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L394" s="7"/>
    </row>
    <row r="395" spans="1:38" ht="12.75" customHeight="1">
      <c r="A395" s="99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L395" s="7"/>
    </row>
    <row r="396" spans="1:38" ht="12.75" customHeight="1">
      <c r="A396" s="99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L396" s="7"/>
    </row>
    <row r="397" spans="1:38" ht="12.75" customHeight="1">
      <c r="A397" s="99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L397" s="7"/>
    </row>
    <row r="398" spans="1:38" ht="12.75" customHeight="1">
      <c r="A398" s="99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L398" s="7"/>
    </row>
    <row r="399" spans="1:38" ht="12.75" customHeight="1">
      <c r="A399" s="99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L399" s="7"/>
    </row>
    <row r="400" spans="1:38" ht="12.75" customHeight="1">
      <c r="A400" s="99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L400" s="7"/>
    </row>
    <row r="401" spans="1:38" ht="12.75" customHeight="1">
      <c r="A401" s="99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L401" s="7"/>
    </row>
    <row r="402" spans="1:38" ht="12.75" customHeight="1">
      <c r="A402" s="99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L402" s="7"/>
    </row>
    <row r="403" spans="1:38" ht="12.75" customHeight="1">
      <c r="A403" s="99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L403" s="7"/>
    </row>
    <row r="404" spans="1:38" ht="12.75" customHeight="1">
      <c r="A404" s="99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L404" s="7"/>
    </row>
    <row r="405" spans="1:38" ht="12.75" customHeight="1">
      <c r="A405" s="99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L405" s="7"/>
    </row>
    <row r="406" spans="1:38" ht="12.75" customHeight="1">
      <c r="A406" s="99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L406" s="7"/>
    </row>
    <row r="407" spans="1:38" ht="12.75" customHeight="1">
      <c r="A407" s="99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L407" s="7"/>
    </row>
    <row r="408" spans="1:38" ht="12.75" customHeight="1">
      <c r="A408" s="99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L408" s="7"/>
    </row>
    <row r="409" spans="1:38" ht="12.75" customHeight="1">
      <c r="A409" s="99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L409" s="7"/>
    </row>
    <row r="410" spans="1:38" ht="12.75" customHeight="1">
      <c r="A410" s="99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L410" s="7"/>
    </row>
    <row r="411" spans="1:38" ht="12.75" customHeight="1">
      <c r="A411" s="99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L411" s="7"/>
    </row>
    <row r="412" spans="1:38" ht="12.75" customHeight="1">
      <c r="A412" s="99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L412" s="7"/>
    </row>
    <row r="413" spans="1:38" ht="12.75" customHeight="1">
      <c r="A413" s="99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L413" s="7"/>
    </row>
    <row r="414" spans="1:38" ht="12.75" customHeight="1">
      <c r="A414" s="99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L414" s="7"/>
    </row>
    <row r="415" spans="1:38" ht="12.75" customHeight="1">
      <c r="A415" s="99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L415" s="7"/>
    </row>
    <row r="416" spans="1:38" ht="12.75" customHeight="1">
      <c r="A416" s="99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L416" s="7"/>
    </row>
    <row r="417" spans="1:38" ht="12.75" customHeight="1">
      <c r="A417" s="99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L417" s="7"/>
    </row>
    <row r="418" spans="1:38" ht="12.75" customHeight="1">
      <c r="A418" s="99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L418" s="7"/>
    </row>
    <row r="419" spans="1:38" ht="12.75" customHeight="1">
      <c r="A419" s="99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L419" s="7"/>
    </row>
    <row r="420" spans="1:38" ht="12.75" customHeight="1">
      <c r="A420" s="99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L420" s="7"/>
    </row>
    <row r="421" spans="1:38" ht="12.75" customHeight="1">
      <c r="A421" s="99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L421" s="7"/>
    </row>
    <row r="422" spans="1:38" ht="12.75" customHeight="1">
      <c r="A422" s="99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L422" s="7"/>
    </row>
    <row r="423" spans="1:38" ht="12.75" customHeight="1">
      <c r="A423" s="99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L423" s="7"/>
    </row>
    <row r="424" spans="1:38" ht="12.75" customHeight="1">
      <c r="A424" s="99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L424" s="7"/>
    </row>
    <row r="425" spans="1:38" ht="12.75" customHeight="1">
      <c r="A425" s="99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L425" s="7"/>
    </row>
    <row r="426" spans="1:38" ht="12.75" customHeight="1">
      <c r="A426" s="99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L426" s="7"/>
    </row>
    <row r="427" spans="1:38" ht="12.75" customHeight="1">
      <c r="A427" s="99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L427" s="7"/>
    </row>
    <row r="428" spans="1:38" ht="12.75" customHeight="1">
      <c r="A428" s="99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L428" s="7"/>
    </row>
    <row r="429" spans="1:38" ht="12.75" customHeight="1">
      <c r="A429" s="99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L429" s="7"/>
    </row>
    <row r="430" spans="1:38" ht="12.75" customHeight="1">
      <c r="A430" s="99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L430" s="7"/>
    </row>
    <row r="431" spans="1:38" ht="12.75" customHeight="1">
      <c r="A431" s="99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L431" s="7"/>
    </row>
    <row r="432" spans="1:38" ht="12.75" customHeight="1">
      <c r="A432" s="99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L432" s="7"/>
    </row>
    <row r="433" spans="1:38" ht="12.75" customHeight="1">
      <c r="A433" s="99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L433" s="7"/>
    </row>
    <row r="434" spans="1:38" ht="12.75" customHeight="1">
      <c r="A434" s="99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L434" s="7"/>
    </row>
    <row r="435" spans="1:38" ht="12.75" customHeight="1">
      <c r="A435" s="99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L435" s="7"/>
    </row>
    <row r="436" spans="1:38" ht="12.75" customHeight="1">
      <c r="A436" s="99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L436" s="7"/>
    </row>
    <row r="437" spans="1:38" ht="12.75" customHeight="1">
      <c r="A437" s="99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L437" s="7"/>
    </row>
    <row r="438" spans="1:38" ht="12.75" customHeight="1">
      <c r="A438" s="99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L438" s="7"/>
    </row>
    <row r="439" spans="1:38" ht="12.75" customHeight="1">
      <c r="A439" s="99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L439" s="7"/>
    </row>
    <row r="440" spans="1:38" ht="12.75" customHeight="1">
      <c r="A440" s="99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L440" s="7"/>
    </row>
    <row r="441" spans="1:38" ht="12.75" customHeight="1">
      <c r="A441" s="99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L441" s="7"/>
    </row>
    <row r="442" spans="1:38" ht="12.75" customHeight="1">
      <c r="A442" s="99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L442" s="7"/>
    </row>
    <row r="443" spans="1:38" ht="12.75" customHeight="1">
      <c r="A443" s="99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L443" s="7"/>
    </row>
    <row r="444" spans="1:38" ht="12.75" customHeight="1">
      <c r="A444" s="99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L444" s="7"/>
    </row>
    <row r="445" spans="1:38" ht="12.75" customHeight="1">
      <c r="A445" s="99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L445" s="7"/>
    </row>
    <row r="446" spans="1:38" ht="12.75" customHeight="1">
      <c r="A446" s="99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L446" s="7"/>
    </row>
    <row r="447" spans="1:38" ht="12.75" customHeight="1">
      <c r="A447" s="99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L447" s="7"/>
    </row>
    <row r="448" spans="1:38" ht="12.75" customHeight="1">
      <c r="A448" s="99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L448" s="7"/>
    </row>
    <row r="449" spans="1:38" ht="12.75" customHeight="1">
      <c r="A449" s="99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L449" s="7"/>
    </row>
    <row r="450" spans="1:38" ht="12.75" customHeight="1">
      <c r="A450" s="99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L450" s="7"/>
    </row>
    <row r="451" spans="1:38" ht="12.75" customHeight="1">
      <c r="A451" s="99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L451" s="7"/>
    </row>
    <row r="452" spans="1:38" ht="12.75" customHeight="1">
      <c r="A452" s="99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L452" s="7"/>
    </row>
    <row r="453" spans="1:38" ht="12.75" customHeight="1">
      <c r="A453" s="99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L453" s="7"/>
    </row>
    <row r="454" spans="1:38" ht="12.75" customHeight="1">
      <c r="A454" s="99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L454" s="7"/>
    </row>
    <row r="455" spans="1:38" ht="12.75" customHeight="1">
      <c r="A455" s="99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L455" s="7"/>
    </row>
    <row r="456" spans="1:38" ht="12.75" customHeight="1">
      <c r="A456" s="99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L456" s="7"/>
    </row>
    <row r="457" spans="1:38" ht="12.75" customHeight="1">
      <c r="A457" s="99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L457" s="7"/>
    </row>
    <row r="458" spans="1:38" ht="12.75" customHeight="1">
      <c r="A458" s="99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L458" s="7"/>
    </row>
    <row r="459" spans="1:38" ht="12.75" customHeight="1">
      <c r="A459" s="99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L459" s="7"/>
    </row>
    <row r="460" spans="1:38" ht="12.75" customHeight="1">
      <c r="A460" s="99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L460" s="7"/>
    </row>
    <row r="461" spans="1:38" ht="12.75" customHeight="1">
      <c r="A461" s="99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L461" s="7"/>
    </row>
    <row r="462" spans="1:38" ht="12.75" customHeight="1">
      <c r="A462" s="99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L462" s="7"/>
    </row>
    <row r="463" spans="1:38" ht="12.75" customHeight="1">
      <c r="A463" s="99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L463" s="7"/>
    </row>
    <row r="464" spans="1:38" ht="12.75" customHeight="1">
      <c r="A464" s="99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L464" s="7"/>
    </row>
    <row r="465" spans="1:38" ht="12.75" customHeight="1">
      <c r="A465" s="99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L465" s="7"/>
    </row>
    <row r="466" spans="1:38" ht="12.75" customHeight="1">
      <c r="A466" s="99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L466" s="7"/>
    </row>
    <row r="467" spans="1:38" ht="12.75" customHeight="1">
      <c r="A467" s="99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L467" s="7"/>
    </row>
    <row r="468" spans="1:38" ht="12.75" customHeight="1">
      <c r="A468" s="99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L468" s="7"/>
    </row>
    <row r="469" spans="1:38" ht="12.75" customHeight="1">
      <c r="A469" s="99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L469" s="7"/>
    </row>
    <row r="470" spans="1:38" ht="12.75" customHeight="1">
      <c r="A470" s="99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L470" s="7"/>
    </row>
    <row r="471" spans="1:38" ht="12.75" customHeight="1">
      <c r="A471" s="99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L471" s="7"/>
    </row>
    <row r="472" spans="1:38" ht="12.75" customHeight="1">
      <c r="A472" s="99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L472" s="7"/>
    </row>
    <row r="473" spans="1:38" ht="12.75" customHeight="1">
      <c r="A473" s="99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L473" s="7"/>
    </row>
    <row r="474" spans="1:38" ht="12.75" customHeight="1">
      <c r="A474" s="99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L474" s="7"/>
    </row>
    <row r="475" spans="1:38" ht="12.75" customHeight="1">
      <c r="A475" s="99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L475" s="7"/>
    </row>
    <row r="476" spans="1:38" ht="12.75" customHeight="1">
      <c r="A476" s="99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L476" s="7"/>
    </row>
    <row r="477" spans="1:38" ht="12.75" customHeight="1">
      <c r="A477" s="99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L477" s="7"/>
    </row>
    <row r="478" spans="1:38" ht="12.75" customHeight="1">
      <c r="A478" s="99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L478" s="7"/>
    </row>
    <row r="479" spans="1:38" ht="12.75" customHeight="1">
      <c r="A479" s="99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L479" s="7"/>
    </row>
    <row r="480" spans="1:38" ht="12.75" customHeight="1">
      <c r="A480" s="99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L480" s="7"/>
    </row>
    <row r="481" spans="1:38" ht="12.75" customHeight="1">
      <c r="A481" s="99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L481" s="7"/>
    </row>
    <row r="482" spans="1:38" ht="12.75" customHeight="1">
      <c r="A482" s="99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L482" s="7"/>
    </row>
    <row r="483" spans="1:38" ht="12.75" customHeight="1">
      <c r="A483" s="99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L483" s="7"/>
    </row>
    <row r="484" spans="1:38" ht="12.75" customHeight="1">
      <c r="A484" s="99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L484" s="7"/>
    </row>
    <row r="485" spans="1:38" ht="12.75" customHeight="1">
      <c r="A485" s="99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L485" s="7"/>
    </row>
    <row r="486" spans="1:38" ht="12.75" customHeight="1">
      <c r="A486" s="99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L486" s="7"/>
    </row>
    <row r="487" spans="1:38" ht="12.75" customHeight="1">
      <c r="A487" s="99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L487" s="7"/>
    </row>
    <row r="488" spans="1:38" ht="12.75" customHeight="1">
      <c r="A488" s="99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L488" s="7"/>
    </row>
    <row r="489" spans="1:38" ht="12.75" customHeight="1">
      <c r="A489" s="99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L489" s="7"/>
    </row>
    <row r="490" spans="1:38" ht="12.75" customHeight="1">
      <c r="A490" s="99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L490" s="7"/>
    </row>
    <row r="491" spans="1:38" ht="12.75" customHeight="1">
      <c r="A491" s="99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L491" s="7"/>
    </row>
    <row r="492" spans="1:38" ht="12.75" customHeight="1">
      <c r="A492" s="99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L492" s="7"/>
    </row>
    <row r="493" spans="1:38" ht="12.75" customHeight="1">
      <c r="A493" s="99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L493" s="7"/>
    </row>
    <row r="494" spans="1:38" ht="12.75" customHeight="1">
      <c r="A494" s="99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L494" s="7"/>
    </row>
    <row r="495" spans="1:38" ht="12.75" customHeight="1">
      <c r="A495" s="99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L495" s="7"/>
    </row>
    <row r="496" spans="1:38" ht="12.75" customHeight="1">
      <c r="A496" s="99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L496" s="7"/>
    </row>
    <row r="497" spans="1:38" ht="12.75" customHeight="1">
      <c r="A497" s="99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L497" s="7"/>
    </row>
    <row r="498" spans="1:38" ht="12.75" customHeight="1">
      <c r="A498" s="99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L498" s="7"/>
    </row>
    <row r="499" spans="1:38" ht="12.75" customHeight="1">
      <c r="A499" s="99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L499" s="7"/>
    </row>
    <row r="500" spans="1:38" ht="12.75" customHeight="1">
      <c r="A500" s="99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L500" s="7"/>
    </row>
    <row r="501" spans="1:38" ht="12.75" customHeight="1">
      <c r="A501" s="99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L501" s="7"/>
    </row>
    <row r="502" spans="1:38" ht="12.75" customHeight="1">
      <c r="A502" s="99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L502" s="7"/>
    </row>
    <row r="503" spans="1:38" ht="12.75" customHeight="1">
      <c r="A503" s="99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L503" s="7"/>
    </row>
    <row r="504" spans="1:38" ht="12.75" customHeight="1">
      <c r="A504" s="99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L504" s="7"/>
    </row>
    <row r="505" spans="1:38" ht="12.75" customHeight="1">
      <c r="A505" s="99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L505" s="7"/>
    </row>
    <row r="506" spans="1:38" ht="12.75" customHeight="1">
      <c r="A506" s="99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L506" s="7"/>
    </row>
    <row r="507" spans="1:38" ht="12.75" customHeight="1">
      <c r="A507" s="99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L507" s="7"/>
    </row>
    <row r="508" spans="1:38" ht="12.75" customHeight="1">
      <c r="A508" s="99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L508" s="7"/>
    </row>
    <row r="509" spans="1:38" ht="12.75" customHeight="1">
      <c r="A509" s="99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L509" s="7"/>
    </row>
    <row r="510" spans="1:38" ht="12.75" customHeight="1">
      <c r="A510" s="99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L510" s="7"/>
    </row>
    <row r="511" spans="1:38" ht="12.75" customHeight="1">
      <c r="A511" s="99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L511" s="7"/>
    </row>
    <row r="512" spans="1:38" ht="12.75" customHeight="1">
      <c r="A512" s="99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L512" s="7"/>
    </row>
    <row r="513" spans="1:38" ht="12.75" customHeight="1">
      <c r="A513" s="99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L513" s="7"/>
    </row>
    <row r="514" spans="1:38" ht="12.75" customHeight="1">
      <c r="A514" s="99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L514" s="7"/>
    </row>
    <row r="515" spans="1:38" ht="12.75" customHeight="1">
      <c r="A515" s="99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L515" s="7"/>
    </row>
    <row r="516" spans="1:38" ht="12.75" customHeight="1">
      <c r="A516" s="99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L516" s="7"/>
    </row>
    <row r="517" spans="1:38" ht="12.75" customHeight="1">
      <c r="A517" s="99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L517" s="7"/>
    </row>
    <row r="518" spans="1:38" ht="12.75" customHeight="1">
      <c r="A518" s="99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L518" s="7"/>
    </row>
    <row r="519" spans="1:38" ht="12.75" customHeight="1">
      <c r="A519" s="99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L519" s="7"/>
    </row>
    <row r="520" spans="1:38" ht="12.75" customHeight="1">
      <c r="A520" s="99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L520" s="7"/>
    </row>
    <row r="521" spans="1:38" ht="12.75" customHeight="1">
      <c r="A521" s="99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L521" s="7"/>
    </row>
    <row r="522" spans="1:38" ht="12.75" customHeight="1">
      <c r="A522" s="99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L522" s="7"/>
    </row>
    <row r="523" spans="1:38" ht="12.75" customHeight="1">
      <c r="A523" s="99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L523" s="7"/>
    </row>
    <row r="524" spans="1:38" ht="12.75" customHeight="1">
      <c r="A524" s="99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L524" s="7"/>
    </row>
    <row r="525" spans="1:38" ht="12.75" customHeight="1">
      <c r="A525" s="99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L525" s="7"/>
    </row>
    <row r="526" spans="1:38" ht="12.75" customHeight="1">
      <c r="A526" s="99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L526" s="7"/>
    </row>
    <row r="527" spans="1:38" ht="12.75" customHeight="1">
      <c r="A527" s="99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L527" s="7"/>
    </row>
    <row r="528" spans="1:38" ht="12.75" customHeight="1">
      <c r="A528" s="99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L528" s="7"/>
    </row>
    <row r="529" spans="1:38" ht="12.75" customHeight="1">
      <c r="A529" s="99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L529" s="7"/>
    </row>
    <row r="530" spans="1:38" ht="12.75" customHeight="1">
      <c r="A530" s="99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L530" s="7"/>
    </row>
    <row r="531" spans="1:38" ht="12.75" customHeight="1">
      <c r="A531" s="99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L531" s="7"/>
    </row>
    <row r="532" spans="1:38" ht="12.75" customHeight="1">
      <c r="A532" s="99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L532" s="7"/>
    </row>
    <row r="533" spans="1:38" ht="12.75" customHeight="1">
      <c r="A533" s="99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L533" s="7"/>
    </row>
    <row r="534" spans="1:38" ht="12.75" customHeight="1">
      <c r="A534" s="99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L534" s="7"/>
    </row>
    <row r="535" spans="1:38" ht="12.75" customHeight="1">
      <c r="A535" s="99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L535" s="7"/>
    </row>
    <row r="536" spans="1:38" ht="12.75" customHeight="1">
      <c r="A536" s="99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L536" s="7"/>
    </row>
    <row r="537" spans="1:38" ht="12.75" customHeight="1">
      <c r="A537" s="99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L537" s="7"/>
    </row>
    <row r="538" spans="1:38" ht="12.75" customHeight="1">
      <c r="A538" s="99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L538" s="7"/>
    </row>
    <row r="539" spans="1:38" ht="12.75" customHeight="1">
      <c r="A539" s="99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L539" s="7"/>
    </row>
    <row r="540" spans="1:38" ht="12.75" customHeight="1">
      <c r="A540" s="99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L540" s="7"/>
    </row>
    <row r="541" spans="1:38" ht="12.75" customHeight="1">
      <c r="A541" s="99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L541" s="7"/>
    </row>
    <row r="542" spans="1:38" ht="12.75" customHeight="1">
      <c r="A542" s="99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L542" s="7"/>
    </row>
    <row r="543" spans="1:38" ht="12.75" customHeight="1">
      <c r="A543" s="99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L543" s="7"/>
    </row>
    <row r="544" spans="1:38" ht="12.75" customHeight="1">
      <c r="A544" s="99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L544" s="7"/>
    </row>
    <row r="545" spans="1:38" ht="12.75" customHeight="1">
      <c r="A545" s="99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L545" s="7"/>
    </row>
    <row r="546" spans="1:38" ht="12.75" customHeight="1">
      <c r="A546" s="99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L546" s="7"/>
    </row>
    <row r="547" spans="1:38" ht="12.75" customHeight="1">
      <c r="A547" s="99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L547" s="7"/>
    </row>
    <row r="548" spans="1:38" ht="12.75" customHeight="1">
      <c r="A548" s="99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L548" s="7"/>
    </row>
    <row r="549" spans="1:38" ht="12.75" customHeight="1">
      <c r="A549" s="99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L549" s="7"/>
    </row>
    <row r="550" spans="1:38" ht="12.75" customHeight="1">
      <c r="A550" s="99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L550" s="7"/>
    </row>
    <row r="551" spans="1:38" ht="12.75" customHeight="1">
      <c r="A551" s="99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L551" s="7"/>
    </row>
    <row r="552" spans="1:38" ht="12.75" customHeight="1">
      <c r="A552" s="99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L552" s="7"/>
    </row>
    <row r="553" spans="1:38" ht="12.75" customHeight="1">
      <c r="A553" s="99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L553" s="7"/>
    </row>
    <row r="554" spans="1:38" ht="12.75" customHeight="1">
      <c r="A554" s="99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L554" s="7"/>
    </row>
    <row r="555" spans="1:38" ht="12.75" customHeight="1">
      <c r="A555" s="99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L555" s="7"/>
    </row>
    <row r="556" spans="1:38" ht="12.75" customHeight="1">
      <c r="A556" s="99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L556" s="7"/>
    </row>
    <row r="557" spans="1:38" ht="12.75" customHeight="1">
      <c r="A557" s="99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L557" s="7"/>
    </row>
    <row r="558" spans="1:38" ht="12.75" customHeight="1">
      <c r="A558" s="99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L558" s="7"/>
    </row>
    <row r="559" spans="1:38" ht="12.75" customHeight="1">
      <c r="A559" s="99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L559" s="7"/>
    </row>
    <row r="560" spans="1:38" ht="12.75" customHeight="1">
      <c r="A560" s="99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L560" s="7"/>
    </row>
    <row r="561" spans="1:38" ht="12.75" customHeight="1">
      <c r="A561" s="99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L561" s="7"/>
    </row>
    <row r="562" spans="1:38" ht="12.75" customHeight="1">
      <c r="A562" s="99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L562" s="7"/>
    </row>
    <row r="563" spans="1:38" ht="12.75" customHeight="1">
      <c r="A563" s="99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L563" s="7"/>
    </row>
    <row r="564" spans="1:38" ht="12.75" customHeight="1">
      <c r="A564" s="99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L564" s="7"/>
    </row>
    <row r="565" spans="1:38" ht="12.75" customHeight="1">
      <c r="A565" s="99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L565" s="7"/>
    </row>
    <row r="566" spans="1:38" ht="12.75" customHeight="1">
      <c r="A566" s="99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L566" s="7"/>
    </row>
    <row r="567" spans="1:38" ht="12.75" customHeight="1">
      <c r="A567" s="99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L567" s="7"/>
    </row>
    <row r="568" spans="1:38" ht="12.75" customHeight="1">
      <c r="A568" s="99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L568" s="7"/>
    </row>
    <row r="569" spans="1:38" ht="12.75" customHeight="1">
      <c r="A569" s="99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L569" s="7"/>
    </row>
    <row r="570" spans="1:38" ht="12.75" customHeight="1">
      <c r="A570" s="99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L570" s="7"/>
    </row>
    <row r="571" spans="1:38" ht="12.75" customHeight="1">
      <c r="A571" s="99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L571" s="7"/>
    </row>
    <row r="572" spans="1:38" ht="12.75" customHeight="1">
      <c r="A572" s="99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L572" s="7"/>
    </row>
    <row r="573" spans="1:38" ht="12.75" customHeight="1">
      <c r="A573" s="99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L573" s="7"/>
    </row>
    <row r="574" spans="1:38" ht="12.75" customHeight="1">
      <c r="A574" s="99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L574" s="7"/>
    </row>
    <row r="575" spans="1:38" ht="12.75" customHeight="1">
      <c r="A575" s="99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L575" s="7"/>
    </row>
    <row r="576" spans="1:38" ht="12.75" customHeight="1">
      <c r="A576" s="99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L576" s="7"/>
    </row>
    <row r="577" spans="1:38" ht="12.75" customHeight="1">
      <c r="A577" s="99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L577" s="7"/>
    </row>
    <row r="578" spans="1:38" ht="12.75" customHeight="1">
      <c r="A578" s="99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L578" s="7"/>
    </row>
    <row r="579" spans="1:38" ht="12.75" customHeight="1">
      <c r="A579" s="99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L579" s="7"/>
    </row>
    <row r="580" spans="1:38" ht="12.75" customHeight="1">
      <c r="A580" s="99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L580" s="7"/>
    </row>
    <row r="581" spans="1:38" ht="12.75" customHeight="1">
      <c r="A581" s="99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L581" s="7"/>
    </row>
    <row r="582" spans="1:38" ht="12.75" customHeight="1">
      <c r="A582" s="99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L582" s="7"/>
    </row>
    <row r="583" spans="1:38" ht="12.75" customHeight="1">
      <c r="A583" s="99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L583" s="7"/>
    </row>
    <row r="584" spans="1:38" ht="12.75" customHeight="1">
      <c r="A584" s="99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L584" s="7"/>
    </row>
    <row r="585" spans="1:38" ht="12.75" customHeight="1">
      <c r="A585" s="99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L585" s="7"/>
    </row>
    <row r="586" spans="1:38" ht="12.75" customHeight="1">
      <c r="A586" s="99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L586" s="7"/>
    </row>
    <row r="587" spans="1:38" ht="12.75" customHeight="1">
      <c r="A587" s="99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L587" s="7"/>
    </row>
    <row r="588" spans="1:38" ht="12.75" customHeight="1">
      <c r="A588" s="99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L588" s="7"/>
    </row>
    <row r="589" spans="1:38" ht="12.75" customHeight="1">
      <c r="A589" s="99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L589" s="7"/>
    </row>
    <row r="590" spans="1:38" ht="12.75" customHeight="1">
      <c r="A590" s="99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L590" s="7"/>
    </row>
    <row r="591" spans="1:38" ht="12.75" customHeight="1">
      <c r="A591" s="99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L591" s="7"/>
    </row>
    <row r="592" spans="1:38" ht="12.75" customHeight="1">
      <c r="A592" s="99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L592" s="7"/>
    </row>
    <row r="593" spans="1:38" ht="12.75" customHeight="1">
      <c r="A593" s="99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L593" s="7"/>
    </row>
    <row r="594" spans="1:38" ht="12.75" customHeight="1">
      <c r="A594" s="99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L594" s="7"/>
    </row>
    <row r="595" spans="1:38" ht="12.75" customHeight="1">
      <c r="A595" s="99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L595" s="7"/>
    </row>
    <row r="596" spans="1:38" ht="12.75" customHeight="1">
      <c r="A596" s="99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L596" s="7"/>
    </row>
    <row r="597" spans="1:38" ht="12.75" customHeight="1">
      <c r="A597" s="99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L597" s="7"/>
    </row>
    <row r="598" spans="1:38" ht="12.75" customHeight="1">
      <c r="A598" s="99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L598" s="7"/>
    </row>
    <row r="599" spans="1:38" ht="12.75" customHeight="1">
      <c r="A599" s="99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L599" s="7"/>
    </row>
    <row r="600" spans="1:38" ht="12.75" customHeight="1">
      <c r="A600" s="99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L600" s="7"/>
    </row>
    <row r="601" spans="1:38" ht="12.75" customHeight="1">
      <c r="A601" s="99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L601" s="7"/>
    </row>
    <row r="602" spans="1:38" ht="12.75" customHeight="1">
      <c r="A602" s="99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L602" s="7"/>
    </row>
    <row r="603" spans="1:38" ht="12.75" customHeight="1">
      <c r="A603" s="99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L603" s="7"/>
    </row>
    <row r="604" spans="1:38" ht="12.75" customHeight="1">
      <c r="A604" s="99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L604" s="7"/>
    </row>
    <row r="605" spans="1:38" ht="12.75" customHeight="1">
      <c r="A605" s="99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L605" s="7"/>
    </row>
    <row r="606" spans="1:38" ht="12.75" customHeight="1">
      <c r="A606" s="99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L606" s="7"/>
    </row>
    <row r="607" spans="1:38" ht="12.75" customHeight="1">
      <c r="A607" s="99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L607" s="7"/>
    </row>
    <row r="608" spans="1:38" ht="12.75" customHeight="1">
      <c r="A608" s="99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L608" s="7"/>
    </row>
    <row r="609" spans="1:38" ht="12.75" customHeight="1">
      <c r="A609" s="99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L609" s="7"/>
    </row>
    <row r="610" spans="1:38" ht="12.75" customHeight="1">
      <c r="A610" s="99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L610" s="7"/>
    </row>
    <row r="611" spans="1:38" ht="12.75" customHeight="1">
      <c r="A611" s="99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L611" s="7"/>
    </row>
    <row r="612" spans="1:38" ht="12.75" customHeight="1">
      <c r="A612" s="99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L612" s="7"/>
    </row>
    <row r="613" spans="1:38" ht="12.75" customHeight="1">
      <c r="A613" s="99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L613" s="7"/>
    </row>
    <row r="614" spans="1:38" ht="12.75" customHeight="1">
      <c r="A614" s="99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L614" s="7"/>
    </row>
    <row r="615" spans="1:38" ht="12.75" customHeight="1">
      <c r="A615" s="99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L615" s="7"/>
    </row>
    <row r="616" spans="1:38" ht="12.75" customHeight="1">
      <c r="A616" s="99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L616" s="7"/>
    </row>
    <row r="617" spans="1:38" ht="12.75" customHeight="1">
      <c r="A617" s="99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L617" s="7"/>
    </row>
    <row r="618" spans="1:38" ht="12.75" customHeight="1">
      <c r="A618" s="99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L618" s="7"/>
    </row>
    <row r="619" spans="1:38" ht="12.75" customHeight="1">
      <c r="A619" s="99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L619" s="7"/>
    </row>
    <row r="620" spans="1:38" ht="12.75" customHeight="1">
      <c r="A620" s="99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L620" s="7"/>
    </row>
    <row r="621" spans="1:38" ht="12.75" customHeight="1">
      <c r="A621" s="99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L621" s="7"/>
    </row>
    <row r="622" spans="1:38" ht="12.75" customHeight="1">
      <c r="A622" s="99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L622" s="7"/>
    </row>
    <row r="623" spans="1:38" ht="12.75" customHeight="1">
      <c r="A623" s="99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L623" s="7"/>
    </row>
    <row r="624" spans="1:38" ht="12.75" customHeight="1">
      <c r="A624" s="99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L624" s="7"/>
    </row>
    <row r="625" spans="1:38" ht="12.75" customHeight="1">
      <c r="A625" s="99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L625" s="7"/>
    </row>
    <row r="626" spans="1:38" ht="12.75" customHeight="1">
      <c r="A626" s="99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L626" s="7"/>
    </row>
    <row r="627" spans="1:38" ht="12.75" customHeight="1">
      <c r="A627" s="99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L627" s="7"/>
    </row>
    <row r="628" spans="1:38" ht="12.75" customHeight="1">
      <c r="A628" s="99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L628" s="7"/>
    </row>
    <row r="629" spans="1:38" ht="12.75" customHeight="1">
      <c r="A629" s="99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L629" s="7"/>
    </row>
    <row r="630" spans="1:38" ht="12.75" customHeight="1">
      <c r="A630" s="99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L630" s="7"/>
    </row>
    <row r="631" spans="1:38" ht="12.75" customHeight="1">
      <c r="A631" s="99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L631" s="7"/>
    </row>
    <row r="632" spans="1:38" ht="12.75" customHeight="1">
      <c r="A632" s="99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L632" s="7"/>
    </row>
    <row r="633" spans="1:38" ht="12.75" customHeight="1">
      <c r="A633" s="99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L633" s="7"/>
    </row>
    <row r="634" spans="1:38" ht="12.75" customHeight="1">
      <c r="A634" s="99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L634" s="7"/>
    </row>
    <row r="635" spans="1:38" ht="12.75" customHeight="1">
      <c r="A635" s="99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L635" s="7"/>
    </row>
    <row r="636" spans="1:38" ht="12.75" customHeight="1">
      <c r="A636" s="99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L636" s="7"/>
    </row>
    <row r="637" spans="1:38" ht="12.75" customHeight="1">
      <c r="A637" s="99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L637" s="7"/>
    </row>
    <row r="638" spans="1:38" ht="12.75" customHeight="1">
      <c r="A638" s="99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L638" s="7"/>
    </row>
    <row r="639" spans="1:38" ht="12.75" customHeight="1">
      <c r="A639" s="99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L639" s="7"/>
    </row>
    <row r="640" spans="1:38" ht="12.75" customHeight="1">
      <c r="A640" s="99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L640" s="7"/>
    </row>
    <row r="641" spans="1:38" ht="12.75" customHeight="1">
      <c r="A641" s="99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L641" s="7"/>
    </row>
    <row r="642" spans="1:38" ht="12.75" customHeight="1">
      <c r="A642" s="99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L642" s="7"/>
    </row>
    <row r="643" spans="1:38" ht="12.75" customHeight="1">
      <c r="A643" s="99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L643" s="7"/>
    </row>
    <row r="644" spans="1:38" ht="12.75" customHeight="1">
      <c r="A644" s="99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L644" s="7"/>
    </row>
    <row r="645" spans="1:38" ht="12.75" customHeight="1">
      <c r="A645" s="99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L645" s="7"/>
    </row>
    <row r="646" spans="1:38" ht="12.75" customHeight="1">
      <c r="A646" s="99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L646" s="7"/>
    </row>
    <row r="647" spans="1:38" ht="12.75" customHeight="1">
      <c r="A647" s="99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L647" s="7"/>
    </row>
    <row r="648" spans="1:38" ht="12.75" customHeight="1">
      <c r="A648" s="99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L648" s="7"/>
    </row>
    <row r="649" spans="1:38" ht="12.75" customHeight="1">
      <c r="A649" s="99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L649" s="7"/>
    </row>
    <row r="650" spans="1:38" ht="12.75" customHeight="1">
      <c r="A650" s="99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L650" s="7"/>
    </row>
    <row r="651" spans="1:38" ht="12.75" customHeight="1">
      <c r="A651" s="99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L651" s="7"/>
    </row>
    <row r="652" spans="1:38" ht="12.75" customHeight="1">
      <c r="A652" s="99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L652" s="7"/>
    </row>
    <row r="653" spans="1:38" ht="12.75" customHeight="1">
      <c r="A653" s="99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L653" s="7"/>
    </row>
    <row r="654" spans="1:38" ht="12.75" customHeight="1">
      <c r="A654" s="99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L654" s="7"/>
    </row>
    <row r="655" spans="1:38" ht="12.75" customHeight="1">
      <c r="A655" s="99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L655" s="7"/>
    </row>
    <row r="656" spans="1:38" ht="12.75" customHeight="1">
      <c r="A656" s="99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L656" s="7"/>
    </row>
    <row r="657" spans="1:38" ht="12.75" customHeight="1">
      <c r="A657" s="99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L657" s="7"/>
    </row>
    <row r="658" spans="1:38" ht="12.75" customHeight="1">
      <c r="A658" s="99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L658" s="7"/>
    </row>
    <row r="659" spans="1:38" ht="12.75" customHeight="1">
      <c r="A659" s="99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L659" s="7"/>
    </row>
    <row r="660" spans="1:38" ht="12.75" customHeight="1">
      <c r="A660" s="99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L660" s="7"/>
    </row>
    <row r="661" spans="1:38" ht="12.75" customHeight="1">
      <c r="A661" s="99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L661" s="7"/>
    </row>
    <row r="662" spans="1:38" ht="12.75" customHeight="1">
      <c r="A662" s="99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L662" s="7"/>
    </row>
    <row r="663" spans="1:38" ht="12.75" customHeight="1">
      <c r="A663" s="99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L663" s="7"/>
    </row>
    <row r="664" spans="1:38" ht="12.75" customHeight="1">
      <c r="A664" s="99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L664" s="7"/>
    </row>
    <row r="665" spans="1:38" ht="12.75" customHeight="1">
      <c r="A665" s="99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L665" s="7"/>
    </row>
    <row r="666" spans="1:38" ht="12.75" customHeight="1">
      <c r="A666" s="99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L666" s="7"/>
    </row>
    <row r="667" spans="1:38" ht="12.75" customHeight="1">
      <c r="A667" s="99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L667" s="7"/>
    </row>
    <row r="668" spans="1:38" ht="12.75" customHeight="1">
      <c r="A668" s="99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L668" s="7"/>
    </row>
    <row r="669" spans="1:38" ht="12.75" customHeight="1">
      <c r="A669" s="99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L669" s="7"/>
    </row>
    <row r="670" spans="1:38" ht="12.75" customHeight="1">
      <c r="A670" s="99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L670" s="7"/>
    </row>
    <row r="671" spans="1:38" ht="12.75" customHeight="1">
      <c r="A671" s="99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L671" s="7"/>
    </row>
    <row r="672" spans="1:38" ht="12.75" customHeight="1">
      <c r="A672" s="99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L672" s="7"/>
    </row>
    <row r="673" spans="1:38" ht="12.75" customHeight="1">
      <c r="A673" s="99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L673" s="7"/>
    </row>
    <row r="674" spans="1:38" ht="12.75" customHeight="1">
      <c r="A674" s="99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L674" s="7"/>
    </row>
    <row r="675" spans="1:38" ht="12.75" customHeight="1">
      <c r="A675" s="99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L675" s="7"/>
    </row>
    <row r="676" spans="1:38" ht="12.75" customHeight="1">
      <c r="A676" s="99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L676" s="7"/>
    </row>
    <row r="677" spans="1:38" ht="12.75" customHeight="1">
      <c r="A677" s="99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L677" s="7"/>
    </row>
    <row r="678" spans="1:38" ht="12.75" customHeight="1">
      <c r="A678" s="99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L678" s="7"/>
    </row>
    <row r="679" spans="1:38" ht="12.75" customHeight="1">
      <c r="A679" s="99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L679" s="7"/>
    </row>
    <row r="680" spans="1:38" ht="12.75" customHeight="1">
      <c r="A680" s="99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L680" s="7"/>
    </row>
    <row r="681" spans="1:38" ht="12.75" customHeight="1">
      <c r="A681" s="99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L681" s="7"/>
    </row>
    <row r="682" spans="1:38" ht="12.75" customHeight="1">
      <c r="A682" s="99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L682" s="7"/>
    </row>
    <row r="683" spans="1:38" ht="12.75" customHeight="1">
      <c r="A683" s="99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L683" s="7"/>
    </row>
    <row r="684" spans="1:38" ht="12.75" customHeight="1">
      <c r="A684" s="99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L684" s="7"/>
    </row>
    <row r="685" spans="1:38" ht="12.75" customHeight="1">
      <c r="A685" s="99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L685" s="7"/>
    </row>
    <row r="686" spans="1:38" ht="12.75" customHeight="1">
      <c r="A686" s="99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L686" s="7"/>
    </row>
    <row r="687" spans="1:38" ht="12.75" customHeight="1">
      <c r="A687" s="99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L687" s="7"/>
    </row>
    <row r="688" spans="1:38" ht="12.75" customHeight="1">
      <c r="A688" s="99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L688" s="7"/>
    </row>
    <row r="689" spans="1:38" ht="12.75" customHeight="1">
      <c r="A689" s="99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L689" s="7"/>
    </row>
    <row r="690" spans="1:38" ht="12.75" customHeight="1">
      <c r="A690" s="99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L690" s="7"/>
    </row>
    <row r="691" spans="1:38" ht="12.75" customHeight="1">
      <c r="A691" s="99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L691" s="7"/>
    </row>
    <row r="692" spans="1:38" ht="12.75" customHeight="1">
      <c r="A692" s="99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L692" s="7"/>
    </row>
    <row r="693" spans="1:38" ht="12.75" customHeight="1">
      <c r="A693" s="99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L693" s="7"/>
    </row>
    <row r="694" spans="1:38" ht="12.75" customHeight="1">
      <c r="A694" s="99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L694" s="7"/>
    </row>
    <row r="695" spans="1:38" ht="12.75" customHeight="1">
      <c r="A695" s="99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L695" s="7"/>
    </row>
    <row r="696" spans="1:38" ht="12.75" customHeight="1">
      <c r="A696" s="99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L696" s="7"/>
    </row>
    <row r="697" spans="1:38" ht="12.75" customHeight="1">
      <c r="A697" s="99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L697" s="7"/>
    </row>
    <row r="698" spans="1:38" ht="12.75" customHeight="1">
      <c r="A698" s="99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L698" s="7"/>
    </row>
    <row r="699" spans="1:38" ht="12.75" customHeight="1">
      <c r="A699" s="99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L699" s="7"/>
    </row>
    <row r="700" spans="1:38" ht="12.75" customHeight="1">
      <c r="A700" s="99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L700" s="7"/>
    </row>
    <row r="701" spans="1:38" ht="12.75" customHeight="1">
      <c r="A701" s="99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L701" s="7"/>
    </row>
    <row r="702" spans="1:38" ht="12.75" customHeight="1">
      <c r="A702" s="99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L702" s="7"/>
    </row>
    <row r="703" spans="1:38" ht="12.75" customHeight="1">
      <c r="A703" s="99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L703" s="7"/>
    </row>
    <row r="704" spans="1:38" ht="12.75" customHeight="1">
      <c r="A704" s="99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L704" s="7"/>
    </row>
    <row r="705" spans="1:38" ht="12.75" customHeight="1">
      <c r="A705" s="99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L705" s="7"/>
    </row>
    <row r="706" spans="1:38" ht="12.75" customHeight="1">
      <c r="A706" s="99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L706" s="7"/>
    </row>
    <row r="707" spans="1:38" ht="12.75" customHeight="1">
      <c r="A707" s="99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L707" s="7"/>
    </row>
    <row r="708" spans="1:38" ht="12.75" customHeight="1">
      <c r="A708" s="99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L708" s="7"/>
    </row>
    <row r="709" spans="1:38" ht="12.75" customHeight="1">
      <c r="A709" s="99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L709" s="7"/>
    </row>
    <row r="710" spans="1:38" ht="12.75" customHeight="1">
      <c r="A710" s="99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L710" s="7"/>
    </row>
    <row r="711" spans="1:38" ht="12.75" customHeight="1">
      <c r="A711" s="99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L711" s="7"/>
    </row>
    <row r="712" spans="1:38" ht="12.75" customHeight="1">
      <c r="A712" s="99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L712" s="7"/>
    </row>
    <row r="713" spans="1:38" ht="12.75" customHeight="1">
      <c r="A713" s="99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L713" s="7"/>
    </row>
    <row r="714" spans="1:38" ht="12.75" customHeight="1">
      <c r="A714" s="99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L714" s="7"/>
    </row>
    <row r="715" spans="1:38" ht="12.75" customHeight="1">
      <c r="A715" s="99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L715" s="7"/>
    </row>
    <row r="716" spans="1:38" ht="12.75" customHeight="1">
      <c r="A716" s="99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L716" s="7"/>
    </row>
    <row r="717" spans="1:38" ht="12.75" customHeight="1">
      <c r="A717" s="99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L717" s="7"/>
    </row>
    <row r="718" spans="1:38" ht="12.75" customHeight="1">
      <c r="A718" s="99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L718" s="7"/>
    </row>
    <row r="719" spans="1:38" ht="12.75" customHeight="1">
      <c r="A719" s="99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L719" s="7"/>
    </row>
    <row r="720" spans="1:38" ht="12.75" customHeight="1">
      <c r="A720" s="99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L720" s="7"/>
    </row>
    <row r="721" spans="1:38" ht="12.75" customHeight="1">
      <c r="A721" s="99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L721" s="7"/>
    </row>
    <row r="722" spans="1:38" ht="12.75" customHeight="1">
      <c r="A722" s="99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L722" s="7"/>
    </row>
    <row r="723" spans="1:38" ht="12.75" customHeight="1">
      <c r="A723" s="99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L723" s="7"/>
    </row>
    <row r="724" spans="1:38" ht="12.75" customHeight="1">
      <c r="A724" s="99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L724" s="7"/>
    </row>
    <row r="725" spans="1:38" ht="12.75" customHeight="1">
      <c r="A725" s="99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L725" s="7"/>
    </row>
    <row r="726" spans="1:38" ht="12.75" customHeight="1">
      <c r="A726" s="99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L726" s="7"/>
    </row>
    <row r="727" spans="1:38" ht="12.75" customHeight="1">
      <c r="A727" s="99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L727" s="7"/>
    </row>
    <row r="728" spans="1:38" ht="12.75" customHeight="1">
      <c r="A728" s="99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L728" s="7"/>
    </row>
    <row r="729" spans="1:38" ht="12.75" customHeight="1">
      <c r="A729" s="99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L729" s="7"/>
    </row>
    <row r="730" spans="1:38" ht="12.75" customHeight="1">
      <c r="A730" s="99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L730" s="7"/>
    </row>
    <row r="731" spans="1:38" ht="12.75" customHeight="1">
      <c r="A731" s="99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L731" s="7"/>
    </row>
    <row r="732" spans="1:38" ht="12.75" customHeight="1">
      <c r="A732" s="99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L732" s="7"/>
    </row>
    <row r="733" spans="1:38" ht="12.75" customHeight="1">
      <c r="A733" s="99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L733" s="7"/>
    </row>
    <row r="734" spans="1:38" ht="12.75" customHeight="1">
      <c r="A734" s="99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L734" s="7"/>
    </row>
    <row r="735" spans="1:38" ht="12.75" customHeight="1">
      <c r="A735" s="99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L735" s="7"/>
    </row>
    <row r="736" spans="1:38" ht="12.75" customHeight="1">
      <c r="A736" s="99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L736" s="7"/>
    </row>
    <row r="737" spans="1:38" ht="12.75" customHeight="1">
      <c r="A737" s="99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L737" s="7"/>
    </row>
    <row r="738" spans="1:38" ht="12.75" customHeight="1">
      <c r="A738" s="99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L738" s="7"/>
    </row>
    <row r="739" spans="1:38" ht="12.75" customHeight="1">
      <c r="A739" s="99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L739" s="7"/>
    </row>
    <row r="740" spans="1:38" ht="12.75" customHeight="1">
      <c r="A740" s="99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L740" s="7"/>
    </row>
    <row r="741" spans="1:38" ht="12.75" customHeight="1">
      <c r="A741" s="99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L741" s="7"/>
    </row>
    <row r="742" spans="1:38" ht="12.75" customHeight="1">
      <c r="A742" s="99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L742" s="7"/>
    </row>
    <row r="743" spans="1:38" ht="12.75" customHeight="1">
      <c r="A743" s="99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L743" s="7"/>
    </row>
    <row r="744" spans="1:38" ht="12.75" customHeight="1">
      <c r="A744" s="99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L744" s="7"/>
    </row>
    <row r="745" spans="1:38" ht="12.75" customHeight="1">
      <c r="A745" s="99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L745" s="7"/>
    </row>
    <row r="746" spans="1:38" ht="12.75" customHeight="1">
      <c r="A746" s="99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L746" s="7"/>
    </row>
    <row r="747" spans="1:38" ht="12.75" customHeight="1">
      <c r="A747" s="99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L747" s="7"/>
    </row>
    <row r="748" spans="1:38" ht="12.75" customHeight="1">
      <c r="A748" s="99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L748" s="7"/>
    </row>
    <row r="749" spans="1:38" ht="12.75" customHeight="1">
      <c r="A749" s="99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L749" s="7"/>
    </row>
    <row r="750" spans="1:38" ht="12.75" customHeight="1">
      <c r="A750" s="99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L750" s="7"/>
    </row>
    <row r="751" spans="1:38" ht="12.75" customHeight="1">
      <c r="A751" s="99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L751" s="7"/>
    </row>
    <row r="752" spans="1:38" ht="12.75" customHeight="1">
      <c r="A752" s="99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L752" s="7"/>
    </row>
    <row r="753" spans="1:38" ht="12.75" customHeight="1">
      <c r="A753" s="99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L753" s="7"/>
    </row>
    <row r="754" spans="1:38" ht="12.75" customHeight="1">
      <c r="A754" s="99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L754" s="7"/>
    </row>
    <row r="755" spans="1:38" ht="12.75" customHeight="1">
      <c r="A755" s="99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L755" s="7"/>
    </row>
    <row r="756" spans="1:38" ht="12.75" customHeight="1">
      <c r="A756" s="99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L756" s="7"/>
    </row>
    <row r="757" spans="1:38" ht="12.75" customHeight="1">
      <c r="A757" s="99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L757" s="7"/>
    </row>
    <row r="758" spans="1:38" ht="12.75" customHeight="1">
      <c r="A758" s="99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L758" s="7"/>
    </row>
    <row r="759" spans="1:38" ht="12.75" customHeight="1">
      <c r="A759" s="99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L759" s="7"/>
    </row>
    <row r="760" spans="1:38" ht="12.75" customHeight="1">
      <c r="A760" s="99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L760" s="7"/>
    </row>
    <row r="761" spans="1:38" ht="12.75" customHeight="1">
      <c r="A761" s="99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L761" s="7"/>
    </row>
    <row r="762" spans="1:38" ht="12.75" customHeight="1">
      <c r="A762" s="99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L762" s="7"/>
    </row>
    <row r="763" spans="1:38" ht="12.75" customHeight="1">
      <c r="A763" s="99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L763" s="7"/>
    </row>
    <row r="764" spans="1:38" ht="12.75" customHeight="1">
      <c r="A764" s="99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L764" s="7"/>
    </row>
    <row r="765" spans="1:38" ht="12.75" customHeight="1">
      <c r="A765" s="99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L765" s="7"/>
    </row>
    <row r="766" spans="1:38" ht="12.75" customHeight="1">
      <c r="A766" s="99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L766" s="7"/>
    </row>
    <row r="767" spans="1:38" ht="12.75" customHeight="1">
      <c r="A767" s="99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L767" s="7"/>
    </row>
    <row r="768" spans="1:38" ht="12.75" customHeight="1">
      <c r="A768" s="99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L768" s="7"/>
    </row>
    <row r="769" spans="1:38" ht="12.75" customHeight="1">
      <c r="A769" s="99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L769" s="7"/>
    </row>
    <row r="770" spans="1:38" ht="12.75" customHeight="1">
      <c r="A770" s="99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L770" s="7"/>
    </row>
    <row r="771" spans="1:38" ht="12.75" customHeight="1">
      <c r="A771" s="99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L771" s="7"/>
    </row>
    <row r="772" spans="1:38" ht="12.75" customHeight="1">
      <c r="A772" s="99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L772" s="7"/>
    </row>
    <row r="773" spans="1:38" ht="12.75" customHeight="1">
      <c r="A773" s="99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L773" s="7"/>
    </row>
    <row r="774" spans="1:38" ht="12.75" customHeight="1">
      <c r="A774" s="99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L774" s="7"/>
    </row>
    <row r="775" spans="1:38" ht="12.75" customHeight="1">
      <c r="A775" s="99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L775" s="7"/>
    </row>
    <row r="776" spans="1:38" ht="12.75" customHeight="1">
      <c r="A776" s="99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L776" s="7"/>
    </row>
    <row r="777" spans="1:38" ht="12.75" customHeight="1">
      <c r="A777" s="99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L777" s="7"/>
    </row>
    <row r="778" spans="1:38" ht="12.75" customHeight="1">
      <c r="A778" s="99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L778" s="7"/>
    </row>
    <row r="779" spans="1:38" ht="12.75" customHeight="1">
      <c r="A779" s="99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L779" s="7"/>
    </row>
    <row r="780" spans="1:38" ht="12.75" customHeight="1">
      <c r="A780" s="99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L780" s="7"/>
    </row>
    <row r="781" spans="1:38" ht="12.75" customHeight="1">
      <c r="A781" s="99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L781" s="7"/>
    </row>
    <row r="782" spans="1:38" ht="12.75" customHeight="1">
      <c r="A782" s="99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L782" s="7"/>
    </row>
    <row r="783" spans="1:38" ht="12.75" customHeight="1">
      <c r="A783" s="99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L783" s="7"/>
    </row>
    <row r="784" spans="1:38" ht="12.75" customHeight="1">
      <c r="A784" s="99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L784" s="7"/>
    </row>
    <row r="785" spans="1:38" ht="12.75" customHeight="1">
      <c r="A785" s="99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L785" s="7"/>
    </row>
    <row r="786" spans="1:38" ht="12.75" customHeight="1">
      <c r="A786" s="99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L786" s="7"/>
    </row>
    <row r="787" spans="1:38" ht="12.75" customHeight="1">
      <c r="A787" s="99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L787" s="7"/>
    </row>
    <row r="788" spans="1:38" ht="12.75" customHeight="1">
      <c r="A788" s="99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L788" s="7"/>
    </row>
    <row r="789" spans="1:38" ht="12.75" customHeight="1">
      <c r="A789" s="99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L789" s="7"/>
    </row>
    <row r="790" spans="1:38" ht="12.75" customHeight="1">
      <c r="A790" s="99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L790" s="7"/>
    </row>
    <row r="791" spans="1:38" ht="12.75" customHeight="1">
      <c r="A791" s="99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L791" s="7"/>
    </row>
    <row r="792" spans="1:38" ht="12.75" customHeight="1">
      <c r="A792" s="99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L792" s="7"/>
    </row>
    <row r="793" spans="1:38" ht="12.75" customHeight="1">
      <c r="A793" s="99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L793" s="7"/>
    </row>
    <row r="794" spans="1:38" ht="12.75" customHeight="1">
      <c r="A794" s="99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L794" s="7"/>
    </row>
    <row r="795" spans="1:38" ht="12.75" customHeight="1">
      <c r="A795" s="99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L795" s="7"/>
    </row>
    <row r="796" spans="1:38" ht="12.75" customHeight="1">
      <c r="A796" s="99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L796" s="7"/>
    </row>
    <row r="797" spans="1:38" ht="12.75" customHeight="1">
      <c r="A797" s="99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L797" s="7"/>
    </row>
    <row r="798" spans="1:38" ht="12.75" customHeight="1">
      <c r="A798" s="99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L798" s="7"/>
    </row>
    <row r="799" spans="1:38" ht="12.75" customHeight="1">
      <c r="A799" s="99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L799" s="7"/>
    </row>
    <row r="800" spans="1:38" ht="12.75" customHeight="1">
      <c r="A800" s="99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L800" s="7"/>
    </row>
    <row r="801" spans="1:38" ht="12.75" customHeight="1">
      <c r="A801" s="99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L801" s="7"/>
    </row>
    <row r="802" spans="1:38" ht="12.75" customHeight="1">
      <c r="A802" s="99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L802" s="7"/>
    </row>
    <row r="803" spans="1:38" ht="12.75" customHeight="1">
      <c r="A803" s="99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L803" s="7"/>
    </row>
    <row r="804" spans="1:38" ht="12.75" customHeight="1">
      <c r="A804" s="99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L804" s="7"/>
    </row>
    <row r="805" spans="1:38" ht="12.75" customHeight="1">
      <c r="A805" s="99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L805" s="7"/>
    </row>
    <row r="806" spans="1:38" ht="12.75" customHeight="1">
      <c r="A806" s="99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L806" s="7"/>
    </row>
    <row r="807" spans="1:38" ht="12.75" customHeight="1">
      <c r="A807" s="99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L807" s="7"/>
    </row>
    <row r="808" spans="1:38" ht="12.75" customHeight="1">
      <c r="A808" s="99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L808" s="7"/>
    </row>
    <row r="809" spans="1:38" ht="12.75" customHeight="1">
      <c r="A809" s="99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L809" s="7"/>
    </row>
    <row r="810" spans="1:38" ht="12.75" customHeight="1">
      <c r="A810" s="99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L810" s="7"/>
    </row>
    <row r="811" spans="1:38" ht="12.75" customHeight="1">
      <c r="A811" s="99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L811" s="7"/>
    </row>
    <row r="812" spans="1:38" ht="12.75" customHeight="1">
      <c r="A812" s="99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L812" s="7"/>
    </row>
    <row r="813" spans="1:38" ht="12.75" customHeight="1">
      <c r="A813" s="99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L813" s="7"/>
    </row>
    <row r="814" spans="1:38" ht="12.75" customHeight="1">
      <c r="A814" s="99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L814" s="7"/>
    </row>
    <row r="815" spans="1:38" ht="12.75" customHeight="1">
      <c r="A815" s="99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L815" s="7"/>
    </row>
    <row r="816" spans="1:38" ht="12.75" customHeight="1">
      <c r="A816" s="99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L816" s="7"/>
    </row>
    <row r="817" spans="1:38" ht="12.75" customHeight="1">
      <c r="A817" s="99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L817" s="7"/>
    </row>
    <row r="818" spans="1:38" ht="12.75" customHeight="1">
      <c r="A818" s="99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L818" s="7"/>
    </row>
    <row r="819" spans="1:38" ht="12.75" customHeight="1">
      <c r="A819" s="99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L819" s="7"/>
    </row>
    <row r="820" spans="1:38" ht="12.75" customHeight="1">
      <c r="A820" s="99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L820" s="7"/>
    </row>
    <row r="821" spans="1:38" ht="12.75" customHeight="1">
      <c r="A821" s="99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L821" s="7"/>
    </row>
    <row r="822" spans="1:38" ht="12.75" customHeight="1">
      <c r="A822" s="99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L822" s="7"/>
    </row>
    <row r="823" spans="1:38" ht="12.75" customHeight="1">
      <c r="A823" s="99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L823" s="7"/>
    </row>
    <row r="824" spans="1:38" ht="12.75" customHeight="1">
      <c r="A824" s="99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L824" s="7"/>
    </row>
    <row r="825" spans="1:38" ht="12.75" customHeight="1">
      <c r="A825" s="99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L825" s="7"/>
    </row>
    <row r="826" spans="1:38" ht="12.75" customHeight="1">
      <c r="A826" s="99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L826" s="7"/>
    </row>
    <row r="827" spans="1:38" ht="12.75" customHeight="1">
      <c r="A827" s="99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L827" s="7"/>
    </row>
    <row r="828" spans="1:38" ht="12.75" customHeight="1">
      <c r="A828" s="99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L828" s="7"/>
    </row>
    <row r="829" spans="1:38" ht="12.75" customHeight="1">
      <c r="A829" s="99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L829" s="7"/>
    </row>
    <row r="830" spans="1:38" ht="12.75" customHeight="1">
      <c r="A830" s="99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L830" s="7"/>
    </row>
    <row r="831" spans="1:38" ht="12.75" customHeight="1">
      <c r="A831" s="99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L831" s="7"/>
    </row>
    <row r="832" spans="1:38" ht="12.75" customHeight="1">
      <c r="A832" s="99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L832" s="7"/>
    </row>
    <row r="833" spans="1:38" ht="12.75" customHeight="1">
      <c r="A833" s="99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L833" s="7"/>
    </row>
    <row r="834" spans="1:38" ht="12.75" customHeight="1">
      <c r="A834" s="99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L834" s="7"/>
    </row>
    <row r="835" spans="1:38" ht="12.75" customHeight="1">
      <c r="A835" s="99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L835" s="7"/>
    </row>
    <row r="836" spans="1:38" ht="12.75" customHeight="1">
      <c r="A836" s="99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L836" s="7"/>
    </row>
    <row r="837" spans="1:38" ht="12.75" customHeight="1">
      <c r="A837" s="99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L837" s="7"/>
    </row>
    <row r="838" spans="1:38" ht="12.75" customHeight="1">
      <c r="A838" s="99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L838" s="7"/>
    </row>
    <row r="839" spans="1:38" ht="12.75" customHeight="1">
      <c r="A839" s="99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L839" s="7"/>
    </row>
    <row r="840" spans="1:38" ht="12.75" customHeight="1">
      <c r="A840" s="99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L840" s="7"/>
    </row>
    <row r="841" spans="1:38" ht="12.75" customHeight="1">
      <c r="A841" s="99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L841" s="7"/>
    </row>
    <row r="842" spans="1:38" ht="12.75" customHeight="1">
      <c r="A842" s="99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L842" s="7"/>
    </row>
    <row r="843" spans="1:38" ht="12.75" customHeight="1">
      <c r="A843" s="99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L843" s="7"/>
    </row>
    <row r="844" spans="1:38" ht="12.75" customHeight="1">
      <c r="A844" s="99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L844" s="7"/>
    </row>
    <row r="845" spans="1:38" ht="12.75" customHeight="1">
      <c r="A845" s="99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L845" s="7"/>
    </row>
    <row r="846" spans="1:38" ht="12.75" customHeight="1">
      <c r="A846" s="99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L846" s="7"/>
    </row>
    <row r="847" spans="1:38" ht="12.75" customHeight="1">
      <c r="A847" s="99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L847" s="7"/>
    </row>
    <row r="848" spans="1:38" ht="12.75" customHeight="1">
      <c r="A848" s="99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L848" s="7"/>
    </row>
    <row r="849" spans="1:38" ht="12.75" customHeight="1">
      <c r="A849" s="99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L849" s="7"/>
    </row>
    <row r="850" spans="1:38" ht="12.75" customHeight="1">
      <c r="A850" s="99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L850" s="7"/>
    </row>
    <row r="851" spans="1:38" ht="12.75" customHeight="1">
      <c r="A851" s="99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L851" s="7"/>
    </row>
    <row r="852" spans="1:38" ht="12.75" customHeight="1">
      <c r="A852" s="99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L852" s="7"/>
    </row>
    <row r="853" spans="1:38" ht="12.75" customHeight="1">
      <c r="A853" s="99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L853" s="7"/>
    </row>
    <row r="854" spans="1:38" ht="12.75" customHeight="1">
      <c r="A854" s="99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L854" s="7"/>
    </row>
    <row r="855" spans="1:38" ht="12.75" customHeight="1">
      <c r="A855" s="99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L855" s="7"/>
    </row>
    <row r="856" spans="1:38" ht="12.75" customHeight="1">
      <c r="A856" s="99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L856" s="7"/>
    </row>
    <row r="857" spans="1:38" ht="12.75" customHeight="1">
      <c r="A857" s="99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L857" s="7"/>
    </row>
    <row r="858" spans="1:38" ht="12.75" customHeight="1">
      <c r="A858" s="99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L858" s="7"/>
    </row>
    <row r="859" spans="1:38" ht="12.75" customHeight="1">
      <c r="A859" s="99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L859" s="7"/>
    </row>
    <row r="860" spans="1:38" ht="12.75" customHeight="1">
      <c r="A860" s="99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L860" s="7"/>
    </row>
    <row r="861" spans="1:38" ht="12.75" customHeight="1">
      <c r="A861" s="99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L861" s="7"/>
    </row>
    <row r="862" spans="1:38" ht="12.75" customHeight="1">
      <c r="A862" s="99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L862" s="7"/>
    </row>
    <row r="863" spans="1:38" ht="12.75" customHeight="1">
      <c r="A863" s="99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L863" s="7"/>
    </row>
    <row r="864" spans="1:38" ht="12.75" customHeight="1">
      <c r="A864" s="99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L864" s="7"/>
    </row>
    <row r="865" spans="1:38" ht="12.75" customHeight="1">
      <c r="A865" s="99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L865" s="7"/>
    </row>
    <row r="866" spans="1:38" ht="12.75" customHeight="1">
      <c r="A866" s="99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L866" s="7"/>
    </row>
    <row r="867" spans="1:38" ht="12.75" customHeight="1">
      <c r="A867" s="99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L867" s="7"/>
    </row>
    <row r="868" spans="1:38" ht="12.75" customHeight="1">
      <c r="A868" s="99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L868" s="7"/>
    </row>
    <row r="869" spans="1:38" ht="12.75" customHeight="1">
      <c r="A869" s="99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L869" s="7"/>
    </row>
    <row r="870" spans="1:38" ht="12.75" customHeight="1">
      <c r="A870" s="99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L870" s="7"/>
    </row>
    <row r="871" spans="1:38" ht="12.75" customHeight="1">
      <c r="A871" s="99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L871" s="7"/>
    </row>
    <row r="872" spans="1:38" ht="12.75" customHeight="1">
      <c r="A872" s="99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L872" s="7"/>
    </row>
    <row r="873" spans="1:38" ht="12.75" customHeight="1">
      <c r="A873" s="99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L873" s="7"/>
    </row>
    <row r="874" spans="1:38" ht="12.75" customHeight="1">
      <c r="A874" s="99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L874" s="7"/>
    </row>
    <row r="875" spans="1:38" ht="12.75" customHeight="1">
      <c r="A875" s="99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L875" s="7"/>
    </row>
    <row r="876" spans="1:38" ht="12.75" customHeight="1">
      <c r="A876" s="99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L876" s="7"/>
    </row>
    <row r="877" spans="1:38" ht="12.75" customHeight="1">
      <c r="A877" s="99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L877" s="7"/>
    </row>
    <row r="878" spans="1:38" ht="12.75" customHeight="1">
      <c r="A878" s="99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L878" s="7"/>
    </row>
    <row r="879" spans="1:38" ht="12.75" customHeight="1">
      <c r="A879" s="99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L879" s="7"/>
    </row>
    <row r="880" spans="1:38" ht="12.75" customHeight="1">
      <c r="A880" s="99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L880" s="7"/>
    </row>
    <row r="881" spans="1:38" ht="12.75" customHeight="1">
      <c r="A881" s="99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L881" s="7"/>
    </row>
    <row r="882" spans="1:38" ht="12.75" customHeight="1">
      <c r="A882" s="99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L882" s="7"/>
    </row>
    <row r="883" spans="1:38" ht="12.75" customHeight="1">
      <c r="A883" s="99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L883" s="7"/>
    </row>
    <row r="884" spans="1:38" ht="12.75" customHeight="1">
      <c r="A884" s="99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L884" s="7"/>
    </row>
    <row r="885" spans="1:38" ht="12.75" customHeight="1">
      <c r="A885" s="99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L885" s="7"/>
    </row>
    <row r="886" spans="1:38" ht="12.75" customHeight="1">
      <c r="A886" s="99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L886" s="7"/>
    </row>
    <row r="887" spans="1:38" ht="12.75" customHeight="1">
      <c r="A887" s="99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L887" s="7"/>
    </row>
    <row r="888" spans="1:38" ht="12.75" customHeight="1">
      <c r="A888" s="99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L888" s="7"/>
    </row>
    <row r="889" spans="1:38" ht="12.75" customHeight="1">
      <c r="A889" s="99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L889" s="7"/>
    </row>
    <row r="890" spans="1:38" ht="12.75" customHeight="1">
      <c r="A890" s="99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L890" s="7"/>
    </row>
    <row r="891" spans="1:38" ht="12.75" customHeight="1">
      <c r="A891" s="99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L891" s="7"/>
    </row>
    <row r="892" spans="1:38" ht="12.75" customHeight="1">
      <c r="A892" s="99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L892" s="7"/>
    </row>
    <row r="893" spans="1:38" ht="12.75" customHeight="1">
      <c r="A893" s="99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L893" s="7"/>
    </row>
    <row r="894" spans="1:38" ht="12.75" customHeight="1">
      <c r="A894" s="99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L894" s="7"/>
    </row>
    <row r="895" spans="1:38" ht="12.75" customHeight="1">
      <c r="A895" s="99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L895" s="7"/>
    </row>
    <row r="896" spans="1:38" ht="12.75" customHeight="1">
      <c r="A896" s="99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L896" s="7"/>
    </row>
    <row r="897" spans="1:38" ht="12.75" customHeight="1">
      <c r="A897" s="99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L897" s="7"/>
    </row>
    <row r="898" spans="1:38" ht="12.75" customHeight="1">
      <c r="A898" s="99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L898" s="7"/>
    </row>
    <row r="899" spans="1:38" ht="12.75" customHeight="1">
      <c r="A899" s="99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L899" s="7"/>
    </row>
    <row r="900" spans="1:38" ht="12.75" customHeight="1">
      <c r="A900" s="99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L900" s="7"/>
    </row>
    <row r="901" spans="1:38" ht="12.75" customHeight="1">
      <c r="A901" s="99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L901" s="7"/>
    </row>
    <row r="902" spans="1:38" ht="12.75" customHeight="1">
      <c r="A902" s="99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L902" s="7"/>
    </row>
    <row r="903" spans="1:38" ht="12.75" customHeight="1">
      <c r="A903" s="99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L903" s="7"/>
    </row>
    <row r="904" spans="1:38" ht="12.75" customHeight="1">
      <c r="A904" s="99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L904" s="7"/>
    </row>
    <row r="905" spans="1:38" ht="12.75" customHeight="1">
      <c r="A905" s="99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L905" s="7"/>
    </row>
    <row r="906" spans="1:38" ht="12.75" customHeight="1">
      <c r="A906" s="99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L906" s="7"/>
    </row>
    <row r="907" spans="1:38" ht="12.75" customHeight="1">
      <c r="A907" s="99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L907" s="7"/>
    </row>
    <row r="908" spans="1:38" ht="12.75" customHeight="1">
      <c r="A908" s="99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L908" s="7"/>
    </row>
    <row r="909" spans="1:38" ht="12.75" customHeight="1">
      <c r="A909" s="99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L909" s="7"/>
    </row>
    <row r="910" spans="1:38" ht="12.75" customHeight="1">
      <c r="A910" s="99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L910" s="7"/>
    </row>
    <row r="911" spans="1:38" ht="12.75" customHeight="1">
      <c r="A911" s="99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L911" s="7"/>
    </row>
    <row r="912" spans="1:38" ht="12.75" customHeight="1">
      <c r="A912" s="99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L912" s="7"/>
    </row>
    <row r="913" spans="1:38" ht="12.75" customHeight="1">
      <c r="A913" s="99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L913" s="7"/>
    </row>
    <row r="914" spans="1:38" ht="12.75" customHeight="1">
      <c r="A914" s="99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L914" s="7"/>
    </row>
    <row r="915" spans="1:38" ht="12.75" customHeight="1">
      <c r="A915" s="99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L915" s="7"/>
    </row>
    <row r="916" spans="1:38" ht="12.75" customHeight="1">
      <c r="A916" s="99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L916" s="7"/>
    </row>
    <row r="917" spans="1:38" ht="12.75" customHeight="1">
      <c r="A917" s="99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L917" s="7"/>
    </row>
    <row r="918" spans="1:38" ht="12.75" customHeight="1">
      <c r="A918" s="99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L918" s="7"/>
    </row>
    <row r="919" spans="1:38" ht="12.75" customHeight="1">
      <c r="A919" s="99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L919" s="7"/>
    </row>
    <row r="920" spans="1:38" ht="12.75" customHeight="1">
      <c r="A920" s="99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L920" s="7"/>
    </row>
    <row r="921" spans="1:38" ht="12.75" customHeight="1">
      <c r="A921" s="99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L921" s="7"/>
    </row>
    <row r="922" spans="1:38" ht="12.75" customHeight="1">
      <c r="A922" s="99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L922" s="7"/>
    </row>
    <row r="923" spans="1:38" ht="12.75" customHeight="1">
      <c r="A923" s="99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L923" s="7"/>
    </row>
    <row r="924" spans="1:38" ht="12.75" customHeight="1">
      <c r="A924" s="99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L924" s="7"/>
    </row>
    <row r="925" spans="1:38" ht="12.75" customHeight="1">
      <c r="A925" s="99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L925" s="7"/>
    </row>
    <row r="926" spans="1:38" ht="12.75" customHeight="1">
      <c r="A926" s="99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L926" s="7"/>
    </row>
    <row r="927" spans="1:38" ht="12.75" customHeight="1">
      <c r="A927" s="99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L927" s="7"/>
    </row>
    <row r="928" spans="1:38" ht="12.75" customHeight="1">
      <c r="A928" s="99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L928" s="7"/>
    </row>
    <row r="929" spans="1:38" ht="12.75" customHeight="1">
      <c r="A929" s="99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L929" s="7"/>
    </row>
    <row r="930" spans="1:38" ht="12.75" customHeight="1">
      <c r="A930" s="99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L930" s="7"/>
    </row>
    <row r="931" spans="1:38" ht="12.75" customHeight="1">
      <c r="A931" s="99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L931" s="7"/>
    </row>
    <row r="932" spans="1:38" ht="12.75" customHeight="1">
      <c r="A932" s="99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L932" s="7"/>
    </row>
    <row r="933" spans="1:38" ht="12.75" customHeight="1">
      <c r="A933" s="99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L933" s="7"/>
    </row>
    <row r="934" spans="1:38" ht="12.75" customHeight="1">
      <c r="A934" s="99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L934" s="7"/>
    </row>
    <row r="935" spans="1:38" ht="12.75" customHeight="1">
      <c r="A935" s="99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L935" s="7"/>
    </row>
    <row r="936" spans="1:38" ht="12.75" customHeight="1">
      <c r="A936" s="99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L936" s="7"/>
    </row>
    <row r="937" spans="1:38" ht="12.75" customHeight="1">
      <c r="A937" s="99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L937" s="7"/>
    </row>
    <row r="938" spans="1:38" ht="12.75" customHeight="1">
      <c r="A938" s="99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L938" s="7"/>
    </row>
    <row r="939" spans="1:38" ht="12.75" customHeight="1">
      <c r="A939" s="99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L939" s="7"/>
    </row>
    <row r="940" spans="1:38" ht="12.75" customHeight="1">
      <c r="A940" s="99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L940" s="7"/>
    </row>
    <row r="941" spans="1:38" ht="12.75" customHeight="1">
      <c r="A941" s="99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L941" s="7"/>
    </row>
    <row r="942" spans="1:38" ht="12.75" customHeight="1">
      <c r="A942" s="99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L942" s="7"/>
    </row>
    <row r="943" spans="1:38" ht="12.75" customHeight="1">
      <c r="A943" s="99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L943" s="7"/>
    </row>
    <row r="944" spans="1:38" ht="12.75" customHeight="1">
      <c r="A944" s="99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L944" s="7"/>
    </row>
    <row r="945" spans="1:38" ht="12.75" customHeight="1">
      <c r="A945" s="99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L945" s="7"/>
    </row>
    <row r="946" spans="1:38" ht="12.75" customHeight="1">
      <c r="A946" s="99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L946" s="7"/>
    </row>
    <row r="947" spans="1:38" ht="12.75" customHeight="1">
      <c r="A947" s="99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L947" s="7"/>
    </row>
    <row r="948" spans="1:38" ht="12.75" customHeight="1">
      <c r="A948" s="99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L948" s="7"/>
    </row>
    <row r="949" spans="1:38" ht="12.75" customHeight="1">
      <c r="A949" s="99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L949" s="7"/>
    </row>
    <row r="950" spans="1:38" ht="12.75" customHeight="1">
      <c r="A950" s="99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L950" s="7"/>
    </row>
    <row r="951" spans="1:38" ht="12.75" customHeight="1">
      <c r="A951" s="99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L951" s="7"/>
    </row>
    <row r="952" spans="1:38" ht="12.75" customHeight="1">
      <c r="A952" s="99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L952" s="7"/>
    </row>
    <row r="953" spans="1:38" ht="12.75" customHeight="1">
      <c r="A953" s="99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L953" s="7"/>
    </row>
    <row r="954" spans="1:38" ht="12.75" customHeight="1">
      <c r="A954" s="99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L954" s="7"/>
    </row>
    <row r="955" spans="1:38" ht="12.75" customHeight="1">
      <c r="A955" s="99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L955" s="7"/>
    </row>
    <row r="956" spans="1:38" ht="12.75" customHeight="1">
      <c r="A956" s="99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L956" s="7"/>
    </row>
    <row r="957" spans="1:38" ht="12.75" customHeight="1">
      <c r="A957" s="99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L957" s="7"/>
    </row>
    <row r="958" spans="1:38" ht="12.75" customHeight="1">
      <c r="A958" s="99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L958" s="7"/>
    </row>
    <row r="959" spans="1:38" ht="12.75" customHeight="1">
      <c r="A959" s="99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L959" s="7"/>
    </row>
    <row r="960" spans="1:38" ht="12.75" customHeight="1">
      <c r="A960" s="99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L960" s="7"/>
    </row>
    <row r="961" spans="1:38" ht="12.75" customHeight="1">
      <c r="A961" s="99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L961" s="7"/>
    </row>
    <row r="962" spans="1:38" ht="12.75" customHeight="1">
      <c r="A962" s="99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L962" s="7"/>
    </row>
    <row r="963" spans="1:38" ht="12.75" customHeight="1">
      <c r="A963" s="99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L963" s="7"/>
    </row>
    <row r="964" spans="1:38" ht="12.75" customHeight="1">
      <c r="A964" s="99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L964" s="7"/>
    </row>
    <row r="965" spans="1:38" ht="12.75" customHeight="1">
      <c r="A965" s="99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L965" s="7"/>
    </row>
    <row r="966" spans="1:38" ht="12.75" customHeight="1">
      <c r="A966" s="99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L966" s="7"/>
    </row>
    <row r="967" spans="1:38" ht="12.75" customHeight="1">
      <c r="A967" s="99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L967" s="7"/>
    </row>
    <row r="968" spans="1:38" ht="12.75" customHeight="1">
      <c r="A968" s="99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L968" s="7"/>
    </row>
    <row r="969" spans="1:38" ht="12.75" customHeight="1">
      <c r="A969" s="99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L969" s="7"/>
    </row>
    <row r="970" spans="1:38" ht="12.75" customHeight="1">
      <c r="A970" s="99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L970" s="7"/>
    </row>
    <row r="971" spans="1:38" ht="12.75" customHeight="1">
      <c r="A971" s="99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L971" s="7"/>
    </row>
    <row r="972" spans="1:38" ht="12.75" customHeight="1">
      <c r="A972" s="99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L972" s="7"/>
    </row>
    <row r="973" spans="1:38" ht="12.75" customHeight="1">
      <c r="A973" s="99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L973" s="7"/>
    </row>
    <row r="974" spans="1:38" ht="12.75" customHeight="1">
      <c r="A974" s="99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L974" s="7"/>
    </row>
    <row r="975" spans="1:38" ht="12.75" customHeight="1">
      <c r="A975" s="99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L975" s="7"/>
    </row>
    <row r="976" spans="1:38" ht="12.75" customHeight="1">
      <c r="A976" s="99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L976" s="7"/>
    </row>
    <row r="977" spans="1:38" ht="12.75" customHeight="1">
      <c r="A977" s="99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L977" s="7"/>
    </row>
    <row r="978" spans="1:38" ht="12.75" customHeight="1">
      <c r="A978" s="99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L978" s="7"/>
    </row>
    <row r="979" spans="1:38" ht="12.75" customHeight="1">
      <c r="A979" s="99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L979" s="7"/>
    </row>
    <row r="980" spans="1:38" ht="12.75" customHeight="1">
      <c r="A980" s="99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L980" s="7"/>
    </row>
    <row r="981" spans="1:38" ht="12.75" customHeight="1">
      <c r="A981" s="99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L981" s="7"/>
    </row>
    <row r="982" spans="1:38" ht="12.75" customHeight="1">
      <c r="A982" s="99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L982" s="7"/>
    </row>
    <row r="983" spans="1:38" ht="12.75" customHeight="1">
      <c r="A983" s="99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L983" s="7"/>
    </row>
    <row r="984" spans="1:38" ht="12.75" customHeight="1">
      <c r="A984" s="99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L984" s="7"/>
    </row>
    <row r="985" spans="1:38" ht="12.75" customHeight="1">
      <c r="A985" s="99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L985" s="7"/>
    </row>
    <row r="986" spans="1:38" ht="12.75" customHeight="1">
      <c r="A986" s="99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L986" s="7"/>
    </row>
    <row r="987" spans="1:38" ht="12.75" customHeight="1">
      <c r="A987" s="99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L987" s="7"/>
    </row>
    <row r="988" spans="1:38" ht="12.75" customHeight="1">
      <c r="A988" s="99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L988" s="7"/>
    </row>
    <row r="989" spans="1:38" ht="12.75" customHeight="1">
      <c r="A989" s="99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L989" s="7"/>
    </row>
    <row r="990" spans="1:38" ht="12.75" customHeight="1">
      <c r="A990" s="99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L990" s="7"/>
    </row>
    <row r="991" spans="1:38" ht="12.75" customHeight="1">
      <c r="A991" s="99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L991" s="7"/>
    </row>
    <row r="992" spans="1:38" ht="12.75" customHeight="1">
      <c r="A992" s="99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L992" s="7"/>
    </row>
    <row r="993" spans="1:38" ht="12.75" customHeight="1">
      <c r="A993" s="99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L993" s="7"/>
    </row>
    <row r="994" spans="1:38" ht="12.75" customHeight="1">
      <c r="A994" s="99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L994" s="7"/>
    </row>
    <row r="995" spans="1:38" ht="12.75" customHeight="1">
      <c r="A995" s="99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L995" s="7"/>
    </row>
    <row r="996" spans="1:38" ht="12.75" customHeight="1">
      <c r="A996" s="99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L996" s="7"/>
    </row>
    <row r="997" spans="1:38" ht="12.75" customHeight="1">
      <c r="A997" s="99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L997" s="7"/>
    </row>
    <row r="998" spans="1:38" ht="12.75" customHeight="1">
      <c r="A998" s="99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L998" s="7"/>
    </row>
    <row r="999" spans="1:38" ht="12.75" customHeight="1">
      <c r="A999" s="99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L999" s="7"/>
    </row>
    <row r="1000" spans="1:38" ht="12.75" customHeight="1">
      <c r="A1000" s="99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0385532-E391-4A6A-9B67-7818757CD351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53B87310-EDEA-435C-920A-C8CC4A46020D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000"/>
  <sheetViews>
    <sheetView topLeftCell="A8" zoomScale="138" zoomScaleNormal="85" workbookViewId="0">
      <selection activeCell="W33" sqref="W33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Mai!P1+31</f>
        <v>46174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Mai!X1+1</f>
        <v>6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3" t="s">
        <v>5</v>
      </c>
      <c r="D2" s="154"/>
      <c r="E2" s="155">
        <f>Summen!B18</f>
        <v>10.8</v>
      </c>
      <c r="F2" s="154" t="s">
        <v>6</v>
      </c>
      <c r="G2" s="154"/>
      <c r="H2" s="155">
        <f>Mai!H2+(Mai!Q35/Summen!B9)</f>
        <v>0</v>
      </c>
      <c r="I2" s="154" t="s">
        <v>7</v>
      </c>
      <c r="J2" s="156">
        <f>E2-H2</f>
        <v>10.8</v>
      </c>
      <c r="K2" s="154"/>
      <c r="L2" s="154"/>
      <c r="M2" s="154"/>
      <c r="N2" s="154"/>
      <c r="O2" s="154"/>
      <c r="P2" s="154"/>
      <c r="Q2" s="154"/>
      <c r="R2" s="157"/>
      <c r="S2" s="153"/>
      <c r="T2" s="158" t="s">
        <v>8</v>
      </c>
      <c r="U2" s="159">
        <f>Mai!U35</f>
        <v>0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5"/>
      <c r="AG2" s="9"/>
      <c r="AH2" s="10"/>
      <c r="AI2" s="10"/>
      <c r="AJ2" s="106"/>
      <c r="AK2" s="7"/>
      <c r="AL2" s="7"/>
    </row>
    <row r="3" spans="1:38" ht="69.75" customHeight="1">
      <c r="A3" s="22" t="s">
        <v>10</v>
      </c>
      <c r="B3" s="25"/>
      <c r="C3" s="24" t="s">
        <v>88</v>
      </c>
      <c r="D3" s="24" t="s">
        <v>89</v>
      </c>
      <c r="E3" s="24" t="s">
        <v>90</v>
      </c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160" t="s">
        <v>34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09" t="s">
        <v>26</v>
      </c>
      <c r="AH3" s="110" t="s">
        <v>27</v>
      </c>
      <c r="AI3" s="110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46174</v>
      </c>
      <c r="B4" s="45" t="str">
        <f>IFERROR(VLOOKUP(A4, Feiertage!$B:$C, 2, 0), IF(OR(WEEKDAY(A4,2)=6, WEEKDAY(A4,2)=7), Feiertage!$C$23, ""))</f>
        <v/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61">
        <v>0</v>
      </c>
      <c r="S4" s="47">
        <f t="shared" ref="S4:S33" si="0">SUM(C4:Q4)</f>
        <v>0</v>
      </c>
      <c r="T4" s="47">
        <f t="shared" ref="T4:T33" si="1">S4-R4</f>
        <v>0</v>
      </c>
      <c r="U4" s="48">
        <f>U2+T4</f>
        <v>0</v>
      </c>
      <c r="V4" s="45"/>
      <c r="W4" s="49"/>
      <c r="X4" s="161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3" si="2">(Z4-Y4)+(AB4-AA4)+(AD4-AC4)+(AF4-AE4)</f>
        <v>0</v>
      </c>
      <c r="AH4" s="47">
        <f t="shared" ref="AH4:AH33" si="3">HOUR(AG4)</f>
        <v>0</v>
      </c>
      <c r="AI4" s="47">
        <f t="shared" ref="AI4:AI33" si="4">MINUTE(AG4)/60</f>
        <v>0</v>
      </c>
      <c r="AJ4" s="48">
        <f t="shared" ref="AJ4:AJ33" si="5">AH4+AI4</f>
        <v>0</v>
      </c>
      <c r="AL4" s="54">
        <f t="shared" ref="AL4:AL34" si="6">SUM(C4:Q4)-AJ4</f>
        <v>0</v>
      </c>
    </row>
    <row r="5" spans="1:38" ht="13.5" customHeight="1">
      <c r="A5" s="56">
        <f t="shared" ref="A5:A33" si="7">A4+1</f>
        <v>46175</v>
      </c>
      <c r="B5" s="59" t="str">
        <f>IFERROR(VLOOKUP(A5, Feiertage!$B:$C, 2, 0), IF(OR(WEEKDAY(A5,2)=6, WEEKDAY(A5,2)=7), Feiertage!$C$23, ""))</f>
        <v/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v>0</v>
      </c>
      <c r="S5" s="62">
        <f t="shared" si="0"/>
        <v>0</v>
      </c>
      <c r="T5" s="62">
        <f t="shared" si="1"/>
        <v>0</v>
      </c>
      <c r="U5" s="63">
        <f t="shared" ref="U5:U33" si="8">U4+T5</f>
        <v>0</v>
      </c>
      <c r="V5" s="59"/>
      <c r="W5" s="64"/>
      <c r="X5" s="162">
        <f>V5+W5*Summen!$B$44</f>
        <v>0</v>
      </c>
      <c r="Y5" s="66"/>
      <c r="Z5" s="67"/>
      <c r="AA5" s="67"/>
      <c r="AB5" s="67"/>
      <c r="AC5" s="67"/>
      <c r="AD5" s="67"/>
      <c r="AE5" s="67"/>
      <c r="AF5" s="68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46176</v>
      </c>
      <c r="B6" s="45" t="str">
        <f>IFERROR(VLOOKUP(A6, Feiertage!$B:$C, 2, 0), IF(OR(WEEKDAY(A6,2)=6, WEEKDAY(A6,2)=7), Feiertage!$C$23, ""))</f>
        <v/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v>0</v>
      </c>
      <c r="S6" s="62">
        <f t="shared" si="0"/>
        <v>0</v>
      </c>
      <c r="T6" s="62">
        <f t="shared" si="1"/>
        <v>0</v>
      </c>
      <c r="U6" s="63">
        <f t="shared" si="8"/>
        <v>0</v>
      </c>
      <c r="V6" s="45"/>
      <c r="W6" s="49"/>
      <c r="X6" s="162">
        <f>V6+W6*Summen!$B$44</f>
        <v>0</v>
      </c>
      <c r="Y6" s="72"/>
      <c r="Z6" s="73"/>
      <c r="AA6" s="73"/>
      <c r="AB6" s="73"/>
      <c r="AC6" s="73"/>
      <c r="AD6" s="73"/>
      <c r="AE6" s="73"/>
      <c r="AF6" s="74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46177</v>
      </c>
      <c r="B7" s="59" t="str">
        <f>IFERROR(VLOOKUP(A7, Feiertage!$B:$C, 2, 0), IF(OR(WEEKDAY(A7,2)=6, WEEKDAY(A7,2)=7), Feiertage!$C$23, ""))</f>
        <v>* * * * * * * * Fronleichnam * * * * * * * * * * * * * * * * * * * * * * * * * * * * * * * * * * * * * * * * * * * * * * * *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0</v>
      </c>
      <c r="S7" s="62">
        <f t="shared" si="0"/>
        <v>0</v>
      </c>
      <c r="T7" s="62">
        <f t="shared" si="1"/>
        <v>0</v>
      </c>
      <c r="U7" s="63">
        <f t="shared" si="8"/>
        <v>0</v>
      </c>
      <c r="V7" s="59"/>
      <c r="W7" s="64"/>
      <c r="X7" s="162">
        <f>V7+W7*Summen!$B$44</f>
        <v>0</v>
      </c>
      <c r="Y7" s="66"/>
      <c r="Z7" s="67"/>
      <c r="AA7" s="67"/>
      <c r="AB7" s="67"/>
      <c r="AC7" s="67"/>
      <c r="AD7" s="67"/>
      <c r="AE7" s="67"/>
      <c r="AF7" s="68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46178</v>
      </c>
      <c r="B8" s="45" t="str">
        <f>IFERROR(VLOOKUP(A8, Feiertage!$B:$C, 2, 0), IF(OR(WEEKDAY(A8,2)=6, WEEKDAY(A8,2)=7), Feiertage!$C$23, ""))</f>
        <v/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v>0</v>
      </c>
      <c r="S8" s="62">
        <f t="shared" si="0"/>
        <v>0</v>
      </c>
      <c r="T8" s="62">
        <f t="shared" si="1"/>
        <v>0</v>
      </c>
      <c r="U8" s="63">
        <f t="shared" si="8"/>
        <v>0</v>
      </c>
      <c r="V8" s="45"/>
      <c r="W8" s="49"/>
      <c r="X8" s="162">
        <f>V8+W8*Summen!$B$44</f>
        <v>0</v>
      </c>
      <c r="Y8" s="72"/>
      <c r="Z8" s="73"/>
      <c r="AA8" s="73"/>
      <c r="AB8" s="73"/>
      <c r="AC8" s="73"/>
      <c r="AD8" s="73"/>
      <c r="AE8" s="73"/>
      <c r="AF8" s="74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46179</v>
      </c>
      <c r="B9" s="59" t="str">
        <f>IFERROR(VLOOKUP(A9, Feiertage!$B:$C, 2, 0), IF(OR(WEEKDAY(A9,2)=6, WEEKDAY(A9,2)=7), Feiertage!$C$23, ""))</f>
        <v>* * * * * * * * Wochenende * * * * * * * * * * * * * * * * * * * * * * * * * * * * * * * * * * * * * * * * * * * * * * * *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f>IF(OR(WEEKDAY(A9,2)=6,WEEKDAY(A9,2)=7),0,IFERROR(IF(VLOOKUP(A9,Feiertage!$B:$D,3,0)="ja",0,Summen!$B$9),Summen!$B$9))</f>
        <v>0</v>
      </c>
      <c r="S9" s="62">
        <f t="shared" si="0"/>
        <v>0</v>
      </c>
      <c r="T9" s="62">
        <f t="shared" si="1"/>
        <v>0</v>
      </c>
      <c r="U9" s="63">
        <f t="shared" si="8"/>
        <v>0</v>
      </c>
      <c r="V9" s="59"/>
      <c r="W9" s="64"/>
      <c r="X9" s="162">
        <f>V9+W9*Summen!$B$44</f>
        <v>0</v>
      </c>
      <c r="Y9" s="66"/>
      <c r="Z9" s="67"/>
      <c r="AA9" s="67"/>
      <c r="AB9" s="67"/>
      <c r="AC9" s="67"/>
      <c r="AD9" s="67"/>
      <c r="AE9" s="67"/>
      <c r="AF9" s="68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46180</v>
      </c>
      <c r="B10" s="45" t="str">
        <f>IFERROR(VLOOKUP(A10, Feiertage!$B:$C, 2, 0), IF(OR(WEEKDAY(A10,2)=6, WEEKDAY(A10,2)=7), Feiertage!$C$23, ""))</f>
        <v>* * * * * * * * Wochenende * * * * * * * * * * * * * * * * * * * * * * * * * * * * * * * * * * * * * * * * * * * * * * * *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0</v>
      </c>
      <c r="S10" s="62">
        <f t="shared" si="0"/>
        <v>0</v>
      </c>
      <c r="T10" s="62">
        <f t="shared" si="1"/>
        <v>0</v>
      </c>
      <c r="U10" s="63">
        <f t="shared" si="8"/>
        <v>0</v>
      </c>
      <c r="V10" s="45"/>
      <c r="W10" s="49"/>
      <c r="X10" s="162">
        <f>V10+W10*Summen!$B$44</f>
        <v>0</v>
      </c>
      <c r="Y10" s="72"/>
      <c r="Z10" s="73"/>
      <c r="AA10" s="73"/>
      <c r="AB10" s="73"/>
      <c r="AC10" s="73"/>
      <c r="AD10" s="73"/>
      <c r="AE10" s="73"/>
      <c r="AF10" s="74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46181</v>
      </c>
      <c r="B11" s="59" t="str">
        <f>IFERROR(VLOOKUP(A11, Feiertage!$B:$C, 2, 0), IF(OR(WEEKDAY(A11,2)=6, WEEKDAY(A11,2)=7), Feiertage!$C$23, ""))</f>
        <v/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v>0</v>
      </c>
      <c r="S11" s="62">
        <f t="shared" si="0"/>
        <v>0</v>
      </c>
      <c r="T11" s="62">
        <f t="shared" si="1"/>
        <v>0</v>
      </c>
      <c r="U11" s="63">
        <f t="shared" si="8"/>
        <v>0</v>
      </c>
      <c r="V11" s="59"/>
      <c r="W11" s="64"/>
      <c r="X11" s="162">
        <f>V11+W11*Summen!$B$44</f>
        <v>0</v>
      </c>
      <c r="Y11" s="66"/>
      <c r="Z11" s="67"/>
      <c r="AA11" s="67"/>
      <c r="AB11" s="67"/>
      <c r="AC11" s="67"/>
      <c r="AD11" s="67"/>
      <c r="AE11" s="67"/>
      <c r="AF11" s="68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46182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v>0</v>
      </c>
      <c r="S12" s="62">
        <f t="shared" si="0"/>
        <v>0</v>
      </c>
      <c r="T12" s="62">
        <f t="shared" si="1"/>
        <v>0</v>
      </c>
      <c r="U12" s="63">
        <f t="shared" si="8"/>
        <v>0</v>
      </c>
      <c r="V12" s="45"/>
      <c r="W12" s="49"/>
      <c r="X12" s="162">
        <f>V12+W12*Summen!$B$44</f>
        <v>0</v>
      </c>
      <c r="Y12" s="72"/>
      <c r="Z12" s="73"/>
      <c r="AA12" s="73"/>
      <c r="AB12" s="73"/>
      <c r="AC12" s="73"/>
      <c r="AD12" s="73"/>
      <c r="AE12" s="73"/>
      <c r="AF12" s="74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46183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v>0</v>
      </c>
      <c r="S13" s="62">
        <f t="shared" si="0"/>
        <v>0</v>
      </c>
      <c r="T13" s="62">
        <f t="shared" si="1"/>
        <v>0</v>
      </c>
      <c r="U13" s="63">
        <f t="shared" si="8"/>
        <v>0</v>
      </c>
      <c r="V13" s="59"/>
      <c r="W13" s="64"/>
      <c r="X13" s="162">
        <f>V13+W13*Summen!$B$44</f>
        <v>0</v>
      </c>
      <c r="Y13" s="66"/>
      <c r="Z13" s="67"/>
      <c r="AA13" s="67"/>
      <c r="AB13" s="67"/>
      <c r="AC13" s="67"/>
      <c r="AD13" s="67"/>
      <c r="AE13" s="67"/>
      <c r="AF13" s="68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46184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v>0</v>
      </c>
      <c r="S14" s="62">
        <f t="shared" si="0"/>
        <v>0</v>
      </c>
      <c r="T14" s="62">
        <f t="shared" si="1"/>
        <v>0</v>
      </c>
      <c r="U14" s="63">
        <f t="shared" si="8"/>
        <v>0</v>
      </c>
      <c r="V14" s="45"/>
      <c r="W14" s="49"/>
      <c r="X14" s="162">
        <f>V14+W14*Summen!$B$44</f>
        <v>0</v>
      </c>
      <c r="Y14" s="72"/>
      <c r="Z14" s="73"/>
      <c r="AA14" s="73"/>
      <c r="AB14" s="73"/>
      <c r="AC14" s="73"/>
      <c r="AD14" s="73"/>
      <c r="AE14" s="73"/>
      <c r="AF14" s="74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46185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v>0</v>
      </c>
      <c r="S15" s="62">
        <f t="shared" si="0"/>
        <v>0</v>
      </c>
      <c r="T15" s="62">
        <f t="shared" si="1"/>
        <v>0</v>
      </c>
      <c r="U15" s="63">
        <f t="shared" si="8"/>
        <v>0</v>
      </c>
      <c r="V15" s="59"/>
      <c r="W15" s="64"/>
      <c r="X15" s="162">
        <f>V15+W15*Summen!$B$44</f>
        <v>0</v>
      </c>
      <c r="Y15" s="66"/>
      <c r="Z15" s="67"/>
      <c r="AA15" s="67"/>
      <c r="AB15" s="67"/>
      <c r="AC15" s="67"/>
      <c r="AD15" s="67"/>
      <c r="AE15" s="67"/>
      <c r="AF15" s="68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46186</v>
      </c>
      <c r="B16" s="45" t="str">
        <f>IFERROR(VLOOKUP(A16, Feiertage!$B:$C, 2, 0), IF(OR(WEEKDAY(A16,2)=6, WEEKDAY(A16,2)=7), Feiertage!$C$23, ""))</f>
        <v>* * * * * * * * Wochenende * * * * * * * * * * * * * * * * * * * * * * * * * * * * * * * * * * * * * * * * * * * * * * * *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f>IF(OR(WEEKDAY(A16,2)=6,WEEKDAY(A16,2)=7),0,IFERROR(IF(VLOOKUP(A16,Feiertage!$B:$D,3,0)="ja",0,Summen!$B$9),Summen!$B$9))</f>
        <v>0</v>
      </c>
      <c r="S16" s="62">
        <f t="shared" si="0"/>
        <v>0</v>
      </c>
      <c r="T16" s="62">
        <f t="shared" si="1"/>
        <v>0</v>
      </c>
      <c r="U16" s="63">
        <f t="shared" si="8"/>
        <v>0</v>
      </c>
      <c r="V16" s="45"/>
      <c r="W16" s="49"/>
      <c r="X16" s="162">
        <f>V16+W16*Summen!$B$44</f>
        <v>0</v>
      </c>
      <c r="Y16" s="72"/>
      <c r="Z16" s="73"/>
      <c r="AA16" s="73"/>
      <c r="AB16" s="73"/>
      <c r="AC16" s="73"/>
      <c r="AD16" s="73"/>
      <c r="AE16" s="73"/>
      <c r="AF16" s="74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46187</v>
      </c>
      <c r="B17" s="59" t="str">
        <f>IFERROR(VLOOKUP(A17, Feiertage!$B:$C, 2, 0), IF(OR(WEEKDAY(A17,2)=6, WEEKDAY(A17,2)=7), Feiertage!$C$23, ""))</f>
        <v>* * * * * * * * Wochenende * * * * * * * * * * * * * * * * * * * * * * * * * * * * * * * * * * * * * * * * * * * * * * * *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0</v>
      </c>
      <c r="S17" s="62">
        <f t="shared" si="0"/>
        <v>0</v>
      </c>
      <c r="T17" s="62">
        <f t="shared" si="1"/>
        <v>0</v>
      </c>
      <c r="U17" s="63">
        <f t="shared" si="8"/>
        <v>0</v>
      </c>
      <c r="V17" s="59"/>
      <c r="W17" s="64"/>
      <c r="X17" s="162">
        <f>V17+W17*Summen!$B$44</f>
        <v>0</v>
      </c>
      <c r="Y17" s="66"/>
      <c r="Z17" s="67"/>
      <c r="AA17" s="67"/>
      <c r="AB17" s="67"/>
      <c r="AC17" s="67"/>
      <c r="AD17" s="67"/>
      <c r="AE17" s="67"/>
      <c r="AF17" s="68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46188</v>
      </c>
      <c r="B18" s="45" t="str">
        <f>IFERROR(VLOOKUP(A18, Feiertage!$B:$C, 2, 0), IF(OR(WEEKDAY(A18,2)=6, WEEKDAY(A18,2)=7), Feiertage!$C$23, ""))</f>
        <v/>
      </c>
      <c r="C18" s="45">
        <v>10.17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8.4</v>
      </c>
      <c r="S18" s="62">
        <f t="shared" si="0"/>
        <v>10.17</v>
      </c>
      <c r="T18" s="62">
        <f t="shared" si="1"/>
        <v>1.7699999999999996</v>
      </c>
      <c r="U18" s="63">
        <f t="shared" si="8"/>
        <v>1.7699999999999996</v>
      </c>
      <c r="V18" s="45"/>
      <c r="W18" s="49"/>
      <c r="X18" s="162">
        <f>V18+W18*Summen!$B$44</f>
        <v>0</v>
      </c>
      <c r="Y18" s="72">
        <v>0.2638888888888889</v>
      </c>
      <c r="Z18" s="73">
        <v>0.5</v>
      </c>
      <c r="AA18" s="73">
        <v>0.52083333333333337</v>
      </c>
      <c r="AB18" s="73">
        <v>0.70833333333333337</v>
      </c>
      <c r="AC18" s="73"/>
      <c r="AD18" s="73"/>
      <c r="AE18" s="73"/>
      <c r="AF18" s="74"/>
      <c r="AG18" s="69">
        <f t="shared" si="2"/>
        <v>0.4236111111111111</v>
      </c>
      <c r="AH18" s="62">
        <f t="shared" si="3"/>
        <v>10</v>
      </c>
      <c r="AI18" s="62">
        <f t="shared" si="4"/>
        <v>0.16666666666666666</v>
      </c>
      <c r="AJ18" s="63">
        <f t="shared" si="5"/>
        <v>10.166666666666666</v>
      </c>
      <c r="AL18" s="54">
        <f t="shared" si="6"/>
        <v>3.3333333333338544E-3</v>
      </c>
    </row>
    <row r="19" spans="1:38" ht="13.5" customHeight="1">
      <c r="A19" s="56">
        <f t="shared" si="7"/>
        <v>46189</v>
      </c>
      <c r="B19" s="59" t="str">
        <f>IFERROR(VLOOKUP(A19, Feiertage!$B:$C, 2, 0), IF(OR(WEEKDAY(A19,2)=6, WEEKDAY(A19,2)=7), Feiertage!$C$23, ""))</f>
        <v/>
      </c>
      <c r="C19" s="59">
        <v>9.1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8.4</v>
      </c>
      <c r="S19" s="62">
        <f t="shared" si="0"/>
        <v>9.1</v>
      </c>
      <c r="T19" s="62">
        <f t="shared" si="1"/>
        <v>0.69999999999999929</v>
      </c>
      <c r="U19" s="63">
        <f t="shared" si="8"/>
        <v>2.4699999999999989</v>
      </c>
      <c r="V19" s="59"/>
      <c r="W19" s="64"/>
      <c r="X19" s="162">
        <f>V19+W19*Summen!$B$44</f>
        <v>0</v>
      </c>
      <c r="Y19" s="66">
        <v>0.34375</v>
      </c>
      <c r="Z19" s="67">
        <v>0.54166666666666663</v>
      </c>
      <c r="AA19" s="67">
        <v>0.5625</v>
      </c>
      <c r="AB19" s="67">
        <v>0.74305555555555558</v>
      </c>
      <c r="AC19" s="67"/>
      <c r="AD19" s="67"/>
      <c r="AE19" s="67"/>
      <c r="AF19" s="68"/>
      <c r="AG19" s="69">
        <f t="shared" si="2"/>
        <v>0.37847222222222221</v>
      </c>
      <c r="AH19" s="62">
        <f t="shared" si="3"/>
        <v>9</v>
      </c>
      <c r="AI19" s="62">
        <f t="shared" si="4"/>
        <v>8.3333333333333329E-2</v>
      </c>
      <c r="AJ19" s="63">
        <f t="shared" si="5"/>
        <v>9.0833333333333339</v>
      </c>
      <c r="AL19" s="54">
        <f t="shared" si="6"/>
        <v>1.6666666666665719E-2</v>
      </c>
    </row>
    <row r="20" spans="1:38" ht="13.5" customHeight="1">
      <c r="A20" s="56">
        <f t="shared" si="7"/>
        <v>46190</v>
      </c>
      <c r="B20" s="45" t="str">
        <f>IFERROR(VLOOKUP(A20, Feiertage!$B:$C, 2, 0), IF(OR(WEEKDAY(A20,2)=6, WEEKDAY(A20,2)=7), Feiertage!$C$23, ""))</f>
        <v/>
      </c>
      <c r="C20" s="45">
        <v>9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8.4</v>
      </c>
      <c r="S20" s="62">
        <f t="shared" si="0"/>
        <v>9</v>
      </c>
      <c r="T20" s="62">
        <f t="shared" si="1"/>
        <v>0.59999999999999964</v>
      </c>
      <c r="U20" s="63">
        <f t="shared" si="8"/>
        <v>3.0699999999999985</v>
      </c>
      <c r="V20" s="45"/>
      <c r="W20" s="49"/>
      <c r="X20" s="162">
        <f>V20+W20*Summen!$B$44</f>
        <v>0</v>
      </c>
      <c r="Y20" s="72">
        <v>0.3125</v>
      </c>
      <c r="Z20" s="73">
        <v>0.5</v>
      </c>
      <c r="AA20" s="73">
        <v>0.52083333333333337</v>
      </c>
      <c r="AB20" s="73">
        <v>0.70833333333333337</v>
      </c>
      <c r="AC20" s="73"/>
      <c r="AD20" s="73"/>
      <c r="AE20" s="73"/>
      <c r="AF20" s="74"/>
      <c r="AG20" s="69">
        <f t="shared" si="2"/>
        <v>0.375</v>
      </c>
      <c r="AH20" s="62">
        <f t="shared" si="3"/>
        <v>9</v>
      </c>
      <c r="AI20" s="62">
        <f t="shared" si="4"/>
        <v>0</v>
      </c>
      <c r="AJ20" s="63">
        <f t="shared" si="5"/>
        <v>9</v>
      </c>
      <c r="AL20" s="54">
        <f t="shared" si="6"/>
        <v>0</v>
      </c>
    </row>
    <row r="21" spans="1:38" ht="13.5" customHeight="1">
      <c r="A21" s="56">
        <f t="shared" si="7"/>
        <v>46191</v>
      </c>
      <c r="B21" s="59" t="str">
        <f>IFERROR(VLOOKUP(A21, Feiertage!$B:$C, 2, 0), IF(OR(WEEKDAY(A21,2)=6, WEEKDAY(A21,2)=7), Feiertage!$C$23, ""))</f>
        <v/>
      </c>
      <c r="C21" s="59">
        <v>8.5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8.4</v>
      </c>
      <c r="S21" s="62">
        <f t="shared" si="0"/>
        <v>8.5</v>
      </c>
      <c r="T21" s="62">
        <f t="shared" si="1"/>
        <v>9.9999999999999645E-2</v>
      </c>
      <c r="U21" s="63">
        <f t="shared" si="8"/>
        <v>3.1699999999999982</v>
      </c>
      <c r="V21" s="59"/>
      <c r="W21" s="64"/>
      <c r="X21" s="162">
        <f>V21+W21*Summen!$B$44</f>
        <v>0</v>
      </c>
      <c r="Y21" s="66">
        <v>0.3125</v>
      </c>
      <c r="Z21" s="67">
        <v>0.5</v>
      </c>
      <c r="AA21" s="67">
        <v>0.52083333333333337</v>
      </c>
      <c r="AB21" s="67">
        <v>0.6875</v>
      </c>
      <c r="AC21" s="67"/>
      <c r="AD21" s="67"/>
      <c r="AE21" s="67"/>
      <c r="AF21" s="68"/>
      <c r="AG21" s="69">
        <f t="shared" si="2"/>
        <v>0.35416666666666663</v>
      </c>
      <c r="AH21" s="62">
        <f t="shared" si="3"/>
        <v>8</v>
      </c>
      <c r="AI21" s="62">
        <f t="shared" si="4"/>
        <v>0.5</v>
      </c>
      <c r="AJ21" s="63">
        <f t="shared" si="5"/>
        <v>8.5</v>
      </c>
      <c r="AL21" s="54">
        <f t="shared" si="6"/>
        <v>0</v>
      </c>
    </row>
    <row r="22" spans="1:38" ht="13.5" customHeight="1">
      <c r="A22" s="56">
        <f t="shared" si="7"/>
        <v>46192</v>
      </c>
      <c r="B22" s="45" t="str">
        <f>IFERROR(VLOOKUP(A22, Feiertage!$B:$C, 2, 0), IF(OR(WEEKDAY(A22,2)=6, WEEKDAY(A22,2)=7), Feiertage!$C$23, ""))</f>
        <v/>
      </c>
      <c r="C22" s="45">
        <v>8.4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8.4</v>
      </c>
      <c r="S22" s="62">
        <f t="shared" si="0"/>
        <v>8.4</v>
      </c>
      <c r="T22" s="62">
        <f t="shared" si="1"/>
        <v>0</v>
      </c>
      <c r="U22" s="63">
        <f t="shared" si="8"/>
        <v>3.1699999999999982</v>
      </c>
      <c r="V22" s="45"/>
      <c r="W22" s="49"/>
      <c r="X22" s="162">
        <f>V22+W22*Summen!$B$44</f>
        <v>0</v>
      </c>
      <c r="Y22" s="72">
        <v>0.26041666666666669</v>
      </c>
      <c r="Z22" s="73">
        <v>0.47916666666666669</v>
      </c>
      <c r="AA22" s="73">
        <v>0.5</v>
      </c>
      <c r="AB22" s="73">
        <v>0.63194444444444442</v>
      </c>
      <c r="AC22" s="73"/>
      <c r="AD22" s="73"/>
      <c r="AE22" s="73"/>
      <c r="AF22" s="74"/>
      <c r="AG22" s="69">
        <f t="shared" si="2"/>
        <v>0.35069444444444442</v>
      </c>
      <c r="AH22" s="62">
        <f t="shared" si="3"/>
        <v>8</v>
      </c>
      <c r="AI22" s="62">
        <f t="shared" si="4"/>
        <v>0.41666666666666669</v>
      </c>
      <c r="AJ22" s="63">
        <f t="shared" si="5"/>
        <v>8.4166666666666661</v>
      </c>
      <c r="AL22" s="54">
        <f t="shared" si="6"/>
        <v>-1.6666666666665719E-2</v>
      </c>
    </row>
    <row r="23" spans="1:38" ht="13.5" customHeight="1">
      <c r="A23" s="56">
        <f t="shared" si="7"/>
        <v>46193</v>
      </c>
      <c r="B23" s="59" t="str">
        <f>IFERROR(VLOOKUP(A23, Feiertage!$B:$C, 2, 0), IF(OR(WEEKDAY(A23,2)=6, WEEKDAY(A23,2)=7), Feiertage!$C$23, ""))</f>
        <v>* * * * * * * * Wochenende * * * * * * * * * * * * * * * * * * * * * * * * * * * * * * * * * * * * * * * * * * * * * * * *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f>IF(OR(WEEKDAY(A23,2)=6,WEEKDAY(A23,2)=7),0,IFERROR(IF(VLOOKUP(A23,Feiertage!$B:$D,3,0)="ja",0,Summen!$B$9),Summen!$B$9))</f>
        <v>0</v>
      </c>
      <c r="S23" s="62">
        <f t="shared" si="0"/>
        <v>0</v>
      </c>
      <c r="T23" s="62">
        <f t="shared" si="1"/>
        <v>0</v>
      </c>
      <c r="U23" s="63">
        <f t="shared" si="8"/>
        <v>3.1699999999999982</v>
      </c>
      <c r="V23" s="59"/>
      <c r="W23" s="64"/>
      <c r="X23" s="162">
        <f>V23+W23*Summen!$B$44</f>
        <v>0</v>
      </c>
      <c r="Y23" s="66"/>
      <c r="Z23" s="67"/>
      <c r="AA23" s="67"/>
      <c r="AB23" s="67"/>
      <c r="AC23" s="67"/>
      <c r="AD23" s="67"/>
      <c r="AE23" s="67"/>
      <c r="AF23" s="68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46194</v>
      </c>
      <c r="B24" s="45" t="str">
        <f>IFERROR(VLOOKUP(A24, Feiertage!$B:$C, 2, 0), IF(OR(WEEKDAY(A24,2)=6, WEEKDAY(A24,2)=7), Feiertage!$C$23, ""))</f>
        <v>* * * * * * * * Wochenende * * * * * * * * * * * * * * * * * * * * * * * * * * * * * * * * * * * * * * * * * * * * * * * *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0</v>
      </c>
      <c r="S24" s="62">
        <f t="shared" si="0"/>
        <v>0</v>
      </c>
      <c r="T24" s="62">
        <f t="shared" si="1"/>
        <v>0</v>
      </c>
      <c r="U24" s="63">
        <f t="shared" si="8"/>
        <v>3.1699999999999982</v>
      </c>
      <c r="V24" s="45"/>
      <c r="W24" s="49"/>
      <c r="X24" s="162">
        <f>V24+W24*Summen!$B$44</f>
        <v>0</v>
      </c>
      <c r="Y24" s="72"/>
      <c r="Z24" s="73"/>
      <c r="AA24" s="73"/>
      <c r="AB24" s="73"/>
      <c r="AC24" s="73"/>
      <c r="AD24" s="73"/>
      <c r="AE24" s="73"/>
      <c r="AF24" s="74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46195</v>
      </c>
      <c r="B25" s="59" t="str">
        <f>IFERROR(VLOOKUP(A25, Feiertage!$B:$C, 2, 0), IF(OR(WEEKDAY(A25,2)=6, WEEKDAY(A25,2)=7), Feiertage!$C$23, ""))</f>
        <v/>
      </c>
      <c r="C25" s="59">
        <v>4</v>
      </c>
      <c r="D25" s="59"/>
      <c r="E25" s="59">
        <v>3</v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8.4</v>
      </c>
      <c r="S25" s="62">
        <f t="shared" si="0"/>
        <v>7</v>
      </c>
      <c r="T25" s="62">
        <f t="shared" si="1"/>
        <v>-1.4000000000000004</v>
      </c>
      <c r="U25" s="63">
        <f t="shared" si="8"/>
        <v>1.7699999999999978</v>
      </c>
      <c r="V25" s="59"/>
      <c r="W25" s="64"/>
      <c r="X25" s="162">
        <f>V25+W25*Summen!$B$44</f>
        <v>0</v>
      </c>
      <c r="Y25" s="66">
        <v>0.2986111111111111</v>
      </c>
      <c r="Z25" s="67">
        <v>0.47916666666666669</v>
      </c>
      <c r="AA25" s="67">
        <v>0.5</v>
      </c>
      <c r="AB25" s="67">
        <v>0.61111111111111116</v>
      </c>
      <c r="AC25" s="67"/>
      <c r="AD25" s="67"/>
      <c r="AE25" s="67"/>
      <c r="AF25" s="68"/>
      <c r="AG25" s="69">
        <f t="shared" si="2"/>
        <v>0.29166666666666674</v>
      </c>
      <c r="AH25" s="62">
        <f t="shared" si="3"/>
        <v>7</v>
      </c>
      <c r="AI25" s="62">
        <f t="shared" si="4"/>
        <v>0</v>
      </c>
      <c r="AJ25" s="63">
        <f t="shared" si="5"/>
        <v>7</v>
      </c>
      <c r="AL25" s="54">
        <f t="shared" si="6"/>
        <v>0</v>
      </c>
    </row>
    <row r="26" spans="1:38" ht="13.5" customHeight="1">
      <c r="A26" s="56">
        <f t="shared" si="7"/>
        <v>46196</v>
      </c>
      <c r="B26" s="45" t="str">
        <f>IFERROR(VLOOKUP(A26, Feiertage!$B:$C, 2, 0), IF(OR(WEEKDAY(A26,2)=6, WEEKDAY(A26,2)=7), Feiertage!$C$23, ""))</f>
        <v/>
      </c>
      <c r="C26" s="45"/>
      <c r="D26" s="45">
        <v>4</v>
      </c>
      <c r="E26" s="45">
        <v>4.5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8.4</v>
      </c>
      <c r="S26" s="62">
        <f t="shared" si="0"/>
        <v>8.5</v>
      </c>
      <c r="T26" s="62">
        <f t="shared" si="1"/>
        <v>9.9999999999999645E-2</v>
      </c>
      <c r="U26" s="63">
        <f t="shared" si="8"/>
        <v>1.8699999999999974</v>
      </c>
      <c r="V26" s="45"/>
      <c r="W26" s="49"/>
      <c r="X26" s="162">
        <f>V26+W26*Summen!$B$44</f>
        <v>0</v>
      </c>
      <c r="Y26" s="72">
        <v>0.32291666666666669</v>
      </c>
      <c r="Z26" s="73">
        <v>0.47916666666666669</v>
      </c>
      <c r="AA26" s="73">
        <v>0.5</v>
      </c>
      <c r="AB26" s="73">
        <v>0.69791666666666663</v>
      </c>
      <c r="AC26" s="73"/>
      <c r="AD26" s="73"/>
      <c r="AE26" s="73"/>
      <c r="AF26" s="74"/>
      <c r="AG26" s="69">
        <f t="shared" si="2"/>
        <v>0.35416666666666663</v>
      </c>
      <c r="AH26" s="62">
        <f t="shared" si="3"/>
        <v>8</v>
      </c>
      <c r="AI26" s="62">
        <f t="shared" si="4"/>
        <v>0.5</v>
      </c>
      <c r="AJ26" s="63">
        <f t="shared" si="5"/>
        <v>8.5</v>
      </c>
      <c r="AL26" s="54">
        <f t="shared" si="6"/>
        <v>0</v>
      </c>
    </row>
    <row r="27" spans="1:38" ht="13.5" customHeight="1">
      <c r="A27" s="56">
        <f t="shared" si="7"/>
        <v>46197</v>
      </c>
      <c r="B27" s="59" t="str">
        <f>IFERROR(VLOOKUP(A27, Feiertage!$B:$C, 2, 0), IF(OR(WEEKDAY(A27,2)=6, WEEKDAY(A27,2)=7), Feiertage!$C$23, ""))</f>
        <v/>
      </c>
      <c r="C27" s="59">
        <v>2</v>
      </c>
      <c r="D27" s="59">
        <v>5.8</v>
      </c>
      <c r="E27" s="59"/>
      <c r="F27" s="59"/>
      <c r="G27" s="59"/>
      <c r="H27" s="59"/>
      <c r="I27" s="59"/>
      <c r="J27" s="59"/>
      <c r="K27" s="59"/>
      <c r="L27" s="59"/>
      <c r="M27" s="59"/>
      <c r="N27" s="59">
        <v>2</v>
      </c>
      <c r="O27" s="59"/>
      <c r="P27" s="59"/>
      <c r="Q27" s="60"/>
      <c r="R27" s="61">
        <f>IF(OR(WEEKDAY(A27,2)=6,WEEKDAY(A27,2)=7),0,IFERROR(IF(VLOOKUP(A27,Feiertage!$B:$D,3,0)="ja",0,Summen!$B$9),Summen!$B$9))</f>
        <v>8.4</v>
      </c>
      <c r="S27" s="62">
        <f t="shared" si="0"/>
        <v>9.8000000000000007</v>
      </c>
      <c r="T27" s="62">
        <f t="shared" si="1"/>
        <v>1.4000000000000004</v>
      </c>
      <c r="U27" s="63">
        <f t="shared" si="8"/>
        <v>3.2699999999999978</v>
      </c>
      <c r="V27" s="59"/>
      <c r="W27" s="64"/>
      <c r="X27" s="162">
        <f>V27+W27*Summen!$B$44</f>
        <v>0</v>
      </c>
      <c r="Y27" s="66">
        <v>0.13541666666666666</v>
      </c>
      <c r="Z27" s="67">
        <v>0.54166666666666663</v>
      </c>
      <c r="AA27" s="67"/>
      <c r="AB27" s="67"/>
      <c r="AC27" s="67"/>
      <c r="AD27" s="67"/>
      <c r="AE27" s="67"/>
      <c r="AF27" s="68"/>
      <c r="AG27" s="69">
        <f t="shared" si="2"/>
        <v>0.40625</v>
      </c>
      <c r="AH27" s="62">
        <f t="shared" si="3"/>
        <v>9</v>
      </c>
      <c r="AI27" s="62">
        <f t="shared" si="4"/>
        <v>0.75</v>
      </c>
      <c r="AJ27" s="63">
        <f t="shared" si="5"/>
        <v>9.75</v>
      </c>
      <c r="AL27" s="54">
        <f t="shared" si="6"/>
        <v>5.0000000000000711E-2</v>
      </c>
    </row>
    <row r="28" spans="1:38" ht="13.5" customHeight="1">
      <c r="A28" s="56">
        <f t="shared" si="7"/>
        <v>46198</v>
      </c>
      <c r="B28" s="45" t="str">
        <f>IFERROR(VLOOKUP(A28, Feiertage!$B:$C, 2, 0), IF(OR(WEEKDAY(A28,2)=6, WEEKDAY(A28,2)=7), Feiertage!$C$23, ""))</f>
        <v/>
      </c>
      <c r="C28" s="45"/>
      <c r="D28" s="45">
        <v>7</v>
      </c>
      <c r="E28" s="45">
        <v>1.42</v>
      </c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8.4</v>
      </c>
      <c r="S28" s="62">
        <f t="shared" si="0"/>
        <v>8.42</v>
      </c>
      <c r="T28" s="62">
        <f t="shared" si="1"/>
        <v>1.9999999999999574E-2</v>
      </c>
      <c r="U28" s="63">
        <f t="shared" si="8"/>
        <v>3.2899999999999974</v>
      </c>
      <c r="V28" s="45"/>
      <c r="W28" s="49"/>
      <c r="X28" s="162">
        <f>V28+W28*Summen!$B$44</f>
        <v>0</v>
      </c>
      <c r="Y28" s="72">
        <v>0.32291666666666669</v>
      </c>
      <c r="Z28" s="73">
        <v>0.5</v>
      </c>
      <c r="AA28" s="73">
        <v>0.52083333333333337</v>
      </c>
      <c r="AB28" s="73">
        <v>0.69444444444444442</v>
      </c>
      <c r="AC28" s="73"/>
      <c r="AD28" s="73"/>
      <c r="AE28" s="73"/>
      <c r="AF28" s="74"/>
      <c r="AG28" s="69">
        <f t="shared" si="2"/>
        <v>0.35069444444444436</v>
      </c>
      <c r="AH28" s="62">
        <f t="shared" si="3"/>
        <v>8</v>
      </c>
      <c r="AI28" s="62">
        <f t="shared" si="4"/>
        <v>0.41666666666666669</v>
      </c>
      <c r="AJ28" s="63">
        <f t="shared" si="5"/>
        <v>8.4166666666666661</v>
      </c>
      <c r="AL28" s="54">
        <f t="shared" si="6"/>
        <v>3.3333333333338544E-3</v>
      </c>
    </row>
    <row r="29" spans="1:38" ht="13.5" customHeight="1">
      <c r="A29" s="56">
        <f t="shared" si="7"/>
        <v>46199</v>
      </c>
      <c r="B29" s="59" t="str">
        <f>IFERROR(VLOOKUP(A29, Feiertage!$B:$C, 2, 0), IF(OR(WEEKDAY(A29,2)=6, WEEKDAY(A29,2)=7), Feiertage!$C$23, ""))</f>
        <v/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>
        <v>8.4</v>
      </c>
      <c r="R29" s="61">
        <f>IF(OR(WEEKDAY(A29,2)=6,WEEKDAY(A29,2)=7),0,IFERROR(IF(VLOOKUP(A29,Feiertage!$B:$D,3,0)="ja",0,Summen!$B$9),Summen!$B$9))</f>
        <v>8.4</v>
      </c>
      <c r="S29" s="62">
        <f t="shared" si="0"/>
        <v>8.4</v>
      </c>
      <c r="T29" s="62">
        <f t="shared" si="1"/>
        <v>0</v>
      </c>
      <c r="U29" s="63">
        <f t="shared" si="8"/>
        <v>3.2899999999999974</v>
      </c>
      <c r="V29" s="59"/>
      <c r="W29" s="64"/>
      <c r="X29" s="162">
        <f>V29+W29*Summen!$B$44</f>
        <v>0</v>
      </c>
      <c r="Y29" s="66"/>
      <c r="Z29" s="67"/>
      <c r="AA29" s="67"/>
      <c r="AB29" s="67"/>
      <c r="AC29" s="67"/>
      <c r="AD29" s="67"/>
      <c r="AE29" s="67"/>
      <c r="AF29" s="68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8.4</v>
      </c>
    </row>
    <row r="30" spans="1:38" ht="13.5" customHeight="1">
      <c r="A30" s="56">
        <f t="shared" si="7"/>
        <v>46200</v>
      </c>
      <c r="B30" s="45" t="str">
        <f>IFERROR(VLOOKUP(A30, Feiertage!$B:$C, 2, 0), IF(OR(WEEKDAY(A30,2)=6, WEEKDAY(A30,2)=7), Feiertage!$C$23, ""))</f>
        <v>* * * * * * * * Wochenende * * * * * * * * * * * * * * * * * * * * * * * * * * * * * * * * * * * * * * * * * * * * * * * *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f>IF(OR(WEEKDAY(A30,2)=6,WEEKDAY(A30,2)=7),0,IFERROR(IF(VLOOKUP(A30,Feiertage!$B:$D,3,0)="ja",0,Summen!$B$9),Summen!$B$9))</f>
        <v>0</v>
      </c>
      <c r="S30" s="62">
        <f t="shared" si="0"/>
        <v>0</v>
      </c>
      <c r="T30" s="62">
        <f t="shared" si="1"/>
        <v>0</v>
      </c>
      <c r="U30" s="63">
        <f t="shared" si="8"/>
        <v>3.2899999999999974</v>
      </c>
      <c r="V30" s="45"/>
      <c r="W30" s="49"/>
      <c r="X30" s="162">
        <f>V30+W30*Summen!$B$44</f>
        <v>0</v>
      </c>
      <c r="Y30" s="72"/>
      <c r="Z30" s="73"/>
      <c r="AA30" s="73"/>
      <c r="AB30" s="73"/>
      <c r="AC30" s="73"/>
      <c r="AD30" s="73"/>
      <c r="AE30" s="73"/>
      <c r="AF30" s="74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46201</v>
      </c>
      <c r="B31" s="59" t="str">
        <f>IFERROR(VLOOKUP(A31, Feiertage!$B:$C, 2, 0), IF(OR(WEEKDAY(A31,2)=6, WEEKDAY(A31,2)=7), Feiertage!$C$23, ""))</f>
        <v>* * * * * * * * Wochenende * * * * * * * * * * * * * * * * * * * * * * * * * * * * * * * * * * * * * * * * * * * * * * * *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0</v>
      </c>
      <c r="S31" s="62">
        <f t="shared" si="0"/>
        <v>0</v>
      </c>
      <c r="T31" s="62">
        <f t="shared" si="1"/>
        <v>0</v>
      </c>
      <c r="U31" s="63">
        <f t="shared" si="8"/>
        <v>3.2899999999999974</v>
      </c>
      <c r="V31" s="59"/>
      <c r="W31" s="64"/>
      <c r="X31" s="162">
        <f>V31+W31*Summen!$B$44</f>
        <v>0</v>
      </c>
      <c r="Y31" s="66"/>
      <c r="Z31" s="67"/>
      <c r="AA31" s="67"/>
      <c r="AB31" s="67"/>
      <c r="AC31" s="67"/>
      <c r="AD31" s="67"/>
      <c r="AE31" s="67"/>
      <c r="AF31" s="68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46202</v>
      </c>
      <c r="B32" s="45" t="str">
        <f>IFERROR(VLOOKUP(A32, Feiertage!$B:$C, 2, 0), IF(OR(WEEKDAY(A32,2)=6, WEEKDAY(A32,2)=7), Feiertage!$C$23, ""))</f>
        <v/>
      </c>
      <c r="C32" s="45"/>
      <c r="D32" s="45">
        <v>7.75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8.4</v>
      </c>
      <c r="S32" s="62">
        <f t="shared" si="0"/>
        <v>7.75</v>
      </c>
      <c r="T32" s="62">
        <f t="shared" si="1"/>
        <v>-0.65000000000000036</v>
      </c>
      <c r="U32" s="63">
        <f t="shared" si="8"/>
        <v>2.639999999999997</v>
      </c>
      <c r="V32" s="45"/>
      <c r="W32" s="49"/>
      <c r="X32" s="162">
        <f>V32+W32*Summen!$B$44</f>
        <v>0</v>
      </c>
      <c r="Y32" s="72">
        <v>0.28125</v>
      </c>
      <c r="Z32" s="73">
        <v>0.5</v>
      </c>
      <c r="AA32" s="73">
        <v>0.52083333333333337</v>
      </c>
      <c r="AB32" s="73">
        <v>0.625</v>
      </c>
      <c r="AC32" s="73"/>
      <c r="AD32" s="73"/>
      <c r="AE32" s="73"/>
      <c r="AF32" s="74"/>
      <c r="AG32" s="69">
        <f t="shared" si="2"/>
        <v>0.32291666666666663</v>
      </c>
      <c r="AH32" s="62">
        <f t="shared" si="3"/>
        <v>7</v>
      </c>
      <c r="AI32" s="62">
        <f t="shared" si="4"/>
        <v>0.75</v>
      </c>
      <c r="AJ32" s="63">
        <f t="shared" si="5"/>
        <v>7.75</v>
      </c>
      <c r="AL32" s="54">
        <f t="shared" si="6"/>
        <v>0</v>
      </c>
    </row>
    <row r="33" spans="1:38" ht="13.5" customHeight="1">
      <c r="A33" s="80">
        <f t="shared" si="7"/>
        <v>46203</v>
      </c>
      <c r="B33" s="59" t="str">
        <f>IFERROR(VLOOKUP(A33, Feiertage!$B:$C, 2, 0), IF(OR(WEEKDAY(A33,2)=6, WEEKDAY(A33,2)=7), Feiertage!$C$23, ""))</f>
        <v/>
      </c>
      <c r="C33" s="59"/>
      <c r="D33" s="59">
        <v>8.25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8.4</v>
      </c>
      <c r="S33" s="84">
        <f t="shared" si="0"/>
        <v>8.25</v>
      </c>
      <c r="T33" s="84">
        <f t="shared" si="1"/>
        <v>-0.15000000000000036</v>
      </c>
      <c r="U33" s="85">
        <f t="shared" si="8"/>
        <v>2.4899999999999967</v>
      </c>
      <c r="V33" s="59"/>
      <c r="W33" s="64"/>
      <c r="X33" s="162">
        <f>V33+W33*Summen!$B$44</f>
        <v>0</v>
      </c>
      <c r="Y33" s="66">
        <v>0.25</v>
      </c>
      <c r="Z33" s="67">
        <v>0.5</v>
      </c>
      <c r="AA33" s="67">
        <v>0.52083333333333337</v>
      </c>
      <c r="AB33" s="67">
        <v>0.61458333333333337</v>
      </c>
      <c r="AC33" s="67"/>
      <c r="AD33" s="67"/>
      <c r="AE33" s="67"/>
      <c r="AF33" s="68"/>
      <c r="AG33" s="86">
        <f t="shared" si="2"/>
        <v>0.34375</v>
      </c>
      <c r="AH33" s="84">
        <f t="shared" si="3"/>
        <v>8</v>
      </c>
      <c r="AI33" s="84">
        <f t="shared" si="4"/>
        <v>0.25</v>
      </c>
      <c r="AJ33" s="85">
        <f t="shared" si="5"/>
        <v>8.25</v>
      </c>
      <c r="AL33" s="54">
        <f t="shared" si="6"/>
        <v>0</v>
      </c>
    </row>
    <row r="34" spans="1:38" ht="18" customHeight="1">
      <c r="A34" s="87" t="s">
        <v>31</v>
      </c>
      <c r="B34" s="142"/>
      <c r="C34" s="88">
        <f t="shared" ref="C34:T34" si="9">SUM(C4:C33)</f>
        <v>51.169999999999995</v>
      </c>
      <c r="D34" s="88">
        <f t="shared" si="9"/>
        <v>32.799999999999997</v>
      </c>
      <c r="E34" s="88">
        <f t="shared" si="9"/>
        <v>8.92</v>
      </c>
      <c r="F34" s="88">
        <f t="shared" si="9"/>
        <v>0</v>
      </c>
      <c r="G34" s="88">
        <f t="shared" si="9"/>
        <v>0</v>
      </c>
      <c r="H34" s="88">
        <f t="shared" si="9"/>
        <v>0</v>
      </c>
      <c r="I34" s="88">
        <f t="shared" si="9"/>
        <v>0</v>
      </c>
      <c r="J34" s="88">
        <f t="shared" si="9"/>
        <v>0</v>
      </c>
      <c r="K34" s="88">
        <f t="shared" si="9"/>
        <v>0</v>
      </c>
      <c r="L34" s="88">
        <f t="shared" si="9"/>
        <v>0</v>
      </c>
      <c r="M34" s="88">
        <f t="shared" si="9"/>
        <v>0</v>
      </c>
      <c r="N34" s="88">
        <f t="shared" si="9"/>
        <v>2</v>
      </c>
      <c r="O34" s="88">
        <f t="shared" si="9"/>
        <v>0</v>
      </c>
      <c r="P34" s="88">
        <f t="shared" si="9"/>
        <v>0</v>
      </c>
      <c r="Q34" s="88">
        <f t="shared" si="9"/>
        <v>8.4</v>
      </c>
      <c r="R34" s="90">
        <f t="shared" si="9"/>
        <v>100.80000000000003</v>
      </c>
      <c r="S34" s="91">
        <f t="shared" si="9"/>
        <v>103.29</v>
      </c>
      <c r="T34" s="91">
        <f t="shared" si="9"/>
        <v>2.4899999999999967</v>
      </c>
      <c r="U34" s="92">
        <f>U33</f>
        <v>2.4899999999999967</v>
      </c>
      <c r="V34" s="93">
        <f>SUM(V4:V33)</f>
        <v>0</v>
      </c>
      <c r="W34" s="93">
        <f>SUM(W4:W33)*Summen!$B$44</f>
        <v>0</v>
      </c>
      <c r="X34" s="94">
        <f>V34+W34</f>
        <v>0</v>
      </c>
      <c r="Y34" s="117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163">
        <f>SUM(AJ4:AJ33)</f>
        <v>94.833333333333329</v>
      </c>
      <c r="AL34" s="54">
        <f t="shared" si="6"/>
        <v>8.4566666666666777</v>
      </c>
    </row>
    <row r="35" spans="1:38" ht="12.75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L35" s="7"/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L37" s="100"/>
      <c r="M37" s="100"/>
      <c r="N37" s="100"/>
      <c r="O37" s="100"/>
      <c r="P37" s="100"/>
      <c r="Q37" s="100"/>
      <c r="R37" s="100"/>
      <c r="S37" s="102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F63D00F-2866-4C07-8D4D-0E0846FFE8E2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497912F9-FC92-4773-B98E-ADB0AC911802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1000"/>
  <sheetViews>
    <sheetView topLeftCell="A9" zoomScale="135" zoomScaleNormal="100" workbookViewId="0">
      <selection activeCell="I32" sqref="I32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Jun!P1+30</f>
        <v>46204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Jun!X1+1</f>
        <v>7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Jun!H2+(Jun!Q34/Summen!B9)</f>
        <v>1</v>
      </c>
      <c r="I2" s="11" t="s">
        <v>7</v>
      </c>
      <c r="J2" s="13">
        <f>E2-H2</f>
        <v>9.8000000000000007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Jun!U34</f>
        <v>2.4899999999999967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64"/>
      <c r="AG2" s="165"/>
      <c r="AH2" s="15"/>
      <c r="AI2" s="15"/>
      <c r="AJ2" s="166"/>
      <c r="AK2" s="7"/>
      <c r="AL2" s="7"/>
    </row>
    <row r="3" spans="1:38" ht="69.75" customHeight="1">
      <c r="A3" s="22" t="s">
        <v>10</v>
      </c>
      <c r="B3" s="25"/>
      <c r="C3" s="124" t="s">
        <v>91</v>
      </c>
      <c r="D3" s="125" t="s">
        <v>90</v>
      </c>
      <c r="E3" s="24" t="s">
        <v>92</v>
      </c>
      <c r="F3" s="24" t="s">
        <v>93</v>
      </c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167" t="s">
        <v>25</v>
      </c>
      <c r="AG3" s="139" t="s">
        <v>26</v>
      </c>
      <c r="AH3" s="140" t="s">
        <v>27</v>
      </c>
      <c r="AI3" s="140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46204</v>
      </c>
      <c r="B4" s="45" t="str">
        <f>IFERROR(VLOOKUP(A4, Feiertage!$B:$C, 2, 0), IF(OR(WEEKDAY(A4,2)=6, WEEKDAY(A4,2)=7), Feiertage!$C$23, ""))</f>
        <v/>
      </c>
      <c r="C4" s="113">
        <v>7.75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41">
        <f>IF(OR(WEEKDAY(A4,2)=6,WEEKDAY(A4,2)=7),0,IFERROR(IF(VLOOKUP(A4,Feiertage!$B:$D,3,0)="ja",0,Summen!$B$9),Summen!$B$9))</f>
        <v>8.4</v>
      </c>
      <c r="S4" s="47">
        <f t="shared" ref="S4:S34" si="0">SUM(C4:Q4)</f>
        <v>7.75</v>
      </c>
      <c r="T4" s="47">
        <f t="shared" ref="T4:T34" si="1">S4-R4</f>
        <v>-0.65000000000000036</v>
      </c>
      <c r="U4" s="48">
        <f>U2+T4</f>
        <v>1.8399999999999963</v>
      </c>
      <c r="V4" s="45"/>
      <c r="W4" s="49"/>
      <c r="X4" s="50">
        <f>V4+W4*Summen!$B$44</f>
        <v>0</v>
      </c>
      <c r="Y4" s="51">
        <v>0.28125</v>
      </c>
      <c r="Z4" s="52">
        <v>0.60416666666666663</v>
      </c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0.32291666666666663</v>
      </c>
      <c r="AH4" s="47">
        <f t="shared" ref="AH4:AH34" si="3">HOUR(AG4)</f>
        <v>7</v>
      </c>
      <c r="AI4" s="47">
        <f t="shared" ref="AI4:AI34" si="4">MINUTE(AG4)/60</f>
        <v>0.75</v>
      </c>
      <c r="AJ4" s="48">
        <f t="shared" ref="AJ4:AJ34" si="5">AH4+AI4</f>
        <v>7.75</v>
      </c>
      <c r="AL4" s="54">
        <f t="shared" ref="AL4:AL35" si="6">SUM(C4:Q4)-AJ4</f>
        <v>0</v>
      </c>
    </row>
    <row r="5" spans="1:38" ht="13.5" customHeight="1">
      <c r="A5" s="56">
        <f t="shared" ref="A5:A34" si="7">A4+1</f>
        <v>46205</v>
      </c>
      <c r="B5" s="59" t="str">
        <f>IFERROR(VLOOKUP(A5, Feiertage!$B:$C, 2, 0), IF(OR(WEEKDAY(A5,2)=6, WEEKDAY(A5,2)=7), Feiertage!$C$23, ""))</f>
        <v/>
      </c>
      <c r="C5" s="59">
        <v>6</v>
      </c>
      <c r="D5" s="59">
        <v>0.5</v>
      </c>
      <c r="E5" s="59">
        <v>1.3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8.4</v>
      </c>
      <c r="S5" s="62">
        <f t="shared" si="0"/>
        <v>7.8</v>
      </c>
      <c r="T5" s="62">
        <f t="shared" si="1"/>
        <v>-0.60000000000000053</v>
      </c>
      <c r="U5" s="63">
        <f t="shared" ref="U5:U34" si="8">U4+T5</f>
        <v>1.2399999999999958</v>
      </c>
      <c r="V5" s="59"/>
      <c r="W5" s="64"/>
      <c r="X5" s="65">
        <f>V5+W5*Summen!$B$44</f>
        <v>0</v>
      </c>
      <c r="Y5" s="168">
        <v>0.33333333333333331</v>
      </c>
      <c r="Z5" s="169">
        <v>0.65972222222222221</v>
      </c>
      <c r="AA5" s="169"/>
      <c r="AB5" s="169"/>
      <c r="AC5" s="169"/>
      <c r="AD5" s="169"/>
      <c r="AE5" s="169"/>
      <c r="AF5" s="169"/>
      <c r="AG5" s="69">
        <f t="shared" si="2"/>
        <v>0.3263888888888889</v>
      </c>
      <c r="AH5" s="62">
        <f t="shared" si="3"/>
        <v>7</v>
      </c>
      <c r="AI5" s="62">
        <f t="shared" si="4"/>
        <v>0.83333333333333337</v>
      </c>
      <c r="AJ5" s="63">
        <f t="shared" si="5"/>
        <v>7.833333333333333</v>
      </c>
      <c r="AL5" s="54">
        <f t="shared" si="6"/>
        <v>-3.3333333333333215E-2</v>
      </c>
    </row>
    <row r="6" spans="1:38" ht="13.5" customHeight="1">
      <c r="A6" s="56">
        <f t="shared" si="7"/>
        <v>46206</v>
      </c>
      <c r="B6" s="45" t="str">
        <f>IFERROR(VLOOKUP(A6, Feiertage!$B:$C, 2, 0), IF(OR(WEEKDAY(A6,2)=6, WEEKDAY(A6,2)=7), Feiertage!$C$23, ""))</f>
        <v/>
      </c>
      <c r="C6" s="45"/>
      <c r="D6" s="45"/>
      <c r="E6" s="45">
        <v>7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8.4</v>
      </c>
      <c r="S6" s="62">
        <f t="shared" si="0"/>
        <v>7</v>
      </c>
      <c r="T6" s="62">
        <f t="shared" si="1"/>
        <v>-1.4000000000000004</v>
      </c>
      <c r="U6" s="63">
        <f t="shared" si="8"/>
        <v>-0.16000000000000458</v>
      </c>
      <c r="V6" s="45"/>
      <c r="W6" s="49"/>
      <c r="X6" s="65">
        <f>V6+W6*Summen!$B$44</f>
        <v>0</v>
      </c>
      <c r="Y6" s="170">
        <v>0.29166666666666669</v>
      </c>
      <c r="Z6" s="171">
        <v>0.47916666666666669</v>
      </c>
      <c r="AA6" s="171">
        <v>0.48958333333333331</v>
      </c>
      <c r="AB6" s="171">
        <v>0.59375</v>
      </c>
      <c r="AC6" s="171"/>
      <c r="AD6" s="171"/>
      <c r="AE6" s="171"/>
      <c r="AF6" s="171"/>
      <c r="AG6" s="69">
        <f t="shared" si="2"/>
        <v>0.29166666666666669</v>
      </c>
      <c r="AH6" s="62">
        <f t="shared" si="3"/>
        <v>7</v>
      </c>
      <c r="AI6" s="62">
        <f t="shared" si="4"/>
        <v>0</v>
      </c>
      <c r="AJ6" s="63">
        <f t="shared" si="5"/>
        <v>7</v>
      </c>
      <c r="AL6" s="54">
        <f t="shared" si="6"/>
        <v>0</v>
      </c>
    </row>
    <row r="7" spans="1:38" ht="13.5" customHeight="1">
      <c r="A7" s="56">
        <f t="shared" si="7"/>
        <v>46207</v>
      </c>
      <c r="B7" s="59" t="str">
        <f>IFERROR(VLOOKUP(A7, Feiertage!$B:$C, 2, 0), IF(OR(WEEKDAY(A7,2)=6, WEEKDAY(A7,2)=7), Feiertage!$C$23, ""))</f>
        <v>* * * * * * * * Wochenende * * * * * * * * * * * * * * * * * * * * * * * * * * * * * * * * * * * * * * * * * * * * * * * *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0</v>
      </c>
      <c r="S7" s="62">
        <f t="shared" si="0"/>
        <v>0</v>
      </c>
      <c r="T7" s="62">
        <f t="shared" si="1"/>
        <v>0</v>
      </c>
      <c r="U7" s="63">
        <f t="shared" si="8"/>
        <v>-0.16000000000000458</v>
      </c>
      <c r="V7" s="59"/>
      <c r="W7" s="64"/>
      <c r="X7" s="65">
        <f>V7+W7*Summen!$B$44</f>
        <v>0</v>
      </c>
      <c r="Y7" s="168"/>
      <c r="Z7" s="169"/>
      <c r="AA7" s="169"/>
      <c r="AB7" s="169"/>
      <c r="AC7" s="169"/>
      <c r="AD7" s="169"/>
      <c r="AE7" s="169"/>
      <c r="AF7" s="169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46208</v>
      </c>
      <c r="B8" s="45" t="str">
        <f>IFERROR(VLOOKUP(A8, Feiertage!$B:$C, 2, 0), IF(OR(WEEKDAY(A8,2)=6, WEEKDAY(A8,2)=7), Feiertage!$C$23, ""))</f>
        <v>* * * * * * * * Wochenende * * * * * * * * * * * * * * * * * * * * * * * * * * * * * * * * * * * * * * * * * * * * * * * *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76">
        <f>IF(OR(WEEKDAY(A8,2)=6,WEEKDAY(A8,2)=7),0,IFERROR(IF(VLOOKUP(A8,Feiertage!$B:$D,3,0)="ja",0,Summen!$B$9),Summen!$B$9))</f>
        <v>0</v>
      </c>
      <c r="S8" s="62">
        <f t="shared" si="0"/>
        <v>0</v>
      </c>
      <c r="T8" s="62">
        <f t="shared" si="1"/>
        <v>0</v>
      </c>
      <c r="U8" s="63">
        <f t="shared" si="8"/>
        <v>-0.16000000000000458</v>
      </c>
      <c r="V8" s="45"/>
      <c r="W8" s="49"/>
      <c r="X8" s="65">
        <f>V8+W8*Summen!$B$44</f>
        <v>0</v>
      </c>
      <c r="Y8" s="170"/>
      <c r="Z8" s="171"/>
      <c r="AA8" s="171"/>
      <c r="AB8" s="171"/>
      <c r="AC8" s="171"/>
      <c r="AD8" s="171"/>
      <c r="AE8" s="171"/>
      <c r="AF8" s="171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46209</v>
      </c>
      <c r="B9" s="59" t="str">
        <f>IFERROR(VLOOKUP(A9, Feiertage!$B:$C, 2, 0), IF(OR(WEEKDAY(A9,2)=6, WEEKDAY(A9,2)=7), Feiertage!$C$23, ""))</f>
        <v/>
      </c>
      <c r="C9" s="59">
        <v>1</v>
      </c>
      <c r="D9" s="59"/>
      <c r="E9" s="59">
        <v>7.4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76">
        <f>IF(OR(WEEKDAY(A9,2)=6,WEEKDAY(A9,2)=7),0,IFERROR(IF(VLOOKUP(A9,Feiertage!$B:$D,3,0)="ja",0,Summen!$B$9),Summen!$B$9))</f>
        <v>8.4</v>
      </c>
      <c r="S9" s="62">
        <f t="shared" si="0"/>
        <v>8.4</v>
      </c>
      <c r="T9" s="62">
        <f t="shared" si="1"/>
        <v>0</v>
      </c>
      <c r="U9" s="63">
        <f t="shared" si="8"/>
        <v>-0.16000000000000458</v>
      </c>
      <c r="V9" s="59"/>
      <c r="W9" s="64"/>
      <c r="X9" s="65">
        <f>V9+W9*Summen!$B$44</f>
        <v>0</v>
      </c>
      <c r="Y9" s="168">
        <v>0.34027777777777779</v>
      </c>
      <c r="Z9" s="169">
        <v>0.47916666666666669</v>
      </c>
      <c r="AA9" s="169">
        <v>0.49652777777777779</v>
      </c>
      <c r="AB9" s="169">
        <v>0.70833333333333337</v>
      </c>
      <c r="AC9" s="169"/>
      <c r="AD9" s="169"/>
      <c r="AE9" s="169"/>
      <c r="AF9" s="169"/>
      <c r="AG9" s="69">
        <f t="shared" si="2"/>
        <v>0.35069444444444448</v>
      </c>
      <c r="AH9" s="62">
        <f t="shared" si="3"/>
        <v>8</v>
      </c>
      <c r="AI9" s="62">
        <f t="shared" si="4"/>
        <v>0.41666666666666669</v>
      </c>
      <c r="AJ9" s="63">
        <f t="shared" si="5"/>
        <v>8.4166666666666661</v>
      </c>
      <c r="AL9" s="54">
        <f t="shared" si="6"/>
        <v>-1.6666666666665719E-2</v>
      </c>
    </row>
    <row r="10" spans="1:38" ht="13.5" customHeight="1">
      <c r="A10" s="56">
        <f t="shared" si="7"/>
        <v>46210</v>
      </c>
      <c r="B10" s="45" t="str">
        <f>IFERROR(VLOOKUP(A10, Feiertage!$B:$C, 2, 0), IF(OR(WEEKDAY(A10,2)=6, WEEKDAY(A10,2)=7), Feiertage!$C$23, ""))</f>
        <v/>
      </c>
      <c r="C10" s="45"/>
      <c r="D10" s="45"/>
      <c r="E10" s="45"/>
      <c r="F10" s="45"/>
      <c r="G10" s="45"/>
      <c r="H10" s="45"/>
      <c r="I10" s="45"/>
      <c r="J10" s="45"/>
      <c r="K10" s="45"/>
      <c r="L10" s="45">
        <v>8.4</v>
      </c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8.4</v>
      </c>
      <c r="S10" s="62">
        <f t="shared" si="0"/>
        <v>8.4</v>
      </c>
      <c r="T10" s="62">
        <f t="shared" si="1"/>
        <v>0</v>
      </c>
      <c r="U10" s="63">
        <f t="shared" si="8"/>
        <v>-0.16000000000000458</v>
      </c>
      <c r="V10" s="45"/>
      <c r="W10" s="49"/>
      <c r="X10" s="65">
        <f>V10+W10*Summen!$B$44</f>
        <v>0</v>
      </c>
      <c r="Y10" s="170"/>
      <c r="Z10" s="171"/>
      <c r="AA10" s="171"/>
      <c r="AB10" s="171"/>
      <c r="AC10" s="171"/>
      <c r="AD10" s="171"/>
      <c r="AE10" s="171"/>
      <c r="AF10" s="171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8.4</v>
      </c>
    </row>
    <row r="11" spans="1:38" ht="13.5" customHeight="1">
      <c r="A11" s="56">
        <f t="shared" si="7"/>
        <v>46211</v>
      </c>
      <c r="B11" s="59" t="str">
        <f>IFERROR(VLOOKUP(A11, Feiertage!$B:$C, 2, 0), IF(OR(WEEKDAY(A11,2)=6, WEEKDAY(A11,2)=7), Feiertage!$C$23, ""))</f>
        <v/>
      </c>
      <c r="C11" s="59">
        <v>0.5</v>
      </c>
      <c r="D11" s="59"/>
      <c r="E11" s="59">
        <v>8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8.4</v>
      </c>
      <c r="S11" s="62">
        <f t="shared" si="0"/>
        <v>8.5</v>
      </c>
      <c r="T11" s="62">
        <f t="shared" si="1"/>
        <v>9.9999999999999645E-2</v>
      </c>
      <c r="U11" s="63">
        <f t="shared" si="8"/>
        <v>-6.0000000000004938E-2</v>
      </c>
      <c r="V11" s="59"/>
      <c r="W11" s="64"/>
      <c r="X11" s="65">
        <f>V11+W11*Summen!$B$44</f>
        <v>0</v>
      </c>
      <c r="Y11" s="168">
        <v>0.32291666666666669</v>
      </c>
      <c r="Z11" s="169">
        <v>0.5</v>
      </c>
      <c r="AA11" s="169">
        <v>0.51041666666666663</v>
      </c>
      <c r="AB11" s="169">
        <v>0.6875</v>
      </c>
      <c r="AC11" s="169"/>
      <c r="AD11" s="169"/>
      <c r="AE11" s="169"/>
      <c r="AF11" s="169"/>
      <c r="AG11" s="69">
        <f t="shared" si="2"/>
        <v>0.35416666666666669</v>
      </c>
      <c r="AH11" s="62">
        <f t="shared" si="3"/>
        <v>8</v>
      </c>
      <c r="AI11" s="62">
        <f t="shared" si="4"/>
        <v>0.5</v>
      </c>
      <c r="AJ11" s="63">
        <f t="shared" si="5"/>
        <v>8.5</v>
      </c>
      <c r="AL11" s="54">
        <f t="shared" si="6"/>
        <v>0</v>
      </c>
    </row>
    <row r="12" spans="1:38" ht="13.5" customHeight="1">
      <c r="A12" s="56">
        <f t="shared" si="7"/>
        <v>46212</v>
      </c>
      <c r="B12" s="45" t="str">
        <f>IFERROR(VLOOKUP(A12, Feiertage!$B:$C, 2, 0), IF(OR(WEEKDAY(A12,2)=6, WEEKDAY(A12,2)=7), Feiertage!$C$23, ""))</f>
        <v/>
      </c>
      <c r="C12" s="45">
        <v>2.25</v>
      </c>
      <c r="D12" s="45"/>
      <c r="E12" s="45">
        <v>5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8.4</v>
      </c>
      <c r="S12" s="62">
        <f t="shared" si="0"/>
        <v>7.25</v>
      </c>
      <c r="T12" s="62">
        <f t="shared" si="1"/>
        <v>-1.1500000000000004</v>
      </c>
      <c r="U12" s="63">
        <f t="shared" si="8"/>
        <v>-1.2100000000000053</v>
      </c>
      <c r="V12" s="45"/>
      <c r="W12" s="49"/>
      <c r="X12" s="65">
        <f>V12+W12*Summen!$B$44</f>
        <v>0</v>
      </c>
      <c r="Y12" s="170">
        <v>0.33333333333333331</v>
      </c>
      <c r="Z12" s="171">
        <v>0.5</v>
      </c>
      <c r="AA12" s="171">
        <v>0.51041666666666663</v>
      </c>
      <c r="AB12" s="171">
        <v>0.64583333333333337</v>
      </c>
      <c r="AC12" s="171"/>
      <c r="AD12" s="171"/>
      <c r="AE12" s="171"/>
      <c r="AF12" s="171"/>
      <c r="AG12" s="69">
        <f t="shared" si="2"/>
        <v>0.30208333333333343</v>
      </c>
      <c r="AH12" s="62">
        <f t="shared" si="3"/>
        <v>7</v>
      </c>
      <c r="AI12" s="62">
        <f t="shared" si="4"/>
        <v>0.25</v>
      </c>
      <c r="AJ12" s="63">
        <f t="shared" si="5"/>
        <v>7.25</v>
      </c>
      <c r="AL12" s="54">
        <f t="shared" si="6"/>
        <v>0</v>
      </c>
    </row>
    <row r="13" spans="1:38" ht="13.5" customHeight="1">
      <c r="A13" s="56">
        <f t="shared" si="7"/>
        <v>46213</v>
      </c>
      <c r="B13" s="59" t="str">
        <f>IFERROR(VLOOKUP(A13, Feiertage!$B:$C, 2, 0), IF(OR(WEEKDAY(A13,2)=6, WEEKDAY(A13,2)=7), Feiertage!$C$23, ""))</f>
        <v/>
      </c>
      <c r="C13" s="59"/>
      <c r="D13" s="59">
        <v>4</v>
      </c>
      <c r="E13" s="59">
        <v>5.5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8.4</v>
      </c>
      <c r="S13" s="62">
        <f t="shared" si="0"/>
        <v>9.5</v>
      </c>
      <c r="T13" s="62">
        <f t="shared" si="1"/>
        <v>1.0999999999999996</v>
      </c>
      <c r="U13" s="63">
        <f t="shared" si="8"/>
        <v>-0.11000000000000565</v>
      </c>
      <c r="V13" s="59"/>
      <c r="W13" s="64"/>
      <c r="X13" s="65">
        <f>V13+W13*Summen!$B$44</f>
        <v>0</v>
      </c>
      <c r="Y13" s="168">
        <v>0.29166666666666669</v>
      </c>
      <c r="Z13" s="169">
        <v>0.5</v>
      </c>
      <c r="AA13" s="169">
        <v>0.52083333333333337</v>
      </c>
      <c r="AB13" s="169">
        <v>0.58333333333333337</v>
      </c>
      <c r="AC13" s="169">
        <v>0.79166666666666663</v>
      </c>
      <c r="AD13" s="169">
        <v>0.91666666666666663</v>
      </c>
      <c r="AE13" s="169"/>
      <c r="AF13" s="169"/>
      <c r="AG13" s="69">
        <f t="shared" si="2"/>
        <v>0.39583333333333331</v>
      </c>
      <c r="AH13" s="62">
        <f t="shared" si="3"/>
        <v>9</v>
      </c>
      <c r="AI13" s="62">
        <f t="shared" si="4"/>
        <v>0.5</v>
      </c>
      <c r="AJ13" s="63">
        <f t="shared" si="5"/>
        <v>9.5</v>
      </c>
      <c r="AL13" s="54">
        <f t="shared" si="6"/>
        <v>0</v>
      </c>
    </row>
    <row r="14" spans="1:38" ht="13.5" customHeight="1">
      <c r="A14" s="56">
        <f t="shared" si="7"/>
        <v>46214</v>
      </c>
      <c r="B14" s="45" t="str">
        <f>IFERROR(VLOOKUP(A14, Feiertage!$B:$C, 2, 0), IF(OR(WEEKDAY(A14,2)=6, WEEKDAY(A14,2)=7), Feiertage!$C$23, ""))</f>
        <v>* * * * * * * * Wochenende * * * * * * * * * * * * * * * * * * * * * * * * * * * * * * * * * * * * * * * * * * * * * * * *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0</v>
      </c>
      <c r="S14" s="62">
        <f t="shared" si="0"/>
        <v>0</v>
      </c>
      <c r="T14" s="62">
        <f t="shared" si="1"/>
        <v>0</v>
      </c>
      <c r="U14" s="63">
        <f t="shared" si="8"/>
        <v>-0.11000000000000565</v>
      </c>
      <c r="V14" s="45"/>
      <c r="W14" s="49"/>
      <c r="X14" s="65">
        <f>V14+W14*Summen!$B$44</f>
        <v>0</v>
      </c>
      <c r="Y14" s="170"/>
      <c r="Z14" s="171"/>
      <c r="AA14" s="171"/>
      <c r="AB14" s="171"/>
      <c r="AC14" s="171"/>
      <c r="AD14" s="171"/>
      <c r="AE14" s="171"/>
      <c r="AF14" s="171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46215</v>
      </c>
      <c r="B15" s="59" t="str">
        <f>IFERROR(VLOOKUP(A15, Feiertage!$B:$C, 2, 0), IF(OR(WEEKDAY(A15,2)=6, WEEKDAY(A15,2)=7), Feiertage!$C$23, ""))</f>
        <v>* * * * * * * * Wochenende * * * * * * * * * * * * * * * * * * * * * * * * * * * * * * * * * * * * * * * * * * * * * * * *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76">
        <f>IF(OR(WEEKDAY(A15,2)=6,WEEKDAY(A15,2)=7),0,IFERROR(IF(VLOOKUP(A15,Feiertage!$B:$D,3,0)="ja",0,Summen!$B$9),Summen!$B$9))</f>
        <v>0</v>
      </c>
      <c r="S15" s="62">
        <f t="shared" si="0"/>
        <v>0</v>
      </c>
      <c r="T15" s="62">
        <f t="shared" si="1"/>
        <v>0</v>
      </c>
      <c r="U15" s="63">
        <f t="shared" si="8"/>
        <v>-0.11000000000000565</v>
      </c>
      <c r="V15" s="59"/>
      <c r="W15" s="64"/>
      <c r="X15" s="65">
        <f>V15+W15*Summen!$B$44</f>
        <v>0</v>
      </c>
      <c r="Y15" s="168"/>
      <c r="Z15" s="169"/>
      <c r="AA15" s="169"/>
      <c r="AB15" s="169"/>
      <c r="AC15" s="169"/>
      <c r="AD15" s="169"/>
      <c r="AE15" s="169"/>
      <c r="AF15" s="169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46216</v>
      </c>
      <c r="B16" s="45" t="str">
        <f>IFERROR(VLOOKUP(A16, Feiertage!$B:$C, 2, 0), IF(OR(WEEKDAY(A16,2)=6, WEEKDAY(A16,2)=7), Feiertage!$C$23, ""))</f>
        <v/>
      </c>
      <c r="C16" s="45">
        <v>5.2</v>
      </c>
      <c r="D16" s="45">
        <v>2</v>
      </c>
      <c r="E16" s="45">
        <v>3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76">
        <f>IF(OR(WEEKDAY(A16,2)=6,WEEKDAY(A16,2)=7),0,IFERROR(IF(VLOOKUP(A16,Feiertage!$B:$D,3,0)="ja",0,Summen!$B$9),Summen!$B$9))</f>
        <v>8.4</v>
      </c>
      <c r="S16" s="62">
        <f t="shared" si="0"/>
        <v>10.199999999999999</v>
      </c>
      <c r="T16" s="62">
        <f t="shared" si="1"/>
        <v>1.7999999999999989</v>
      </c>
      <c r="U16" s="63">
        <f t="shared" si="8"/>
        <v>1.6899999999999933</v>
      </c>
      <c r="V16" s="45"/>
      <c r="W16" s="49"/>
      <c r="X16" s="65">
        <f>V16+W16*Summen!$B$44</f>
        <v>0</v>
      </c>
      <c r="Y16" s="170">
        <v>0.29166666666666669</v>
      </c>
      <c r="Z16" s="171">
        <v>0.5</v>
      </c>
      <c r="AA16" s="171">
        <v>0.51388888888888884</v>
      </c>
      <c r="AB16" s="171">
        <v>0.66666666666666663</v>
      </c>
      <c r="AC16" s="171">
        <v>0.79166666666666663</v>
      </c>
      <c r="AD16" s="171">
        <v>0.85416666666666663</v>
      </c>
      <c r="AE16" s="171"/>
      <c r="AF16" s="171"/>
      <c r="AG16" s="69">
        <f t="shared" si="2"/>
        <v>0.4236111111111111</v>
      </c>
      <c r="AH16" s="62">
        <f t="shared" si="3"/>
        <v>10</v>
      </c>
      <c r="AI16" s="62">
        <f t="shared" si="4"/>
        <v>0.16666666666666666</v>
      </c>
      <c r="AJ16" s="63">
        <f t="shared" si="5"/>
        <v>10.166666666666666</v>
      </c>
      <c r="AL16" s="54">
        <f t="shared" si="6"/>
        <v>3.3333333333333215E-2</v>
      </c>
    </row>
    <row r="17" spans="1:38" ht="13.5" customHeight="1">
      <c r="A17" s="56">
        <f t="shared" si="7"/>
        <v>46217</v>
      </c>
      <c r="B17" s="59" t="str">
        <f>IFERROR(VLOOKUP(A17, Feiertage!$B:$C, 2, 0), IF(OR(WEEKDAY(A17,2)=6, WEEKDAY(A17,2)=7), Feiertage!$C$23, ""))</f>
        <v/>
      </c>
      <c r="C17" s="59">
        <v>3.5</v>
      </c>
      <c r="D17" s="59"/>
      <c r="E17" s="59">
        <v>7.2</v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8.4</v>
      </c>
      <c r="S17" s="62">
        <f t="shared" si="0"/>
        <v>10.7</v>
      </c>
      <c r="T17" s="62">
        <f t="shared" si="1"/>
        <v>2.2999999999999989</v>
      </c>
      <c r="U17" s="63">
        <f t="shared" si="8"/>
        <v>3.9899999999999922</v>
      </c>
      <c r="V17" s="59"/>
      <c r="W17" s="64"/>
      <c r="X17" s="65">
        <f>V17+W17*Summen!$B$44</f>
        <v>0</v>
      </c>
      <c r="Y17" s="168">
        <v>0.29166666666666669</v>
      </c>
      <c r="Z17" s="169">
        <v>0.5</v>
      </c>
      <c r="AA17" s="169">
        <v>0.51388888888888884</v>
      </c>
      <c r="AB17" s="169">
        <v>0.75</v>
      </c>
      <c r="AC17" s="169"/>
      <c r="AD17" s="169"/>
      <c r="AE17" s="169"/>
      <c r="AF17" s="169"/>
      <c r="AG17" s="69">
        <f t="shared" si="2"/>
        <v>0.44444444444444448</v>
      </c>
      <c r="AH17" s="62">
        <f t="shared" si="3"/>
        <v>10</v>
      </c>
      <c r="AI17" s="62">
        <f t="shared" si="4"/>
        <v>0.66666666666666663</v>
      </c>
      <c r="AJ17" s="63">
        <f t="shared" si="5"/>
        <v>10.666666666666666</v>
      </c>
      <c r="AL17" s="54">
        <f t="shared" si="6"/>
        <v>3.3333333333333215E-2</v>
      </c>
    </row>
    <row r="18" spans="1:38" ht="13.5" customHeight="1">
      <c r="A18" s="56">
        <f t="shared" si="7"/>
        <v>46218</v>
      </c>
      <c r="B18" s="45" t="str">
        <f>IFERROR(VLOOKUP(A18, Feiertage!$B:$C, 2, 0), IF(OR(WEEKDAY(A18,2)=6, WEEKDAY(A18,2)=7), Feiertage!$C$23, ""))</f>
        <v/>
      </c>
      <c r="C18" s="45">
        <v>3</v>
      </c>
      <c r="D18" s="45"/>
      <c r="E18" s="45">
        <v>5.5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8.4</v>
      </c>
      <c r="S18" s="62">
        <f t="shared" si="0"/>
        <v>8.5</v>
      </c>
      <c r="T18" s="62">
        <f t="shared" si="1"/>
        <v>9.9999999999999645E-2</v>
      </c>
      <c r="U18" s="63">
        <f t="shared" si="8"/>
        <v>4.0899999999999919</v>
      </c>
      <c r="V18" s="45"/>
      <c r="W18" s="49"/>
      <c r="X18" s="65">
        <f>V18+W18*Summen!$B$44</f>
        <v>0</v>
      </c>
      <c r="Y18" s="170">
        <v>0.29166666666666669</v>
      </c>
      <c r="Z18" s="171">
        <v>0.5</v>
      </c>
      <c r="AA18" s="171">
        <v>0.52083333333333337</v>
      </c>
      <c r="AB18" s="171">
        <v>0.66666666666666663</v>
      </c>
      <c r="AC18" s="171"/>
      <c r="AD18" s="171"/>
      <c r="AE18" s="171"/>
      <c r="AF18" s="171"/>
      <c r="AG18" s="69">
        <f t="shared" si="2"/>
        <v>0.35416666666666657</v>
      </c>
      <c r="AH18" s="62">
        <f t="shared" si="3"/>
        <v>8</v>
      </c>
      <c r="AI18" s="62">
        <f t="shared" si="4"/>
        <v>0.5</v>
      </c>
      <c r="AJ18" s="63">
        <f t="shared" si="5"/>
        <v>8.5</v>
      </c>
      <c r="AL18" s="54">
        <f t="shared" si="6"/>
        <v>0</v>
      </c>
    </row>
    <row r="19" spans="1:38" ht="13.5" customHeight="1">
      <c r="A19" s="56">
        <f t="shared" si="7"/>
        <v>46219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>
        <v>7.3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8.4</v>
      </c>
      <c r="S19" s="62">
        <f t="shared" si="0"/>
        <v>7.3</v>
      </c>
      <c r="T19" s="62">
        <f t="shared" si="1"/>
        <v>-1.1000000000000005</v>
      </c>
      <c r="U19" s="63">
        <f t="shared" si="8"/>
        <v>2.9899999999999913</v>
      </c>
      <c r="V19" s="59"/>
      <c r="W19" s="64"/>
      <c r="X19" s="65">
        <f>V19+W19*Summen!$B$44</f>
        <v>0</v>
      </c>
      <c r="Y19" s="168">
        <v>0.32291666666666669</v>
      </c>
      <c r="Z19" s="169">
        <v>0.47916666666666669</v>
      </c>
      <c r="AA19" s="169">
        <v>0.49305555555555558</v>
      </c>
      <c r="AB19" s="169">
        <v>0.64236111111111116</v>
      </c>
      <c r="AC19" s="169"/>
      <c r="AD19" s="169"/>
      <c r="AE19" s="169"/>
      <c r="AF19" s="169"/>
      <c r="AG19" s="69">
        <f t="shared" si="2"/>
        <v>0.30555555555555558</v>
      </c>
      <c r="AH19" s="62">
        <f t="shared" si="3"/>
        <v>7</v>
      </c>
      <c r="AI19" s="62">
        <f t="shared" si="4"/>
        <v>0.33333333333333331</v>
      </c>
      <c r="AJ19" s="63">
        <f t="shared" si="5"/>
        <v>7.333333333333333</v>
      </c>
      <c r="AL19" s="54">
        <f t="shared" si="6"/>
        <v>-3.3333333333333215E-2</v>
      </c>
    </row>
    <row r="20" spans="1:38" ht="13.5" customHeight="1">
      <c r="A20" s="56">
        <f t="shared" si="7"/>
        <v>46220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>
        <v>5.75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8.4</v>
      </c>
      <c r="S20" s="62">
        <f t="shared" si="0"/>
        <v>5.75</v>
      </c>
      <c r="T20" s="62">
        <f t="shared" si="1"/>
        <v>-2.6500000000000004</v>
      </c>
      <c r="U20" s="63">
        <f t="shared" si="8"/>
        <v>0.33999999999999098</v>
      </c>
      <c r="V20" s="45"/>
      <c r="W20" s="49"/>
      <c r="X20" s="65">
        <f>V20+W20*Summen!$B$44</f>
        <v>0</v>
      </c>
      <c r="Y20" s="170">
        <v>0.27083333333333331</v>
      </c>
      <c r="Z20" s="171">
        <v>0.47916666666666669</v>
      </c>
      <c r="AA20" s="171">
        <v>0.48958333333333331</v>
      </c>
      <c r="AB20" s="171">
        <v>0.52083333333333337</v>
      </c>
      <c r="AC20" s="171"/>
      <c r="AD20" s="171"/>
      <c r="AE20" s="171"/>
      <c r="AF20" s="171"/>
      <c r="AG20" s="69">
        <f t="shared" si="2"/>
        <v>0.23958333333333343</v>
      </c>
      <c r="AH20" s="62">
        <f t="shared" si="3"/>
        <v>5</v>
      </c>
      <c r="AI20" s="62">
        <f t="shared" si="4"/>
        <v>0.75</v>
      </c>
      <c r="AJ20" s="63">
        <f t="shared" si="5"/>
        <v>5.75</v>
      </c>
      <c r="AL20" s="54">
        <f t="shared" si="6"/>
        <v>0</v>
      </c>
    </row>
    <row r="21" spans="1:38" ht="13.5" customHeight="1">
      <c r="A21" s="56">
        <f t="shared" si="7"/>
        <v>46221</v>
      </c>
      <c r="B21" s="59" t="str">
        <f>IFERROR(VLOOKUP(A21, Feiertage!$B:$C, 2, 0), IF(OR(WEEKDAY(A21,2)=6, WEEKDAY(A21,2)=7), Feiertage!$C$23, ""))</f>
        <v>* * * * * * * * Wochenende * * * * * * * * * * * * * * * * * * * * * * * * * * * * * * * * * * * * * * * * * * * * * * * *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0</v>
      </c>
      <c r="S21" s="62">
        <f t="shared" si="0"/>
        <v>0</v>
      </c>
      <c r="T21" s="62">
        <f t="shared" si="1"/>
        <v>0</v>
      </c>
      <c r="U21" s="63">
        <f t="shared" si="8"/>
        <v>0.33999999999999098</v>
      </c>
      <c r="V21" s="59"/>
      <c r="W21" s="64"/>
      <c r="X21" s="65">
        <f>V21+W21*Summen!$B$44</f>
        <v>0</v>
      </c>
      <c r="Y21" s="168"/>
      <c r="Z21" s="169"/>
      <c r="AA21" s="169"/>
      <c r="AB21" s="169"/>
      <c r="AC21" s="169"/>
      <c r="AD21" s="169"/>
      <c r="AE21" s="169"/>
      <c r="AF21" s="169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46222</v>
      </c>
      <c r="B22" s="45" t="str">
        <f>IFERROR(VLOOKUP(A22, Feiertage!$B:$C, 2, 0), IF(OR(WEEKDAY(A22,2)=6, WEEKDAY(A22,2)=7), Feiertage!$C$23, ""))</f>
        <v>* * * * * * * * Wochenende * * * * * * * * * * * * * * * * * * * * * * * * * * * * * * * * * * * * * * * * * * * * * * * *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76">
        <f>IF(OR(WEEKDAY(A22,2)=6,WEEKDAY(A22,2)=7),0,IFERROR(IF(VLOOKUP(A22,Feiertage!$B:$D,3,0)="ja",0,Summen!$B$9),Summen!$B$9))</f>
        <v>0</v>
      </c>
      <c r="S22" s="62">
        <f t="shared" si="0"/>
        <v>0</v>
      </c>
      <c r="T22" s="62">
        <f t="shared" si="1"/>
        <v>0</v>
      </c>
      <c r="U22" s="63">
        <f t="shared" si="8"/>
        <v>0.33999999999999098</v>
      </c>
      <c r="V22" s="45"/>
      <c r="W22" s="49"/>
      <c r="X22" s="65">
        <f>V22+W22*Summen!$B$44</f>
        <v>0</v>
      </c>
      <c r="Y22" s="170"/>
      <c r="Z22" s="171"/>
      <c r="AA22" s="171"/>
      <c r="AB22" s="171"/>
      <c r="AC22" s="171"/>
      <c r="AD22" s="171"/>
      <c r="AE22" s="171"/>
      <c r="AF22" s="171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46223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>
        <v>8.75</v>
      </c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76">
        <f>IF(OR(WEEKDAY(A23,2)=6,WEEKDAY(A23,2)=7),0,IFERROR(IF(VLOOKUP(A23,Feiertage!$B:$D,3,0)="ja",0,Summen!$B$9),Summen!$B$9))</f>
        <v>8.4</v>
      </c>
      <c r="S23" s="62">
        <f t="shared" si="0"/>
        <v>8.75</v>
      </c>
      <c r="T23" s="62">
        <f t="shared" si="1"/>
        <v>0.34999999999999964</v>
      </c>
      <c r="U23" s="63">
        <f t="shared" si="8"/>
        <v>0.68999999999999062</v>
      </c>
      <c r="V23" s="59"/>
      <c r="W23" s="64"/>
      <c r="X23" s="65">
        <f>V23+W23*Summen!$B$44</f>
        <v>0</v>
      </c>
      <c r="Y23" s="168">
        <v>0.28125</v>
      </c>
      <c r="Z23" s="169">
        <v>0.4861111111111111</v>
      </c>
      <c r="AA23" s="169">
        <v>0.49305555555555558</v>
      </c>
      <c r="AB23" s="169">
        <v>0.65277777777777779</v>
      </c>
      <c r="AC23" s="169"/>
      <c r="AD23" s="169"/>
      <c r="AE23" s="169"/>
      <c r="AF23" s="169"/>
      <c r="AG23" s="69">
        <f t="shared" si="2"/>
        <v>0.36458333333333331</v>
      </c>
      <c r="AH23" s="62">
        <f t="shared" si="3"/>
        <v>8</v>
      </c>
      <c r="AI23" s="62">
        <f t="shared" si="4"/>
        <v>0.75</v>
      </c>
      <c r="AJ23" s="63">
        <f t="shared" si="5"/>
        <v>8.75</v>
      </c>
      <c r="AL23" s="54">
        <f t="shared" si="6"/>
        <v>0</v>
      </c>
    </row>
    <row r="24" spans="1:38" ht="13.5" customHeight="1">
      <c r="A24" s="56">
        <f t="shared" si="7"/>
        <v>46224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>
        <v>9.25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8.4</v>
      </c>
      <c r="S24" s="62">
        <f t="shared" si="0"/>
        <v>9.25</v>
      </c>
      <c r="T24" s="62">
        <f t="shared" si="1"/>
        <v>0.84999999999999964</v>
      </c>
      <c r="U24" s="63">
        <f t="shared" si="8"/>
        <v>1.5399999999999903</v>
      </c>
      <c r="V24" s="45"/>
      <c r="W24" s="49"/>
      <c r="X24" s="65">
        <f>V24+W24*Summen!$B$44</f>
        <v>0</v>
      </c>
      <c r="Y24" s="170">
        <v>0.3125</v>
      </c>
      <c r="Z24" s="171">
        <v>0.4826388888888889</v>
      </c>
      <c r="AA24" s="171">
        <v>0.49305555555555558</v>
      </c>
      <c r="AB24" s="171">
        <v>0.70833333333333337</v>
      </c>
      <c r="AC24" s="171"/>
      <c r="AD24" s="171"/>
      <c r="AE24" s="171"/>
      <c r="AF24" s="171"/>
      <c r="AG24" s="69">
        <f t="shared" si="2"/>
        <v>0.38541666666666669</v>
      </c>
      <c r="AH24" s="62">
        <f t="shared" si="3"/>
        <v>9</v>
      </c>
      <c r="AI24" s="62">
        <f t="shared" si="4"/>
        <v>0.25</v>
      </c>
      <c r="AJ24" s="63">
        <f t="shared" si="5"/>
        <v>9.25</v>
      </c>
      <c r="AL24" s="54">
        <f t="shared" si="6"/>
        <v>0</v>
      </c>
    </row>
    <row r="25" spans="1:38" ht="13.5" customHeight="1">
      <c r="A25" s="56">
        <f t="shared" si="7"/>
        <v>46225</v>
      </c>
      <c r="B25" s="59" t="str">
        <f>IFERROR(VLOOKUP(A25, Feiertage!$B:$C, 2, 0), IF(OR(WEEKDAY(A25,2)=6, WEEKDAY(A25,2)=7), Feiertage!$C$23, ""))</f>
        <v/>
      </c>
      <c r="C25" s="59"/>
      <c r="D25" s="59"/>
      <c r="E25" s="59"/>
      <c r="F25" s="59">
        <v>6.6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8.4</v>
      </c>
      <c r="S25" s="62">
        <f t="shared" si="0"/>
        <v>6.6</v>
      </c>
      <c r="T25" s="62">
        <f t="shared" si="1"/>
        <v>-1.8000000000000007</v>
      </c>
      <c r="U25" s="63">
        <f t="shared" si="8"/>
        <v>-0.26000000000001044</v>
      </c>
      <c r="V25" s="59"/>
      <c r="W25" s="64"/>
      <c r="X25" s="65">
        <f>V25+W25*Summen!$B$44</f>
        <v>0</v>
      </c>
      <c r="Y25" s="168">
        <v>0.34027777777777779</v>
      </c>
      <c r="Z25" s="169">
        <v>0.47916666666666669</v>
      </c>
      <c r="AA25" s="169">
        <v>0.49305555555555558</v>
      </c>
      <c r="AB25" s="169">
        <v>0.62847222222222221</v>
      </c>
      <c r="AC25" s="169"/>
      <c r="AD25" s="169"/>
      <c r="AE25" s="169"/>
      <c r="AF25" s="169"/>
      <c r="AG25" s="69">
        <f t="shared" si="2"/>
        <v>0.27430555555555552</v>
      </c>
      <c r="AH25" s="62">
        <f t="shared" si="3"/>
        <v>6</v>
      </c>
      <c r="AI25" s="62">
        <f t="shared" si="4"/>
        <v>0.58333333333333337</v>
      </c>
      <c r="AJ25" s="63">
        <f t="shared" si="5"/>
        <v>6.583333333333333</v>
      </c>
      <c r="AL25" s="54">
        <f t="shared" si="6"/>
        <v>1.6666666666666607E-2</v>
      </c>
    </row>
    <row r="26" spans="1:38" ht="13.5" customHeight="1">
      <c r="A26" s="56">
        <f t="shared" si="7"/>
        <v>46226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>
        <v>8.8000000000000007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8.4</v>
      </c>
      <c r="S26" s="62">
        <f t="shared" si="0"/>
        <v>8.8000000000000007</v>
      </c>
      <c r="T26" s="62">
        <f t="shared" si="1"/>
        <v>0.40000000000000036</v>
      </c>
      <c r="U26" s="63">
        <f t="shared" si="8"/>
        <v>0.13999999999998991</v>
      </c>
      <c r="V26" s="45"/>
      <c r="W26" s="49"/>
      <c r="X26" s="65">
        <f>V26+W26*Summen!$B$44</f>
        <v>0</v>
      </c>
      <c r="Y26" s="170">
        <v>0.30208333333333331</v>
      </c>
      <c r="Z26" s="171">
        <v>0.38194444444444442</v>
      </c>
      <c r="AA26" s="171">
        <v>0.3888888888888889</v>
      </c>
      <c r="AB26" s="171">
        <v>0.67708333333333337</v>
      </c>
      <c r="AC26" s="171"/>
      <c r="AD26" s="171"/>
      <c r="AE26" s="171"/>
      <c r="AF26" s="171"/>
      <c r="AG26" s="69">
        <f t="shared" si="2"/>
        <v>0.36805555555555558</v>
      </c>
      <c r="AH26" s="62">
        <f t="shared" si="3"/>
        <v>8</v>
      </c>
      <c r="AI26" s="62">
        <f t="shared" si="4"/>
        <v>0.83333333333333337</v>
      </c>
      <c r="AJ26" s="63">
        <f t="shared" si="5"/>
        <v>8.8333333333333339</v>
      </c>
      <c r="AL26" s="54">
        <f t="shared" si="6"/>
        <v>-3.3333333333333215E-2</v>
      </c>
    </row>
    <row r="27" spans="1:38" ht="13.5" customHeight="1">
      <c r="A27" s="56">
        <f t="shared" si="7"/>
        <v>46227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>
        <v>6.7</v>
      </c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8.4</v>
      </c>
      <c r="S27" s="62">
        <f t="shared" si="0"/>
        <v>6.7</v>
      </c>
      <c r="T27" s="62">
        <f t="shared" si="1"/>
        <v>-1.7000000000000002</v>
      </c>
      <c r="U27" s="63">
        <f t="shared" si="8"/>
        <v>-1.5600000000000103</v>
      </c>
      <c r="V27" s="59"/>
      <c r="W27" s="64"/>
      <c r="X27" s="65">
        <f>V27+W27*Summen!$B$44</f>
        <v>0</v>
      </c>
      <c r="Y27" s="168">
        <v>0.34722222222222221</v>
      </c>
      <c r="Z27" s="169">
        <v>0.625</v>
      </c>
      <c r="AA27" s="169"/>
      <c r="AB27" s="169"/>
      <c r="AC27" s="169"/>
      <c r="AD27" s="169"/>
      <c r="AE27" s="169"/>
      <c r="AF27" s="169"/>
      <c r="AG27" s="69">
        <f t="shared" si="2"/>
        <v>0.27777777777777779</v>
      </c>
      <c r="AH27" s="62">
        <f t="shared" si="3"/>
        <v>6</v>
      </c>
      <c r="AI27" s="62">
        <f t="shared" si="4"/>
        <v>0.66666666666666663</v>
      </c>
      <c r="AJ27" s="63">
        <f t="shared" si="5"/>
        <v>6.666666666666667</v>
      </c>
      <c r="AL27" s="54">
        <f t="shared" si="6"/>
        <v>3.3333333333333215E-2</v>
      </c>
    </row>
    <row r="28" spans="1:38" ht="13.5" customHeight="1">
      <c r="A28" s="56">
        <f t="shared" si="7"/>
        <v>46228</v>
      </c>
      <c r="B28" s="45" t="str">
        <f>IFERROR(VLOOKUP(A28, Feiertage!$B:$C, 2, 0), IF(OR(WEEKDAY(A28,2)=6, WEEKDAY(A28,2)=7), Feiertage!$C$23, ""))</f>
        <v>* * * * * * * * Wochenende * * * * * * * * * * * * * * * * * * * * * * * * * * * * * * * * * * * * * * * * * * * * * * * *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0</v>
      </c>
      <c r="S28" s="62">
        <f t="shared" si="0"/>
        <v>0</v>
      </c>
      <c r="T28" s="62">
        <f t="shared" si="1"/>
        <v>0</v>
      </c>
      <c r="U28" s="63">
        <f t="shared" si="8"/>
        <v>-1.5600000000000103</v>
      </c>
      <c r="V28" s="45"/>
      <c r="W28" s="49"/>
      <c r="X28" s="65">
        <f>V28+W28*Summen!$B$44</f>
        <v>0</v>
      </c>
      <c r="Y28" s="170"/>
      <c r="Z28" s="171"/>
      <c r="AA28" s="171"/>
      <c r="AB28" s="171"/>
      <c r="AC28" s="171"/>
      <c r="AD28" s="171"/>
      <c r="AE28" s="171"/>
      <c r="AF28" s="171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46229</v>
      </c>
      <c r="B29" s="59" t="str">
        <f>IFERROR(VLOOKUP(A29, Feiertage!$B:$C, 2, 0), IF(OR(WEEKDAY(A29,2)=6, WEEKDAY(A29,2)=7), Feiertage!$C$23, ""))</f>
        <v>* * * * * * * * Wochenende * * * * * * * * * * * * * * * * * * * * * * * * * * * * * * * * * * * * * * * * * * * * * * * *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76">
        <f>IF(OR(WEEKDAY(A29,2)=6,WEEKDAY(A29,2)=7),0,IFERROR(IF(VLOOKUP(A29,Feiertage!$B:$D,3,0)="ja",0,Summen!$B$9),Summen!$B$9))</f>
        <v>0</v>
      </c>
      <c r="S29" s="62">
        <f t="shared" si="0"/>
        <v>0</v>
      </c>
      <c r="T29" s="62">
        <f t="shared" si="1"/>
        <v>0</v>
      </c>
      <c r="U29" s="63">
        <f t="shared" si="8"/>
        <v>-1.5600000000000103</v>
      </c>
      <c r="V29" s="59"/>
      <c r="W29" s="64"/>
      <c r="X29" s="65">
        <f>V29+W29*Summen!$B$44</f>
        <v>0</v>
      </c>
      <c r="Y29" s="168"/>
      <c r="Z29" s="169"/>
      <c r="AA29" s="169"/>
      <c r="AB29" s="169"/>
      <c r="AC29" s="169"/>
      <c r="AD29" s="169"/>
      <c r="AE29" s="169"/>
      <c r="AF29" s="169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46230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>
        <v>8.5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76">
        <f>IF(OR(WEEKDAY(A30,2)=6,WEEKDAY(A30,2)=7),0,IFERROR(IF(VLOOKUP(A30,Feiertage!$B:$D,3,0)="ja",0,Summen!$B$9),Summen!$B$9))</f>
        <v>8.4</v>
      </c>
      <c r="S30" s="62">
        <f t="shared" si="0"/>
        <v>8.5</v>
      </c>
      <c r="T30" s="62">
        <f t="shared" si="1"/>
        <v>9.9999999999999645E-2</v>
      </c>
      <c r="U30" s="63">
        <f t="shared" si="8"/>
        <v>-1.4600000000000106</v>
      </c>
      <c r="V30" s="45"/>
      <c r="W30" s="49"/>
      <c r="X30" s="65">
        <f>V30+W30*Summen!$B$44</f>
        <v>0</v>
      </c>
      <c r="Y30" s="170">
        <v>0.35416666666666669</v>
      </c>
      <c r="Z30" s="171">
        <v>0.47916666666666669</v>
      </c>
      <c r="AA30" s="171">
        <v>0.5</v>
      </c>
      <c r="AB30" s="171">
        <v>0.72916666666666663</v>
      </c>
      <c r="AC30" s="171"/>
      <c r="AD30" s="171"/>
      <c r="AE30" s="171"/>
      <c r="AF30" s="171"/>
      <c r="AG30" s="69">
        <f t="shared" si="2"/>
        <v>0.35416666666666663</v>
      </c>
      <c r="AH30" s="62">
        <f t="shared" si="3"/>
        <v>8</v>
      </c>
      <c r="AI30" s="62">
        <f t="shared" si="4"/>
        <v>0.5</v>
      </c>
      <c r="AJ30" s="63">
        <f t="shared" si="5"/>
        <v>8.5</v>
      </c>
      <c r="AL30" s="54">
        <f t="shared" si="6"/>
        <v>0</v>
      </c>
    </row>
    <row r="31" spans="1:38" ht="13.5" customHeight="1">
      <c r="A31" s="56">
        <f t="shared" si="7"/>
        <v>46231</v>
      </c>
      <c r="B31" s="59" t="str">
        <f>IFERROR(VLOOKUP(A31, Feiertage!$B:$C, 2, 0), IF(OR(WEEKDAY(A31,2)=6, WEEKDAY(A31,2)=7), Feiertage!$C$23, ""))</f>
        <v/>
      </c>
      <c r="C31" s="59"/>
      <c r="D31" s="59"/>
      <c r="E31" s="59"/>
      <c r="F31" s="59"/>
      <c r="G31" s="59"/>
      <c r="H31" s="59"/>
      <c r="I31" s="59"/>
      <c r="J31" s="59"/>
      <c r="K31" s="59"/>
      <c r="L31" s="59">
        <v>8.4</v>
      </c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8.4</v>
      </c>
      <c r="S31" s="62">
        <f t="shared" si="0"/>
        <v>8.4</v>
      </c>
      <c r="T31" s="62">
        <f t="shared" si="1"/>
        <v>0</v>
      </c>
      <c r="U31" s="63">
        <f t="shared" si="8"/>
        <v>-1.4600000000000106</v>
      </c>
      <c r="V31" s="59"/>
      <c r="W31" s="64"/>
      <c r="X31" s="65">
        <f>V31+W31*Summen!$B$44</f>
        <v>0</v>
      </c>
      <c r="Y31" s="168"/>
      <c r="Z31" s="169"/>
      <c r="AA31" s="169"/>
      <c r="AB31" s="169"/>
      <c r="AC31" s="169"/>
      <c r="AD31" s="169"/>
      <c r="AE31" s="169"/>
      <c r="AF31" s="169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8.4</v>
      </c>
    </row>
    <row r="32" spans="1:38" ht="13.5" customHeight="1">
      <c r="A32" s="56">
        <f t="shared" si="7"/>
        <v>46232</v>
      </c>
      <c r="B32" s="45" t="str">
        <f>IFERROR(VLOOKUP(A32, Feiertage!$B:$C, 2, 0), IF(OR(WEEKDAY(A32,2)=6, WEEKDAY(A32,2)=7), Feiertage!$C$23, ""))</f>
        <v/>
      </c>
      <c r="C32" s="45"/>
      <c r="D32" s="45"/>
      <c r="E32" s="45"/>
      <c r="F32" s="45"/>
      <c r="G32" s="45"/>
      <c r="H32" s="45"/>
      <c r="I32" s="45"/>
      <c r="J32" s="45"/>
      <c r="K32" s="45"/>
      <c r="L32" s="45">
        <v>8.4</v>
      </c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8.4</v>
      </c>
      <c r="S32" s="62">
        <f t="shared" si="0"/>
        <v>8.4</v>
      </c>
      <c r="T32" s="62">
        <f t="shared" si="1"/>
        <v>0</v>
      </c>
      <c r="U32" s="63">
        <f t="shared" si="8"/>
        <v>-1.4600000000000106</v>
      </c>
      <c r="V32" s="45"/>
      <c r="W32" s="49"/>
      <c r="X32" s="65">
        <f>V32+W32*Summen!$B$44</f>
        <v>0</v>
      </c>
      <c r="Y32" s="170"/>
      <c r="Z32" s="171"/>
      <c r="AA32" s="171"/>
      <c r="AB32" s="171"/>
      <c r="AC32" s="171"/>
      <c r="AD32" s="171"/>
      <c r="AE32" s="171"/>
      <c r="AF32" s="171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8.4</v>
      </c>
    </row>
    <row r="33" spans="1:38" ht="13.5" customHeight="1">
      <c r="A33" s="56">
        <f t="shared" si="7"/>
        <v>46233</v>
      </c>
      <c r="B33" s="59" t="str">
        <f>IFERROR(VLOOKUP(A33, Feiertage!$B:$C, 2, 0), IF(OR(WEEKDAY(A33,2)=6, WEEKDAY(A33,2)=7), Feiertage!$C$23, ""))</f>
        <v/>
      </c>
      <c r="C33" s="59"/>
      <c r="D33" s="59"/>
      <c r="E33" s="59"/>
      <c r="F33" s="59">
        <v>7.6</v>
      </c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8.4</v>
      </c>
      <c r="S33" s="62">
        <f t="shared" si="0"/>
        <v>7.6</v>
      </c>
      <c r="T33" s="62">
        <f t="shared" si="1"/>
        <v>-0.80000000000000071</v>
      </c>
      <c r="U33" s="63">
        <f t="shared" si="8"/>
        <v>-2.2600000000000113</v>
      </c>
      <c r="V33" s="59"/>
      <c r="W33" s="64"/>
      <c r="X33" s="65">
        <f>V33+W33*Summen!$B$44</f>
        <v>0</v>
      </c>
      <c r="Y33" s="168">
        <v>0.3125</v>
      </c>
      <c r="Z33" s="169">
        <v>0.38194444444444442</v>
      </c>
      <c r="AA33" s="169">
        <v>0.3888888888888889</v>
      </c>
      <c r="AB33" s="169">
        <v>0.63541666666666663</v>
      </c>
      <c r="AC33" s="169"/>
      <c r="AD33" s="169"/>
      <c r="AE33" s="169"/>
      <c r="AF33" s="169"/>
      <c r="AG33" s="69">
        <f t="shared" si="2"/>
        <v>0.31597222222222215</v>
      </c>
      <c r="AH33" s="62">
        <f t="shared" si="3"/>
        <v>7</v>
      </c>
      <c r="AI33" s="62">
        <f t="shared" si="4"/>
        <v>0.58333333333333337</v>
      </c>
      <c r="AJ33" s="63">
        <f t="shared" si="5"/>
        <v>7.583333333333333</v>
      </c>
      <c r="AL33" s="54">
        <f t="shared" si="6"/>
        <v>1.6666666666666607E-2</v>
      </c>
    </row>
    <row r="34" spans="1:38" ht="13.5" customHeight="1">
      <c r="A34" s="80">
        <f t="shared" si="7"/>
        <v>46234</v>
      </c>
      <c r="B34" s="45" t="str">
        <f>IFERROR(VLOOKUP(A34, Feiertage!$B:$C, 2, 0), IF(OR(WEEKDAY(A34,2)=6, WEEKDAY(A34,2)=7), Feiertage!$C$23, ""))</f>
        <v/>
      </c>
      <c r="C34" s="172"/>
      <c r="D34" s="173"/>
      <c r="E34" s="172"/>
      <c r="F34" s="172">
        <v>6.3</v>
      </c>
      <c r="G34" s="45"/>
      <c r="H34" s="45"/>
      <c r="I34" s="45"/>
      <c r="J34" s="45"/>
      <c r="K34" s="82"/>
      <c r="L34" s="82"/>
      <c r="M34" s="82"/>
      <c r="N34" s="82"/>
      <c r="O34" s="82"/>
      <c r="P34" s="82"/>
      <c r="Q34" s="83"/>
      <c r="R34" s="61">
        <f>IF(OR(WEEKDAY(A34,2)=6,WEEKDAY(A34,2)=7),0,IFERROR(IF(VLOOKUP(A34,Feiertage!$B:$D,3,0)="ja",0,Summen!$B$9),Summen!$B$9))</f>
        <v>8.4</v>
      </c>
      <c r="S34" s="84">
        <f t="shared" si="0"/>
        <v>6.3</v>
      </c>
      <c r="T34" s="84">
        <f t="shared" si="1"/>
        <v>-2.1000000000000005</v>
      </c>
      <c r="U34" s="85">
        <f t="shared" si="8"/>
        <v>-4.3600000000000119</v>
      </c>
      <c r="V34" s="45"/>
      <c r="W34" s="49"/>
      <c r="X34" s="65">
        <f>V34+W34*Summen!$B$44</f>
        <v>0</v>
      </c>
      <c r="Y34" s="170">
        <v>0.34375</v>
      </c>
      <c r="Z34" s="171">
        <v>0.38194444444444442</v>
      </c>
      <c r="AA34" s="171">
        <v>0.3888888888888889</v>
      </c>
      <c r="AB34" s="171">
        <v>0.61458333333333337</v>
      </c>
      <c r="AC34" s="171"/>
      <c r="AD34" s="171"/>
      <c r="AE34" s="171"/>
      <c r="AF34" s="171"/>
      <c r="AG34" s="86">
        <f t="shared" si="2"/>
        <v>0.2638888888888889</v>
      </c>
      <c r="AH34" s="84">
        <f t="shared" si="3"/>
        <v>6</v>
      </c>
      <c r="AI34" s="84">
        <f t="shared" si="4"/>
        <v>0.33333333333333331</v>
      </c>
      <c r="AJ34" s="85">
        <f t="shared" si="5"/>
        <v>6.333333333333333</v>
      </c>
      <c r="AL34" s="54">
        <f t="shared" si="6"/>
        <v>-3.3333333333333215E-2</v>
      </c>
    </row>
    <row r="35" spans="1:38" ht="18" customHeight="1">
      <c r="A35" s="87" t="s">
        <v>31</v>
      </c>
      <c r="B35" s="142"/>
      <c r="C35" s="88">
        <f t="shared" ref="C35:T35" si="9">SUM(C4:C34)</f>
        <v>29.2</v>
      </c>
      <c r="D35" s="88">
        <f t="shared" si="9"/>
        <v>6.5</v>
      </c>
      <c r="E35" s="88">
        <f t="shared" si="9"/>
        <v>49.900000000000006</v>
      </c>
      <c r="F35" s="88">
        <f t="shared" si="9"/>
        <v>75.55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0</v>
      </c>
      <c r="L35" s="88">
        <f t="shared" si="9"/>
        <v>25.200000000000003</v>
      </c>
      <c r="M35" s="88">
        <f t="shared" si="9"/>
        <v>0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193.20000000000007</v>
      </c>
      <c r="S35" s="91">
        <f t="shared" si="9"/>
        <v>186.35000000000002</v>
      </c>
      <c r="T35" s="91">
        <f t="shared" si="9"/>
        <v>-6.8500000000000085</v>
      </c>
      <c r="U35" s="92">
        <f>U34</f>
        <v>-4.3600000000000119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117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2">
        <f>SUM(AJ4:AJ34)</f>
        <v>161.16666666666669</v>
      </c>
      <c r="AL35" s="54">
        <f t="shared" si="6"/>
        <v>25.183333333333337</v>
      </c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BECDB8-EF03-4E09-8524-D3B43B185AF8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2C2499B2-BC31-49CD-A3A0-158BE34BABE3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1000"/>
  <sheetViews>
    <sheetView tabSelected="1" zoomScale="120" zoomScaleNormal="85" workbookViewId="0">
      <selection activeCell="N22" sqref="N22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196" t="s">
        <v>0</v>
      </c>
      <c r="G1" s="190"/>
      <c r="H1" s="197" t="s">
        <v>1</v>
      </c>
      <c r="I1" s="192"/>
      <c r="J1" s="198" t="str">
        <f>Summen!B3</f>
        <v>Michael Küng</v>
      </c>
      <c r="K1" s="192"/>
      <c r="L1" s="192"/>
      <c r="M1" s="190"/>
      <c r="N1" s="199" t="s">
        <v>2</v>
      </c>
      <c r="O1" s="192"/>
      <c r="P1" s="189">
        <f>Jul!P1+31</f>
        <v>46235</v>
      </c>
      <c r="Q1" s="190"/>
      <c r="R1" s="1"/>
      <c r="S1" s="2" t="s">
        <v>3</v>
      </c>
      <c r="T1" s="2"/>
      <c r="U1" s="3">
        <f>Summen!B5</f>
        <v>1</v>
      </c>
      <c r="V1" s="1"/>
      <c r="W1" s="4" t="s">
        <v>4</v>
      </c>
      <c r="X1" s="5">
        <f>Jul!X1+1</f>
        <v>8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Jul!H2+(Jul!Q35/Summen!B9)</f>
        <v>1</v>
      </c>
      <c r="I2" s="11" t="s">
        <v>7</v>
      </c>
      <c r="J2" s="13">
        <f>E2-H2</f>
        <v>9.8000000000000007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Jul!U35</f>
        <v>-4.3600000000000119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64"/>
      <c r="AG2" s="9"/>
      <c r="AH2" s="103"/>
      <c r="AI2" s="103"/>
      <c r="AJ2" s="166"/>
      <c r="AK2" s="7"/>
      <c r="AL2" s="7"/>
    </row>
    <row r="3" spans="1:38" ht="69.75" customHeight="1">
      <c r="A3" s="22" t="s">
        <v>10</v>
      </c>
      <c r="B3" s="25"/>
      <c r="C3" s="124" t="s">
        <v>93</v>
      </c>
      <c r="D3" s="125"/>
      <c r="E3" s="24"/>
      <c r="F3" s="24"/>
      <c r="G3" s="24"/>
      <c r="H3" s="24"/>
      <c r="I3" s="24"/>
      <c r="J3" s="24"/>
      <c r="K3" s="25" t="s">
        <v>94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167" t="s">
        <v>25</v>
      </c>
      <c r="AG3" s="126" t="s">
        <v>26</v>
      </c>
      <c r="AH3" s="36" t="s">
        <v>27</v>
      </c>
      <c r="AI3" s="36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46235</v>
      </c>
      <c r="B4" s="45" t="str">
        <f>IFERROR(VLOOKUP(A4, Feiertage!$B:$C, 2, 0), IF(OR(WEEKDAY(A4,2)=6, WEEKDAY(A4,2)=7), Feiertage!$C$23, ""))</f>
        <v>* * * * * * * * Nationalfeiertag * * * * * * * * * * * * * * * * * * * * * * * * * * * * * * * * * * * * * * * * * * * * * *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61">
        <f>IF(OR(WEEKDAY(A4,2)=6,WEEKDAY(A4,2)=7),0,IFERROR(IF(VLOOKUP(A4,Feiertage!$B:$D,3,0)="ja",0,Summen!$B$9),Summen!$B$9))</f>
        <v>0</v>
      </c>
      <c r="S4" s="47">
        <f t="shared" ref="S4:S34" si="0">SUM(C4:Q4)</f>
        <v>0</v>
      </c>
      <c r="T4" s="47">
        <f t="shared" ref="T4:T34" si="1">S4-R4</f>
        <v>0</v>
      </c>
      <c r="U4" s="48">
        <f>U2+T4</f>
        <v>-4.3600000000000119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</v>
      </c>
      <c r="AH4" s="47">
        <f t="shared" ref="AH4:AH34" si="3">HOUR(AG4)</f>
        <v>0</v>
      </c>
      <c r="AI4" s="47">
        <f t="shared" ref="AI4:AI34" si="4">MINUTE(AG4)/60</f>
        <v>0</v>
      </c>
      <c r="AJ4" s="48">
        <f t="shared" ref="AJ4:AJ34" si="5">AH4+AI4</f>
        <v>0</v>
      </c>
      <c r="AL4" s="54">
        <f t="shared" ref="AL4:AL35" si="6">SUM(C4:Q4)-AJ4</f>
        <v>0</v>
      </c>
    </row>
    <row r="5" spans="1:38" ht="13.5" customHeight="1">
      <c r="A5" s="56">
        <f t="shared" ref="A5:A34" si="7">A4+1</f>
        <v>46236</v>
      </c>
      <c r="B5" s="59" t="str">
        <f>IFERROR(VLOOKUP(A5, Feiertage!$B:$C, 2, 0), IF(OR(WEEKDAY(A5,2)=6, WEEKDAY(A5,2)=7), Feiertage!$C$23, ""))</f>
        <v>* * * * * * * * Wochenende * * * * * * * * * * * * * * * * * * * * * * * * * * * * * * * * * * * * * * * * * * * * * * * *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0</v>
      </c>
      <c r="S5" s="62">
        <f t="shared" si="0"/>
        <v>0</v>
      </c>
      <c r="T5" s="62">
        <f t="shared" si="1"/>
        <v>0</v>
      </c>
      <c r="U5" s="63">
        <f t="shared" ref="U5:U34" si="8">U4+T5</f>
        <v>-4.3600000000000119</v>
      </c>
      <c r="V5" s="59"/>
      <c r="W5" s="64"/>
      <c r="X5" s="65">
        <f>V5+W5*Summen!$B$44</f>
        <v>0</v>
      </c>
      <c r="Y5" s="168"/>
      <c r="Z5" s="169"/>
      <c r="AA5" s="169"/>
      <c r="AB5" s="169"/>
      <c r="AC5" s="169"/>
      <c r="AD5" s="169"/>
      <c r="AE5" s="169"/>
      <c r="AF5" s="169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46237</v>
      </c>
      <c r="B6" s="45" t="str">
        <f>IFERROR(VLOOKUP(A6, Feiertage!$B:$C, 2, 0), IF(OR(WEEKDAY(A6,2)=6, WEEKDAY(A6,2)=7), Feiertage!$C$23, ""))</f>
        <v/>
      </c>
      <c r="C6" s="45">
        <v>10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8.4</v>
      </c>
      <c r="S6" s="62">
        <f t="shared" si="0"/>
        <v>10</v>
      </c>
      <c r="T6" s="62">
        <f t="shared" si="1"/>
        <v>1.5999999999999996</v>
      </c>
      <c r="U6" s="63">
        <f t="shared" si="8"/>
        <v>-2.7600000000000122</v>
      </c>
      <c r="V6" s="45"/>
      <c r="W6" s="49"/>
      <c r="X6" s="65">
        <f>V6+W6*Summen!$B$44</f>
        <v>0</v>
      </c>
      <c r="Y6" s="170">
        <v>0.31597222222222221</v>
      </c>
      <c r="Z6" s="171">
        <v>0.375</v>
      </c>
      <c r="AA6" s="171">
        <v>0.38194444444444442</v>
      </c>
      <c r="AB6" s="171">
        <v>0.48958333333333331</v>
      </c>
      <c r="AC6" s="171">
        <v>0.5</v>
      </c>
      <c r="AD6" s="171">
        <v>0.75</v>
      </c>
      <c r="AE6" s="171"/>
      <c r="AF6" s="171"/>
      <c r="AG6" s="69">
        <f t="shared" si="2"/>
        <v>0.41666666666666669</v>
      </c>
      <c r="AH6" s="62">
        <f t="shared" si="3"/>
        <v>10</v>
      </c>
      <c r="AI6" s="62">
        <f t="shared" si="4"/>
        <v>0</v>
      </c>
      <c r="AJ6" s="63">
        <f t="shared" si="5"/>
        <v>10</v>
      </c>
      <c r="AL6" s="54">
        <f t="shared" si="6"/>
        <v>0</v>
      </c>
    </row>
    <row r="7" spans="1:38" ht="13.5" customHeight="1">
      <c r="A7" s="56">
        <f t="shared" si="7"/>
        <v>46238</v>
      </c>
      <c r="B7" s="59" t="str">
        <f>IFERROR(VLOOKUP(A7, Feiertage!$B:$C, 2, 0), IF(OR(WEEKDAY(A7,2)=6, WEEKDAY(A7,2)=7), Feiertage!$C$23, ""))</f>
        <v/>
      </c>
      <c r="C7" s="59">
        <v>7.5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8.4</v>
      </c>
      <c r="S7" s="62">
        <f t="shared" si="0"/>
        <v>7.5</v>
      </c>
      <c r="T7" s="62">
        <f t="shared" si="1"/>
        <v>-0.90000000000000036</v>
      </c>
      <c r="U7" s="63">
        <f t="shared" si="8"/>
        <v>-3.6600000000000126</v>
      </c>
      <c r="V7" s="59"/>
      <c r="W7" s="64"/>
      <c r="X7" s="65">
        <f>V7+W7*Summen!$B$44</f>
        <v>0</v>
      </c>
      <c r="Y7" s="168">
        <v>0.33333333333333331</v>
      </c>
      <c r="Z7" s="169">
        <v>0.47916666666666669</v>
      </c>
      <c r="AA7" s="169">
        <v>0.48958333333333331</v>
      </c>
      <c r="AB7" s="169">
        <v>0.65625</v>
      </c>
      <c r="AC7" s="169"/>
      <c r="AD7" s="169"/>
      <c r="AE7" s="169"/>
      <c r="AF7" s="169"/>
      <c r="AG7" s="69">
        <f t="shared" si="2"/>
        <v>0.31250000000000006</v>
      </c>
      <c r="AH7" s="62">
        <f t="shared" si="3"/>
        <v>7</v>
      </c>
      <c r="AI7" s="62">
        <f t="shared" si="4"/>
        <v>0.5</v>
      </c>
      <c r="AJ7" s="63">
        <f t="shared" si="5"/>
        <v>7.5</v>
      </c>
      <c r="AL7" s="54">
        <f t="shared" si="6"/>
        <v>0</v>
      </c>
    </row>
    <row r="8" spans="1:38" ht="13.5" customHeight="1">
      <c r="A8" s="56">
        <f t="shared" si="7"/>
        <v>46239</v>
      </c>
      <c r="B8" s="45" t="str">
        <f>IFERROR(VLOOKUP(A8, Feiertage!$B:$C, 2, 0), IF(OR(WEEKDAY(A8,2)=6, WEEKDAY(A8,2)=7), Feiertage!$C$23, ""))</f>
        <v/>
      </c>
      <c r="C8" s="45">
        <v>7.5</v>
      </c>
      <c r="D8" s="45"/>
      <c r="E8" s="45"/>
      <c r="F8" s="45"/>
      <c r="G8" s="45"/>
      <c r="H8" s="45"/>
      <c r="I8" s="45"/>
      <c r="J8" s="45"/>
      <c r="K8" s="45"/>
      <c r="L8" s="45"/>
      <c r="M8" s="45">
        <v>0.3</v>
      </c>
      <c r="N8" s="45"/>
      <c r="O8" s="45"/>
      <c r="P8" s="45"/>
      <c r="Q8" s="46"/>
      <c r="R8" s="61">
        <f>IF(OR(WEEKDAY(A8,2)=6,WEEKDAY(A8,2)=7),0,IFERROR(IF(VLOOKUP(A8,Feiertage!$B:$D,3,0)="ja",0,Summen!$B$9),Summen!$B$9))</f>
        <v>8.4</v>
      </c>
      <c r="S8" s="62">
        <f t="shared" si="0"/>
        <v>7.8</v>
      </c>
      <c r="T8" s="62">
        <f t="shared" si="1"/>
        <v>-0.60000000000000053</v>
      </c>
      <c r="U8" s="63">
        <f t="shared" si="8"/>
        <v>-4.2600000000000131</v>
      </c>
      <c r="V8" s="45"/>
      <c r="W8" s="49"/>
      <c r="X8" s="65">
        <f>V8+W8*Summen!$B$44</f>
        <v>0</v>
      </c>
      <c r="Y8" s="170">
        <v>0.33333333333333331</v>
      </c>
      <c r="Z8" s="171">
        <v>0.5</v>
      </c>
      <c r="AA8" s="171">
        <v>0.52083333333333337</v>
      </c>
      <c r="AB8" s="171">
        <v>0.66666666666666663</v>
      </c>
      <c r="AC8" s="171"/>
      <c r="AD8" s="171"/>
      <c r="AE8" s="171"/>
      <c r="AF8" s="171"/>
      <c r="AG8" s="69">
        <f t="shared" si="2"/>
        <v>0.31249999999999994</v>
      </c>
      <c r="AH8" s="62">
        <f t="shared" si="3"/>
        <v>7</v>
      </c>
      <c r="AI8" s="62">
        <f t="shared" si="4"/>
        <v>0.5</v>
      </c>
      <c r="AJ8" s="63">
        <f t="shared" si="5"/>
        <v>7.5</v>
      </c>
      <c r="AL8" s="54">
        <f t="shared" si="6"/>
        <v>0.29999999999999982</v>
      </c>
    </row>
    <row r="9" spans="1:38" ht="13.5" customHeight="1">
      <c r="A9" s="56">
        <f t="shared" si="7"/>
        <v>46240</v>
      </c>
      <c r="B9" s="59" t="str">
        <f>IFERROR(VLOOKUP(A9, Feiertage!$B:$C, 2, 0), IF(OR(WEEKDAY(A9,2)=6, WEEKDAY(A9,2)=7), Feiertage!$C$23, ""))</f>
        <v/>
      </c>
      <c r="C9" s="59">
        <v>8.8000000000000007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f>IF(OR(WEEKDAY(A9,2)=6,WEEKDAY(A9,2)=7),0,IFERROR(IF(VLOOKUP(A9,Feiertage!$B:$D,3,0)="ja",0,Summen!$B$9),Summen!$B$9))</f>
        <v>8.4</v>
      </c>
      <c r="S9" s="62">
        <f t="shared" si="0"/>
        <v>8.8000000000000007</v>
      </c>
      <c r="T9" s="62">
        <f t="shared" si="1"/>
        <v>0.40000000000000036</v>
      </c>
      <c r="U9" s="63">
        <f t="shared" si="8"/>
        <v>-3.8600000000000128</v>
      </c>
      <c r="V9" s="59"/>
      <c r="W9" s="64"/>
      <c r="X9" s="65">
        <f>V9+W9*Summen!$B$44</f>
        <v>0</v>
      </c>
      <c r="Y9" s="168">
        <v>0.31944444444444442</v>
      </c>
      <c r="Z9" s="169">
        <v>0.375</v>
      </c>
      <c r="AA9" s="169">
        <v>0.38194444444444442</v>
      </c>
      <c r="AB9" s="169">
        <v>0.4826388888888889</v>
      </c>
      <c r="AC9" s="169">
        <v>0.49305555555555558</v>
      </c>
      <c r="AD9" s="169">
        <v>0.70138888888888884</v>
      </c>
      <c r="AE9" s="169"/>
      <c r="AF9" s="169"/>
      <c r="AG9" s="69">
        <f t="shared" si="2"/>
        <v>0.36458333333333331</v>
      </c>
      <c r="AH9" s="62">
        <f t="shared" si="3"/>
        <v>8</v>
      </c>
      <c r="AI9" s="62">
        <f t="shared" si="4"/>
        <v>0.75</v>
      </c>
      <c r="AJ9" s="63">
        <f t="shared" si="5"/>
        <v>8.75</v>
      </c>
      <c r="AL9" s="54">
        <f t="shared" si="6"/>
        <v>5.0000000000000711E-2</v>
      </c>
    </row>
    <row r="10" spans="1:38" ht="13.5" customHeight="1">
      <c r="A10" s="56">
        <f t="shared" si="7"/>
        <v>46241</v>
      </c>
      <c r="B10" s="45" t="str">
        <f>IFERROR(VLOOKUP(A10, Feiertage!$B:$C, 2, 0), IF(OR(WEEKDAY(A10,2)=6, WEEKDAY(A10,2)=7), Feiertage!$C$23, ""))</f>
        <v/>
      </c>
      <c r="C10" s="45">
        <v>6.6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8.4</v>
      </c>
      <c r="S10" s="62">
        <f t="shared" si="0"/>
        <v>6.6</v>
      </c>
      <c r="T10" s="62">
        <f t="shared" si="1"/>
        <v>-1.8000000000000007</v>
      </c>
      <c r="U10" s="63">
        <f t="shared" si="8"/>
        <v>-5.6600000000000135</v>
      </c>
      <c r="V10" s="45"/>
      <c r="W10" s="49"/>
      <c r="X10" s="65">
        <f>V10+W10*Summen!$B$44</f>
        <v>0</v>
      </c>
      <c r="Y10" s="170">
        <v>0.3125</v>
      </c>
      <c r="Z10" s="171">
        <v>0.47916666666666669</v>
      </c>
      <c r="AA10" s="171">
        <v>0.4861111111111111</v>
      </c>
      <c r="AB10" s="171">
        <v>0.59375</v>
      </c>
      <c r="AC10" s="171"/>
      <c r="AD10" s="171"/>
      <c r="AE10" s="171"/>
      <c r="AF10" s="171"/>
      <c r="AG10" s="69">
        <f t="shared" si="2"/>
        <v>0.27430555555555558</v>
      </c>
      <c r="AH10" s="62">
        <f t="shared" si="3"/>
        <v>6</v>
      </c>
      <c r="AI10" s="62">
        <f t="shared" si="4"/>
        <v>0.58333333333333337</v>
      </c>
      <c r="AJ10" s="63">
        <f t="shared" si="5"/>
        <v>6.583333333333333</v>
      </c>
      <c r="AL10" s="54">
        <f t="shared" si="6"/>
        <v>1.6666666666666607E-2</v>
      </c>
    </row>
    <row r="11" spans="1:38" ht="13.5" customHeight="1">
      <c r="A11" s="56">
        <f t="shared" si="7"/>
        <v>46242</v>
      </c>
      <c r="B11" s="59" t="str">
        <f>IFERROR(VLOOKUP(A11, Feiertage!$B:$C, 2, 0), IF(OR(WEEKDAY(A11,2)=6, WEEKDAY(A11,2)=7), Feiertage!$C$23, ""))</f>
        <v>* * * * * * * * Wochenende * * * * * * * * * * * * * * * * * * * * * * * * * * * * * * * * * * * * * * * * * * * * * * * *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0</v>
      </c>
      <c r="S11" s="62">
        <f t="shared" si="0"/>
        <v>0</v>
      </c>
      <c r="T11" s="62">
        <f t="shared" si="1"/>
        <v>0</v>
      </c>
      <c r="U11" s="63">
        <f t="shared" si="8"/>
        <v>-5.6600000000000135</v>
      </c>
      <c r="V11" s="59"/>
      <c r="W11" s="64"/>
      <c r="X11" s="65">
        <f>V11+W11*Summen!$B$44</f>
        <v>0</v>
      </c>
      <c r="Y11" s="168"/>
      <c r="Z11" s="169"/>
      <c r="AA11" s="169"/>
      <c r="AB11" s="169"/>
      <c r="AC11" s="169"/>
      <c r="AD11" s="169"/>
      <c r="AE11" s="169"/>
      <c r="AF11" s="169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46243</v>
      </c>
      <c r="B12" s="45" t="str">
        <f>IFERROR(VLOOKUP(A12, Feiertage!$B:$C, 2, 0), IF(OR(WEEKDAY(A12,2)=6, WEEKDAY(A12,2)=7), Feiertage!$C$23, ""))</f>
        <v>* * * * * * * * Wochenende * * * * * * * * * * * * * * * * * * * * * * * * * * * * * * * * * * * * * * * * * * * * * * * *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0</v>
      </c>
      <c r="S12" s="62">
        <f t="shared" si="0"/>
        <v>0</v>
      </c>
      <c r="T12" s="62">
        <f t="shared" si="1"/>
        <v>0</v>
      </c>
      <c r="U12" s="63">
        <f t="shared" si="8"/>
        <v>-5.6600000000000135</v>
      </c>
      <c r="V12" s="45"/>
      <c r="W12" s="49"/>
      <c r="X12" s="65">
        <f>V12+W12*Summen!$B$44</f>
        <v>0</v>
      </c>
      <c r="Y12" s="170"/>
      <c r="Z12" s="171"/>
      <c r="AA12" s="171"/>
      <c r="AB12" s="171"/>
      <c r="AC12" s="171"/>
      <c r="AD12" s="171"/>
      <c r="AE12" s="171"/>
      <c r="AF12" s="171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46244</v>
      </c>
      <c r="B13" s="59" t="str">
        <f>IFERROR(VLOOKUP(A13, Feiertage!$B:$C, 2, 0), IF(OR(WEEKDAY(A13,2)=6, WEEKDAY(A13,2)=7), Feiertage!$C$23, ""))</f>
        <v/>
      </c>
      <c r="C13" s="59">
        <v>4.3</v>
      </c>
      <c r="D13" s="59"/>
      <c r="E13" s="59"/>
      <c r="F13" s="59"/>
      <c r="G13" s="59"/>
      <c r="H13" s="59"/>
      <c r="I13" s="59"/>
      <c r="J13" s="59"/>
      <c r="K13" s="59">
        <v>4.2</v>
      </c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8.4</v>
      </c>
      <c r="S13" s="62">
        <f t="shared" si="0"/>
        <v>8.5</v>
      </c>
      <c r="T13" s="62">
        <f t="shared" si="1"/>
        <v>9.9999999999999645E-2</v>
      </c>
      <c r="U13" s="63">
        <f t="shared" si="8"/>
        <v>-5.5600000000000138</v>
      </c>
      <c r="V13" s="59"/>
      <c r="W13" s="64"/>
      <c r="X13" s="65">
        <f>V13+W13*Summen!$B$44</f>
        <v>0</v>
      </c>
      <c r="Y13" s="168">
        <v>0.30902777777777779</v>
      </c>
      <c r="Z13" s="169">
        <v>0.375</v>
      </c>
      <c r="AA13" s="169">
        <v>0.38541666666666669</v>
      </c>
      <c r="AB13" s="169">
        <v>0.5</v>
      </c>
      <c r="AC13" s="169"/>
      <c r="AD13" s="169"/>
      <c r="AE13" s="169"/>
      <c r="AF13" s="169"/>
      <c r="AG13" s="69">
        <f t="shared" si="2"/>
        <v>0.18055555555555552</v>
      </c>
      <c r="AH13" s="62">
        <f t="shared" si="3"/>
        <v>4</v>
      </c>
      <c r="AI13" s="62">
        <f t="shared" si="4"/>
        <v>0.33333333333333331</v>
      </c>
      <c r="AJ13" s="63">
        <f t="shared" si="5"/>
        <v>4.333333333333333</v>
      </c>
      <c r="AL13" s="54">
        <f t="shared" si="6"/>
        <v>4.166666666666667</v>
      </c>
    </row>
    <row r="14" spans="1:38" ht="13.5" customHeight="1">
      <c r="A14" s="56">
        <f t="shared" si="7"/>
        <v>46245</v>
      </c>
      <c r="B14" s="45" t="str">
        <f>IFERROR(VLOOKUP(A14, Feiertage!$B:$C, 2, 0), IF(OR(WEEKDAY(A14,2)=6, WEEKDAY(A14,2)=7), Feiertage!$C$23, ""))</f>
        <v/>
      </c>
      <c r="C14" s="45">
        <v>5.4</v>
      </c>
      <c r="D14" s="45"/>
      <c r="E14" s="45"/>
      <c r="F14" s="45"/>
      <c r="G14" s="45"/>
      <c r="H14" s="45"/>
      <c r="I14" s="45"/>
      <c r="J14" s="45"/>
      <c r="K14" s="45">
        <v>4.2</v>
      </c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8.4</v>
      </c>
      <c r="S14" s="62">
        <f t="shared" si="0"/>
        <v>9.6000000000000014</v>
      </c>
      <c r="T14" s="62">
        <f t="shared" si="1"/>
        <v>1.2000000000000011</v>
      </c>
      <c r="U14" s="63">
        <f t="shared" si="8"/>
        <v>-4.3600000000000128</v>
      </c>
      <c r="V14" s="45"/>
      <c r="W14" s="49"/>
      <c r="X14" s="65">
        <f>V14+W14*Summen!$B$44</f>
        <v>0</v>
      </c>
      <c r="Y14" s="170">
        <v>0.31944444444444442</v>
      </c>
      <c r="Z14" s="171">
        <v>0.53125</v>
      </c>
      <c r="AA14" s="171">
        <v>0.5625</v>
      </c>
      <c r="AB14" s="171">
        <v>0.57638888888888884</v>
      </c>
      <c r="AC14" s="171"/>
      <c r="AD14" s="171"/>
      <c r="AE14" s="171"/>
      <c r="AF14" s="171"/>
      <c r="AG14" s="69">
        <f t="shared" si="2"/>
        <v>0.22569444444444442</v>
      </c>
      <c r="AH14" s="62">
        <f t="shared" si="3"/>
        <v>5</v>
      </c>
      <c r="AI14" s="62">
        <f t="shared" si="4"/>
        <v>0.41666666666666669</v>
      </c>
      <c r="AJ14" s="63">
        <f t="shared" si="5"/>
        <v>5.416666666666667</v>
      </c>
      <c r="AL14" s="54">
        <f t="shared" si="6"/>
        <v>4.1833333333333345</v>
      </c>
    </row>
    <row r="15" spans="1:38" ht="13.5" customHeight="1">
      <c r="A15" s="56">
        <f t="shared" si="7"/>
        <v>46246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>
        <v>8.4</v>
      </c>
      <c r="L15" s="59"/>
      <c r="M15" s="59"/>
      <c r="N15" s="59"/>
      <c r="O15" s="59"/>
      <c r="P15" s="59"/>
      <c r="Q15" s="60"/>
      <c r="R15" s="61">
        <f>IF(OR(WEEKDAY(A15,2)=6,WEEKDAY(A15,2)=7),0,IFERROR(IF(VLOOKUP(A15,Feiertage!$B:$D,3,0)="ja",0,Summen!$B$9),Summen!$B$9))</f>
        <v>8.4</v>
      </c>
      <c r="S15" s="62">
        <f t="shared" si="0"/>
        <v>8.4</v>
      </c>
      <c r="T15" s="62">
        <f t="shared" si="1"/>
        <v>0</v>
      </c>
      <c r="U15" s="63">
        <f t="shared" si="8"/>
        <v>-4.3600000000000128</v>
      </c>
      <c r="V15" s="59"/>
      <c r="W15" s="64"/>
      <c r="X15" s="65">
        <f>V15+W15*Summen!$B$44</f>
        <v>0</v>
      </c>
      <c r="Y15" s="168"/>
      <c r="Z15" s="169"/>
      <c r="AA15" s="169"/>
      <c r="AB15" s="169"/>
      <c r="AC15" s="169"/>
      <c r="AD15" s="169"/>
      <c r="AE15" s="169"/>
      <c r="AF15" s="169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8.4</v>
      </c>
    </row>
    <row r="16" spans="1:38" ht="13.5" customHeight="1">
      <c r="A16" s="56">
        <f t="shared" si="7"/>
        <v>46247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>
        <v>8.4</v>
      </c>
      <c r="L16" s="45"/>
      <c r="M16" s="45"/>
      <c r="N16" s="45"/>
      <c r="O16" s="45"/>
      <c r="P16" s="45"/>
      <c r="Q16" s="46"/>
      <c r="R16" s="61">
        <f>IF(OR(WEEKDAY(A16,2)=6,WEEKDAY(A16,2)=7),0,IFERROR(IF(VLOOKUP(A16,Feiertage!$B:$D,3,0)="ja",0,Summen!$B$9),Summen!$B$9))</f>
        <v>8.4</v>
      </c>
      <c r="S16" s="62">
        <f t="shared" si="0"/>
        <v>8.4</v>
      </c>
      <c r="T16" s="62">
        <f t="shared" si="1"/>
        <v>0</v>
      </c>
      <c r="U16" s="63">
        <f t="shared" si="8"/>
        <v>-4.3600000000000128</v>
      </c>
      <c r="V16" s="45"/>
      <c r="W16" s="49"/>
      <c r="X16" s="65">
        <f>V16+W16*Summen!$B$44</f>
        <v>0</v>
      </c>
      <c r="Y16" s="170"/>
      <c r="Z16" s="171"/>
      <c r="AA16" s="171"/>
      <c r="AB16" s="171"/>
      <c r="AC16" s="171"/>
      <c r="AD16" s="171"/>
      <c r="AE16" s="171"/>
      <c r="AF16" s="171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8.4</v>
      </c>
    </row>
    <row r="17" spans="1:38" ht="13.5" customHeight="1">
      <c r="A17" s="56">
        <f t="shared" si="7"/>
        <v>46248</v>
      </c>
      <c r="B17" s="59" t="str">
        <f>IFERROR(VLOOKUP(A17, Feiertage!$B:$C, 2, 0), IF(OR(WEEKDAY(A17,2)=6, WEEKDAY(A17,2)=7), Feiertage!$C$23, ""))</f>
        <v/>
      </c>
      <c r="C17" s="59"/>
      <c r="D17" s="59"/>
      <c r="E17" s="59"/>
      <c r="F17" s="59"/>
      <c r="G17" s="59"/>
      <c r="H17" s="59"/>
      <c r="I17" s="59"/>
      <c r="J17" s="59"/>
      <c r="K17" s="59">
        <v>8.4</v>
      </c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8.4</v>
      </c>
      <c r="S17" s="62">
        <f t="shared" si="0"/>
        <v>8.4</v>
      </c>
      <c r="T17" s="62">
        <f t="shared" si="1"/>
        <v>0</v>
      </c>
      <c r="U17" s="63">
        <f t="shared" si="8"/>
        <v>-4.3600000000000128</v>
      </c>
      <c r="V17" s="59"/>
      <c r="W17" s="64"/>
      <c r="X17" s="65">
        <f>V17+W17*Summen!$B$44</f>
        <v>0</v>
      </c>
      <c r="Y17" s="168"/>
      <c r="Z17" s="169"/>
      <c r="AA17" s="169"/>
      <c r="AB17" s="169"/>
      <c r="AC17" s="169"/>
      <c r="AD17" s="169"/>
      <c r="AE17" s="169"/>
      <c r="AF17" s="169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8.4</v>
      </c>
    </row>
    <row r="18" spans="1:38" ht="13.5" customHeight="1">
      <c r="A18" s="56">
        <f t="shared" si="7"/>
        <v>46249</v>
      </c>
      <c r="B18" s="45" t="str">
        <f>IFERROR(VLOOKUP(A18, Feiertage!$B:$C, 2, 0), IF(OR(WEEKDAY(A18,2)=6, WEEKDAY(A18,2)=7), Feiertage!$C$23, ""))</f>
        <v>* * * * * * * * Maria Himmelfahrt * * * * * * * * * * * * * * * * * * * * * * * * * * * * * * * * * * * * * * * * * * * *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0</v>
      </c>
      <c r="S18" s="62">
        <f t="shared" si="0"/>
        <v>0</v>
      </c>
      <c r="T18" s="62">
        <f t="shared" si="1"/>
        <v>0</v>
      </c>
      <c r="U18" s="63">
        <f t="shared" si="8"/>
        <v>-4.3600000000000128</v>
      </c>
      <c r="V18" s="45"/>
      <c r="W18" s="49"/>
      <c r="X18" s="65">
        <f>V18+W18*Summen!$B$44</f>
        <v>0</v>
      </c>
      <c r="Y18" s="170"/>
      <c r="Z18" s="171"/>
      <c r="AA18" s="171"/>
      <c r="AB18" s="171"/>
      <c r="AC18" s="171"/>
      <c r="AD18" s="171"/>
      <c r="AE18" s="171"/>
      <c r="AF18" s="171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46250</v>
      </c>
      <c r="B19" s="59" t="str">
        <f>IFERROR(VLOOKUP(A19, Feiertage!$B:$C, 2, 0), IF(OR(WEEKDAY(A19,2)=6, WEEKDAY(A19,2)=7), Feiertage!$C$23, ""))</f>
        <v>* * * * * * * * Wochenende * * * * * * * * * * * * * * * * * * * * * * * * * * * * * * * * * * * * * * * * * * * * * * * *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0</v>
      </c>
      <c r="S19" s="62">
        <f t="shared" si="0"/>
        <v>0</v>
      </c>
      <c r="T19" s="62">
        <f t="shared" si="1"/>
        <v>0</v>
      </c>
      <c r="U19" s="63">
        <f t="shared" si="8"/>
        <v>-4.3600000000000128</v>
      </c>
      <c r="V19" s="59"/>
      <c r="W19" s="64"/>
      <c r="X19" s="65">
        <f>V19+W19*Summen!$B$44</f>
        <v>0</v>
      </c>
      <c r="Y19" s="168"/>
      <c r="Z19" s="169"/>
      <c r="AA19" s="169"/>
      <c r="AB19" s="169"/>
      <c r="AC19" s="169"/>
      <c r="AD19" s="169"/>
      <c r="AE19" s="169"/>
      <c r="AF19" s="169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46251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8.4</v>
      </c>
      <c r="S20" s="62">
        <f t="shared" si="0"/>
        <v>0</v>
      </c>
      <c r="T20" s="62">
        <f t="shared" si="1"/>
        <v>-8.4</v>
      </c>
      <c r="U20" s="63">
        <f t="shared" si="8"/>
        <v>-12.760000000000012</v>
      </c>
      <c r="V20" s="45"/>
      <c r="W20" s="49"/>
      <c r="X20" s="65">
        <f>V20+W20*Summen!$B$44</f>
        <v>0</v>
      </c>
      <c r="Y20" s="170"/>
      <c r="Z20" s="171"/>
      <c r="AA20" s="171"/>
      <c r="AB20" s="171"/>
      <c r="AC20" s="171"/>
      <c r="AD20" s="171"/>
      <c r="AE20" s="171"/>
      <c r="AF20" s="171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46252</v>
      </c>
      <c r="B21" s="59" t="str">
        <f>IFERROR(VLOOKUP(A21, Feiertage!$B:$C, 2, 0), IF(OR(WEEKDAY(A21,2)=6, WEEKDAY(A21,2)=7), Feiertage!$C$23, ""))</f>
        <v/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8.4</v>
      </c>
      <c r="S21" s="62">
        <f t="shared" si="0"/>
        <v>0</v>
      </c>
      <c r="T21" s="62">
        <f t="shared" si="1"/>
        <v>-8.4</v>
      </c>
      <c r="U21" s="63">
        <f t="shared" si="8"/>
        <v>-21.160000000000011</v>
      </c>
      <c r="V21" s="59"/>
      <c r="W21" s="64"/>
      <c r="X21" s="65">
        <f>V21+W21*Summen!$B$44</f>
        <v>0</v>
      </c>
      <c r="Y21" s="168"/>
      <c r="Z21" s="169"/>
      <c r="AA21" s="169"/>
      <c r="AB21" s="169"/>
      <c r="AC21" s="169"/>
      <c r="AD21" s="169"/>
      <c r="AE21" s="169"/>
      <c r="AF21" s="169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46253</v>
      </c>
      <c r="B22" s="45" t="str">
        <f>IFERROR(VLOOKUP(A22, Feiertage!$B:$C, 2, 0), IF(OR(WEEKDAY(A22,2)=6, WEEKDAY(A22,2)=7), Feiertage!$C$23, ""))</f>
        <v/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8.4</v>
      </c>
      <c r="S22" s="62">
        <f t="shared" si="0"/>
        <v>0</v>
      </c>
      <c r="T22" s="62">
        <f t="shared" si="1"/>
        <v>-8.4</v>
      </c>
      <c r="U22" s="63">
        <f t="shared" si="8"/>
        <v>-29.560000000000009</v>
      </c>
      <c r="V22" s="45"/>
      <c r="W22" s="49"/>
      <c r="X22" s="65">
        <f>V22+W22*Summen!$B$44</f>
        <v>0</v>
      </c>
      <c r="Y22" s="170"/>
      <c r="Z22" s="171"/>
      <c r="AA22" s="171"/>
      <c r="AB22" s="171"/>
      <c r="AC22" s="171"/>
      <c r="AD22" s="171"/>
      <c r="AE22" s="171"/>
      <c r="AF22" s="171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46254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f>IF(OR(WEEKDAY(A23,2)=6,WEEKDAY(A23,2)=7),0,IFERROR(IF(VLOOKUP(A23,Feiertage!$B:$D,3,0)="ja",0,Summen!$B$9),Summen!$B$9))</f>
        <v>8.4</v>
      </c>
      <c r="S23" s="62">
        <f t="shared" si="0"/>
        <v>0</v>
      </c>
      <c r="T23" s="62">
        <f t="shared" si="1"/>
        <v>-8.4</v>
      </c>
      <c r="U23" s="63">
        <f t="shared" si="8"/>
        <v>-37.960000000000008</v>
      </c>
      <c r="V23" s="59"/>
      <c r="W23" s="64"/>
      <c r="X23" s="65">
        <f>V23+W23*Summen!$B$44</f>
        <v>0</v>
      </c>
      <c r="Y23" s="168"/>
      <c r="Z23" s="169"/>
      <c r="AA23" s="169"/>
      <c r="AB23" s="169"/>
      <c r="AC23" s="169"/>
      <c r="AD23" s="169"/>
      <c r="AE23" s="169"/>
      <c r="AF23" s="169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46255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8.4</v>
      </c>
      <c r="S24" s="62">
        <f t="shared" si="0"/>
        <v>0</v>
      </c>
      <c r="T24" s="62">
        <f t="shared" si="1"/>
        <v>-8.4</v>
      </c>
      <c r="U24" s="63">
        <f t="shared" si="8"/>
        <v>-46.360000000000007</v>
      </c>
      <c r="V24" s="45"/>
      <c r="W24" s="49"/>
      <c r="X24" s="65">
        <f>V24+W24*Summen!$B$44</f>
        <v>0</v>
      </c>
      <c r="Y24" s="170"/>
      <c r="Z24" s="171"/>
      <c r="AA24" s="171"/>
      <c r="AB24" s="171"/>
      <c r="AC24" s="171"/>
      <c r="AD24" s="171"/>
      <c r="AE24" s="171"/>
      <c r="AF24" s="171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46256</v>
      </c>
      <c r="B25" s="59" t="str">
        <f>IFERROR(VLOOKUP(A25, Feiertage!$B:$C, 2, 0), IF(OR(WEEKDAY(A25,2)=6, WEEKDAY(A25,2)=7), Feiertage!$C$23, ""))</f>
        <v>* * * * * * * * Wochenende * * * * * * * * * * * * * * * * * * * * * * * * * * * * * * * * * * * * * * * * * * * * * * * *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0</v>
      </c>
      <c r="S25" s="62">
        <f t="shared" si="0"/>
        <v>0</v>
      </c>
      <c r="T25" s="62">
        <f t="shared" si="1"/>
        <v>0</v>
      </c>
      <c r="U25" s="63">
        <f t="shared" si="8"/>
        <v>-46.360000000000007</v>
      </c>
      <c r="V25" s="59"/>
      <c r="W25" s="64"/>
      <c r="X25" s="65">
        <f>V25+W25*Summen!$B$44</f>
        <v>0</v>
      </c>
      <c r="Y25" s="168"/>
      <c r="Z25" s="169"/>
      <c r="AA25" s="169"/>
      <c r="AB25" s="169"/>
      <c r="AC25" s="169"/>
      <c r="AD25" s="169"/>
      <c r="AE25" s="169"/>
      <c r="AF25" s="169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46257</v>
      </c>
      <c r="B26" s="45" t="str">
        <f>IFERROR(VLOOKUP(A26, Feiertage!$B:$C, 2, 0), IF(OR(WEEKDAY(A26,2)=6, WEEKDAY(A26,2)=7), Feiertage!$C$23, ""))</f>
        <v>* * * * * * * * Wochenende * * * * * * * * * * * * * * * * * * * * * * * * * * * * * * * * * * * * * * * * * * * * * * * *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0</v>
      </c>
      <c r="S26" s="62">
        <f t="shared" si="0"/>
        <v>0</v>
      </c>
      <c r="T26" s="62">
        <f t="shared" si="1"/>
        <v>0</v>
      </c>
      <c r="U26" s="63">
        <f t="shared" si="8"/>
        <v>-46.360000000000007</v>
      </c>
      <c r="V26" s="45"/>
      <c r="W26" s="49"/>
      <c r="X26" s="65">
        <f>V26+W26*Summen!$B$44</f>
        <v>0</v>
      </c>
      <c r="Y26" s="170"/>
      <c r="Z26" s="171"/>
      <c r="AA26" s="171"/>
      <c r="AB26" s="171"/>
      <c r="AC26" s="171"/>
      <c r="AD26" s="171"/>
      <c r="AE26" s="171"/>
      <c r="AF26" s="171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46258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8.4</v>
      </c>
      <c r="S27" s="62">
        <f t="shared" si="0"/>
        <v>0</v>
      </c>
      <c r="T27" s="62">
        <f t="shared" si="1"/>
        <v>-8.4</v>
      </c>
      <c r="U27" s="63">
        <f t="shared" si="8"/>
        <v>-54.760000000000005</v>
      </c>
      <c r="V27" s="59"/>
      <c r="W27" s="64"/>
      <c r="X27" s="65">
        <f>V27+W27*Summen!$B$44</f>
        <v>0</v>
      </c>
      <c r="Y27" s="168"/>
      <c r="Z27" s="169"/>
      <c r="AA27" s="169"/>
      <c r="AB27" s="169"/>
      <c r="AC27" s="169"/>
      <c r="AD27" s="169"/>
      <c r="AE27" s="169"/>
      <c r="AF27" s="169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46259</v>
      </c>
      <c r="B28" s="45" t="str">
        <f>IFERROR(VLOOKUP(A28, Feiertage!$B:$C, 2, 0), IF(OR(WEEKDAY(A28,2)=6, WEEKDAY(A28,2)=7), Feiertage!$C$23, ""))</f>
        <v/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8.4</v>
      </c>
      <c r="S28" s="62">
        <f t="shared" si="0"/>
        <v>0</v>
      </c>
      <c r="T28" s="62">
        <f t="shared" si="1"/>
        <v>-8.4</v>
      </c>
      <c r="U28" s="63">
        <f t="shared" si="8"/>
        <v>-63.160000000000004</v>
      </c>
      <c r="V28" s="45"/>
      <c r="W28" s="49"/>
      <c r="X28" s="65">
        <f>V28+W28*Summen!$B$44</f>
        <v>0</v>
      </c>
      <c r="Y28" s="170"/>
      <c r="Z28" s="171"/>
      <c r="AA28" s="171"/>
      <c r="AB28" s="171"/>
      <c r="AC28" s="171"/>
      <c r="AD28" s="171"/>
      <c r="AE28" s="171"/>
      <c r="AF28" s="171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46260</v>
      </c>
      <c r="B29" s="59" t="str">
        <f>IFERROR(VLOOKUP(A29, Feiertage!$B:$C, 2, 0), IF(OR(WEEKDAY(A29,2)=6, WEEKDAY(A29,2)=7), Feiertage!$C$23, ""))</f>
        <v/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f>IF(OR(WEEKDAY(A29,2)=6,WEEKDAY(A29,2)=7),0,IFERROR(IF(VLOOKUP(A29,Feiertage!$B:$D,3,0)="ja",0,Summen!$B$9),Summen!$B$9))</f>
        <v>8.4</v>
      </c>
      <c r="S29" s="62">
        <f t="shared" si="0"/>
        <v>0</v>
      </c>
      <c r="T29" s="62">
        <f t="shared" si="1"/>
        <v>-8.4</v>
      </c>
      <c r="U29" s="63">
        <f t="shared" si="8"/>
        <v>-71.56</v>
      </c>
      <c r="V29" s="59"/>
      <c r="W29" s="64"/>
      <c r="X29" s="65">
        <f>V29+W29*Summen!$B$44</f>
        <v>0</v>
      </c>
      <c r="Y29" s="168"/>
      <c r="Z29" s="169"/>
      <c r="AA29" s="169"/>
      <c r="AB29" s="169"/>
      <c r="AC29" s="169"/>
      <c r="AD29" s="169"/>
      <c r="AE29" s="169"/>
      <c r="AF29" s="169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46261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f>IF(OR(WEEKDAY(A30,2)=6,WEEKDAY(A30,2)=7),0,IFERROR(IF(VLOOKUP(A30,Feiertage!$B:$D,3,0)="ja",0,Summen!$B$9),Summen!$B$9))</f>
        <v>8.4</v>
      </c>
      <c r="S30" s="62">
        <f t="shared" si="0"/>
        <v>0</v>
      </c>
      <c r="T30" s="62">
        <f t="shared" si="1"/>
        <v>-8.4</v>
      </c>
      <c r="U30" s="63">
        <f t="shared" si="8"/>
        <v>-79.960000000000008</v>
      </c>
      <c r="V30" s="45"/>
      <c r="W30" s="49"/>
      <c r="X30" s="65">
        <f>V30+W30*Summen!$B$44</f>
        <v>0</v>
      </c>
      <c r="Y30" s="170"/>
      <c r="Z30" s="171"/>
      <c r="AA30" s="171"/>
      <c r="AB30" s="171"/>
      <c r="AC30" s="171"/>
      <c r="AD30" s="171"/>
      <c r="AE30" s="171"/>
      <c r="AF30" s="171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46262</v>
      </c>
      <c r="B31" s="59" t="str">
        <f>IFERROR(VLOOKUP(A31, Feiertage!$B:$C, 2, 0), IF(OR(WEEKDAY(A31,2)=6, WEEKDAY(A31,2)=7), Feiertage!$C$23, ""))</f>
        <v/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8.4</v>
      </c>
      <c r="S31" s="62">
        <f t="shared" si="0"/>
        <v>0</v>
      </c>
      <c r="T31" s="62">
        <f t="shared" si="1"/>
        <v>-8.4</v>
      </c>
      <c r="U31" s="63">
        <f t="shared" si="8"/>
        <v>-88.360000000000014</v>
      </c>
      <c r="V31" s="59"/>
      <c r="W31" s="64"/>
      <c r="X31" s="65">
        <f>V31+W31*Summen!$B$44</f>
        <v>0</v>
      </c>
      <c r="Y31" s="168"/>
      <c r="Z31" s="169"/>
      <c r="AA31" s="169"/>
      <c r="AB31" s="169"/>
      <c r="AC31" s="169"/>
      <c r="AD31" s="169"/>
      <c r="AE31" s="169"/>
      <c r="AF31" s="169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46263</v>
      </c>
      <c r="B32" s="45" t="str">
        <f>IFERROR(VLOOKUP(A32, Feiertage!$B:$C, 2, 0), IF(OR(WEEKDAY(A32,2)=6, WEEKDAY(A32,2)=7), Feiertage!$C$23, ""))</f>
        <v>* * * * * * * * Wochenende * * * * * * * * * * * * * * * * * * * * * * * * * * * * * * * * * * * * * * * * * * * * * * * *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0</v>
      </c>
      <c r="S32" s="62">
        <f t="shared" si="0"/>
        <v>0</v>
      </c>
      <c r="T32" s="62">
        <f t="shared" si="1"/>
        <v>0</v>
      </c>
      <c r="U32" s="63">
        <f t="shared" si="8"/>
        <v>-88.360000000000014</v>
      </c>
      <c r="V32" s="45"/>
      <c r="W32" s="49"/>
      <c r="X32" s="65">
        <f>V32+W32*Summen!$B$44</f>
        <v>0</v>
      </c>
      <c r="Y32" s="170"/>
      <c r="Z32" s="171"/>
      <c r="AA32" s="171"/>
      <c r="AB32" s="171"/>
      <c r="AC32" s="171"/>
      <c r="AD32" s="171"/>
      <c r="AE32" s="171"/>
      <c r="AF32" s="171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56">
        <f t="shared" si="7"/>
        <v>46264</v>
      </c>
      <c r="B33" s="59" t="str">
        <f>IFERROR(VLOOKUP(A33, Feiertage!$B:$C, 2, 0), IF(OR(WEEKDAY(A33,2)=6, WEEKDAY(A33,2)=7), Feiertage!$C$23, ""))</f>
        <v>* * * * * * * * Wochenende * * * * * * * * * * * * * * * * * * * * * * * * * * * * * * * * * * * * * * * * * * * * * * * *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0</v>
      </c>
      <c r="S33" s="62">
        <f t="shared" si="0"/>
        <v>0</v>
      </c>
      <c r="T33" s="62">
        <f t="shared" si="1"/>
        <v>0</v>
      </c>
      <c r="U33" s="63">
        <f t="shared" si="8"/>
        <v>-88.360000000000014</v>
      </c>
      <c r="V33" s="59"/>
      <c r="W33" s="64"/>
      <c r="X33" s="65">
        <f>V33+W33*Summen!$B$44</f>
        <v>0</v>
      </c>
      <c r="Y33" s="168"/>
      <c r="Z33" s="169"/>
      <c r="AA33" s="169"/>
      <c r="AB33" s="169"/>
      <c r="AC33" s="169"/>
      <c r="AD33" s="169"/>
      <c r="AE33" s="169"/>
      <c r="AF33" s="169"/>
      <c r="AG33" s="69">
        <f t="shared" si="2"/>
        <v>0</v>
      </c>
      <c r="AH33" s="62">
        <f t="shared" si="3"/>
        <v>0</v>
      </c>
      <c r="AI33" s="62">
        <f t="shared" si="4"/>
        <v>0</v>
      </c>
      <c r="AJ33" s="63">
        <f t="shared" si="5"/>
        <v>0</v>
      </c>
      <c r="AL33" s="54">
        <f t="shared" si="6"/>
        <v>0</v>
      </c>
    </row>
    <row r="34" spans="1:38" ht="13.5" customHeight="1">
      <c r="A34" s="80">
        <f t="shared" si="7"/>
        <v>46265</v>
      </c>
      <c r="B34" s="45" t="str">
        <f>IFERROR(VLOOKUP(A34, Feiertage!$B:$C, 2, 0), IF(OR(WEEKDAY(A34,2)=6, WEEKDAY(A34,2)=7), Feiertage!$C$23, ""))</f>
        <v/>
      </c>
      <c r="C34" s="45"/>
      <c r="D34" s="45"/>
      <c r="E34" s="45"/>
      <c r="F34" s="45"/>
      <c r="G34" s="45"/>
      <c r="H34" s="45"/>
      <c r="I34" s="45"/>
      <c r="J34" s="45"/>
      <c r="K34" s="82"/>
      <c r="L34" s="82"/>
      <c r="M34" s="82"/>
      <c r="N34" s="82"/>
      <c r="O34" s="82"/>
      <c r="P34" s="82"/>
      <c r="Q34" s="83"/>
      <c r="R34" s="61">
        <f>IF(OR(WEEKDAY(A34,2)=6,WEEKDAY(A34,2)=7),0,IFERROR(IF(VLOOKUP(A34,Feiertage!$B:$D,3,0)="ja",0,Summen!$B$9),Summen!$B$9))</f>
        <v>8.4</v>
      </c>
      <c r="S34" s="84">
        <f t="shared" si="0"/>
        <v>0</v>
      </c>
      <c r="T34" s="84">
        <f t="shared" si="1"/>
        <v>-8.4</v>
      </c>
      <c r="U34" s="85">
        <f t="shared" si="8"/>
        <v>-96.760000000000019</v>
      </c>
      <c r="V34" s="45"/>
      <c r="W34" s="49"/>
      <c r="X34" s="65">
        <f>V34+W34*Summen!$B$44</f>
        <v>0</v>
      </c>
      <c r="Y34" s="170"/>
      <c r="Z34" s="171"/>
      <c r="AA34" s="171"/>
      <c r="AB34" s="171"/>
      <c r="AC34" s="171"/>
      <c r="AD34" s="171"/>
      <c r="AE34" s="171"/>
      <c r="AF34" s="171"/>
      <c r="AG34" s="86">
        <f t="shared" si="2"/>
        <v>0</v>
      </c>
      <c r="AH34" s="84">
        <f t="shared" si="3"/>
        <v>0</v>
      </c>
      <c r="AI34" s="84">
        <f t="shared" si="4"/>
        <v>0</v>
      </c>
      <c r="AJ34" s="85">
        <f t="shared" si="5"/>
        <v>0</v>
      </c>
      <c r="AL34" s="54">
        <f t="shared" si="6"/>
        <v>0</v>
      </c>
    </row>
    <row r="35" spans="1:38" ht="18" customHeight="1">
      <c r="A35" s="87" t="s">
        <v>31</v>
      </c>
      <c r="B35" s="142"/>
      <c r="C35" s="88">
        <f t="shared" ref="C35:T35" si="9">SUM(C4:C34)</f>
        <v>50.099999999999994</v>
      </c>
      <c r="D35" s="88">
        <f t="shared" si="9"/>
        <v>0</v>
      </c>
      <c r="E35" s="88">
        <f t="shared" si="9"/>
        <v>0</v>
      </c>
      <c r="F35" s="88">
        <f t="shared" si="9"/>
        <v>0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33.6</v>
      </c>
      <c r="L35" s="88">
        <f t="shared" si="9"/>
        <v>0</v>
      </c>
      <c r="M35" s="88">
        <f t="shared" si="9"/>
        <v>0.3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176.40000000000006</v>
      </c>
      <c r="S35" s="91">
        <f t="shared" si="9"/>
        <v>84.000000000000014</v>
      </c>
      <c r="T35" s="91">
        <f t="shared" si="9"/>
        <v>-92.40000000000002</v>
      </c>
      <c r="U35" s="92">
        <f>U34</f>
        <v>-96.760000000000019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117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2">
        <f>SUM(AJ4:AJ34)</f>
        <v>50.083333333333336</v>
      </c>
      <c r="AL35" s="54">
        <f t="shared" si="6"/>
        <v>33.91666666666665</v>
      </c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1243AC7-3D85-4446-BC9C-DCA7453292D4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B519BFE4-C9F3-4943-9889-4342483086E0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202" t="str">
        <f>Summen!B1</f>
        <v>Alta Engineering AG</v>
      </c>
      <c r="B1" s="192"/>
      <c r="C1" s="192"/>
      <c r="D1" s="192"/>
      <c r="E1" s="190"/>
      <c r="F1" s="196" t="s">
        <v>0</v>
      </c>
      <c r="G1" s="190"/>
      <c r="H1" s="197" t="s">
        <v>1</v>
      </c>
      <c r="I1" s="192"/>
      <c r="J1" s="198" t="str">
        <f>Summen!B3</f>
        <v>Michael Küng</v>
      </c>
      <c r="K1" s="192"/>
      <c r="L1" s="192"/>
      <c r="M1" s="190"/>
      <c r="N1" s="199" t="s">
        <v>2</v>
      </c>
      <c r="O1" s="192"/>
      <c r="P1" s="189">
        <f>Aug!P1+31</f>
        <v>46266</v>
      </c>
      <c r="Q1" s="190"/>
      <c r="R1" s="1"/>
      <c r="S1" s="2" t="s">
        <v>3</v>
      </c>
      <c r="T1" s="2"/>
      <c r="U1" s="3">
        <f>Summen!B5</f>
        <v>1</v>
      </c>
      <c r="V1" s="1"/>
      <c r="W1" s="4" t="s">
        <v>4</v>
      </c>
      <c r="X1" s="5">
        <f>Aug!X1+1</f>
        <v>9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" t="s">
        <v>5</v>
      </c>
      <c r="D2" s="11"/>
      <c r="E2" s="12">
        <f>Summen!B18</f>
        <v>10.8</v>
      </c>
      <c r="F2" s="11" t="s">
        <v>6</v>
      </c>
      <c r="G2" s="11"/>
      <c r="H2" s="12">
        <f>Aug!H2+(Aug!Q35/Summen!B9)</f>
        <v>1</v>
      </c>
      <c r="I2" s="11" t="s">
        <v>7</v>
      </c>
      <c r="J2" s="13">
        <f>E2-H2</f>
        <v>9.8000000000000007</v>
      </c>
      <c r="K2" s="11"/>
      <c r="L2" s="11"/>
      <c r="M2" s="11"/>
      <c r="N2" s="11"/>
      <c r="O2" s="11"/>
      <c r="P2" s="11"/>
      <c r="Q2" s="11"/>
      <c r="R2" s="14"/>
      <c r="S2" s="15"/>
      <c r="T2" s="16" t="s">
        <v>8</v>
      </c>
      <c r="U2" s="104">
        <f>Aug!U35</f>
        <v>-96.760000000000019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64"/>
      <c r="AG2" s="9"/>
      <c r="AH2" s="103"/>
      <c r="AI2" s="103"/>
      <c r="AJ2" s="166"/>
      <c r="AK2" s="7"/>
      <c r="AL2" s="7"/>
    </row>
    <row r="3" spans="1:38" ht="69.75" customHeight="1">
      <c r="A3" s="22" t="s">
        <v>10</v>
      </c>
      <c r="B3" s="25"/>
      <c r="C3" s="124"/>
      <c r="D3" s="125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167" t="s">
        <v>25</v>
      </c>
      <c r="AG3" s="126" t="s">
        <v>26</v>
      </c>
      <c r="AH3" s="36" t="s">
        <v>27</v>
      </c>
      <c r="AI3" s="36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46266</v>
      </c>
      <c r="B4" s="45" t="str">
        <f>IFERROR(VLOOKUP(A4, Feiertage!$B:$C, 2, 0), IF(OR(WEEKDAY(A4,2)=6, WEEKDAY(A4,2)=7), Feiertage!$C$23, ""))</f>
        <v/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41">
        <f>IF(OR(WEEKDAY(A4,2)=6,WEEKDAY(A4,2)=7),0,IFERROR(IF(VLOOKUP(A4,Feiertage!$B:$D,3,0)="ja",0,Summen!$B$9),Summen!$B$9))</f>
        <v>8.4</v>
      </c>
      <c r="S4" s="47">
        <f t="shared" ref="S4:S33" si="0">SUM(C4:Q4)</f>
        <v>0</v>
      </c>
      <c r="T4" s="47">
        <f t="shared" ref="T4:T33" si="1">S4-R4</f>
        <v>-8.4</v>
      </c>
      <c r="U4" s="48">
        <f>U2+T4</f>
        <v>-105.16000000000003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3" si="2">(Z4-Y4)+(AB4-AA4)+(AD4-AC4)+(AF4-AE4)</f>
        <v>0</v>
      </c>
      <c r="AH4" s="47">
        <f t="shared" ref="AH4:AH33" si="3">HOUR(AG4)</f>
        <v>0</v>
      </c>
      <c r="AI4" s="47">
        <f t="shared" ref="AI4:AI33" si="4">MINUTE(AG4)/60</f>
        <v>0</v>
      </c>
      <c r="AJ4" s="48">
        <f t="shared" ref="AJ4:AJ33" si="5">AH4+AI4</f>
        <v>0</v>
      </c>
      <c r="AL4" s="54">
        <f t="shared" ref="AL4:AL34" si="6">SUM(C4:Q4)-AJ4</f>
        <v>0</v>
      </c>
    </row>
    <row r="5" spans="1:38" ht="13.5" customHeight="1">
      <c r="A5" s="56">
        <f t="shared" ref="A5:A33" si="7">A4+1</f>
        <v>46267</v>
      </c>
      <c r="B5" s="59" t="str">
        <f>IFERROR(VLOOKUP(A5, Feiertage!$B:$C, 2, 0), IF(OR(WEEKDAY(A5,2)=6, WEEKDAY(A5,2)=7), Feiertage!$C$23, ""))</f>
        <v>* * * * * * * * Justustag * * * * * * * * * * * * * * * * * * * * * * * * * * * * * * * * * * * * * * * * * * * * * * * * * *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0</v>
      </c>
      <c r="S5" s="62">
        <f t="shared" si="0"/>
        <v>0</v>
      </c>
      <c r="T5" s="62">
        <f t="shared" si="1"/>
        <v>0</v>
      </c>
      <c r="U5" s="63">
        <f t="shared" ref="U5:U33" si="8">U4+T5</f>
        <v>-105.16000000000003</v>
      </c>
      <c r="V5" s="59"/>
      <c r="W5" s="64"/>
      <c r="X5" s="65">
        <f>V5+W5*Summen!$B$44</f>
        <v>0</v>
      </c>
      <c r="Y5" s="168"/>
      <c r="Z5" s="169"/>
      <c r="AA5" s="169"/>
      <c r="AB5" s="169"/>
      <c r="AC5" s="169"/>
      <c r="AD5" s="169"/>
      <c r="AE5" s="169"/>
      <c r="AF5" s="169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46268</v>
      </c>
      <c r="B6" s="45" t="str">
        <f>IFERROR(VLOOKUP(A6, Feiertage!$B:$C, 2, 0), IF(OR(WEEKDAY(A6,2)=6, WEEKDAY(A6,2)=7), Feiertage!$C$23, ""))</f>
        <v/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8.4</v>
      </c>
      <c r="S6" s="62">
        <f t="shared" si="0"/>
        <v>0</v>
      </c>
      <c r="T6" s="62">
        <f t="shared" si="1"/>
        <v>-8.4</v>
      </c>
      <c r="U6" s="63">
        <f t="shared" si="8"/>
        <v>-113.56000000000003</v>
      </c>
      <c r="V6" s="45"/>
      <c r="W6" s="49"/>
      <c r="X6" s="65">
        <f>V6+W6*Summen!$B$44</f>
        <v>0</v>
      </c>
      <c r="Y6" s="170"/>
      <c r="Z6" s="171"/>
      <c r="AA6" s="171"/>
      <c r="AB6" s="171"/>
      <c r="AC6" s="171"/>
      <c r="AD6" s="171"/>
      <c r="AE6" s="171"/>
      <c r="AF6" s="171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46269</v>
      </c>
      <c r="B7" s="59" t="str">
        <f>IFERROR(VLOOKUP(A7, Feiertage!$B:$C, 2, 0), IF(OR(WEEKDAY(A7,2)=6, WEEKDAY(A7,2)=7), Feiertage!$C$23, ""))</f>
        <v/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8.4</v>
      </c>
      <c r="S7" s="62">
        <f t="shared" si="0"/>
        <v>0</v>
      </c>
      <c r="T7" s="62">
        <f t="shared" si="1"/>
        <v>-8.4</v>
      </c>
      <c r="U7" s="63">
        <f t="shared" si="8"/>
        <v>-121.96000000000004</v>
      </c>
      <c r="V7" s="59"/>
      <c r="W7" s="64"/>
      <c r="X7" s="65">
        <f>V7+W7*Summen!$B$44</f>
        <v>0</v>
      </c>
      <c r="Y7" s="168"/>
      <c r="Z7" s="169"/>
      <c r="AA7" s="169"/>
      <c r="AB7" s="169"/>
      <c r="AC7" s="169"/>
      <c r="AD7" s="169"/>
      <c r="AE7" s="169"/>
      <c r="AF7" s="169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46270</v>
      </c>
      <c r="B8" s="45" t="str">
        <f>IFERROR(VLOOKUP(A8, Feiertage!$B:$C, 2, 0), IF(OR(WEEKDAY(A8,2)=6, WEEKDAY(A8,2)=7), Feiertage!$C$23, ""))</f>
        <v>* * * * * * * * Wochenende * * * * * * * * * * * * * * * * * * * * * * * * * * * * * * * * * * * * * * * * * * * * * * * *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f>IF(OR(WEEKDAY(A8,2)=6,WEEKDAY(A8,2)=7),0,IFERROR(IF(VLOOKUP(A8,Feiertage!$B:$D,3,0)="ja",0,Summen!$B$9),Summen!$B$9))</f>
        <v>0</v>
      </c>
      <c r="S8" s="62">
        <f t="shared" si="0"/>
        <v>0</v>
      </c>
      <c r="T8" s="62">
        <f t="shared" si="1"/>
        <v>0</v>
      </c>
      <c r="U8" s="63">
        <f t="shared" si="8"/>
        <v>-121.96000000000004</v>
      </c>
      <c r="V8" s="45"/>
      <c r="W8" s="49"/>
      <c r="X8" s="65">
        <f>V8+W8*Summen!$B$44</f>
        <v>0</v>
      </c>
      <c r="Y8" s="170"/>
      <c r="Z8" s="171"/>
      <c r="AA8" s="171"/>
      <c r="AB8" s="171"/>
      <c r="AC8" s="171"/>
      <c r="AD8" s="171"/>
      <c r="AE8" s="171"/>
      <c r="AF8" s="171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46271</v>
      </c>
      <c r="B9" s="59" t="str">
        <f>IFERROR(VLOOKUP(A9, Feiertage!$B:$C, 2, 0), IF(OR(WEEKDAY(A9,2)=6, WEEKDAY(A9,2)=7), Feiertage!$C$23, ""))</f>
        <v>* * * * * * * * Wochenende * * * * * * * * * * * * * * * * * * * * * * * * * * * * * * * * * * * * * * * * * * * * * * * *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f>IF(OR(WEEKDAY(A9,2)=6,WEEKDAY(A9,2)=7),0,IFERROR(IF(VLOOKUP(A9,Feiertage!$B:$D,3,0)="ja",0,Summen!$B$9),Summen!$B$9))</f>
        <v>0</v>
      </c>
      <c r="S9" s="62">
        <f t="shared" si="0"/>
        <v>0</v>
      </c>
      <c r="T9" s="62">
        <f t="shared" si="1"/>
        <v>0</v>
      </c>
      <c r="U9" s="63">
        <f t="shared" si="8"/>
        <v>-121.96000000000004</v>
      </c>
      <c r="V9" s="59"/>
      <c r="W9" s="64"/>
      <c r="X9" s="65">
        <f>V9+W9*Summen!$B$44</f>
        <v>0</v>
      </c>
      <c r="Y9" s="168"/>
      <c r="Z9" s="169"/>
      <c r="AA9" s="169"/>
      <c r="AB9" s="169"/>
      <c r="AC9" s="169"/>
      <c r="AD9" s="169"/>
      <c r="AE9" s="169"/>
      <c r="AF9" s="169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46272</v>
      </c>
      <c r="B10" s="45" t="str">
        <f>IFERROR(VLOOKUP(A10, Feiertage!$B:$C, 2, 0), IF(OR(WEEKDAY(A10,2)=6, WEEKDAY(A10,2)=7), Feiertage!$C$23, ""))</f>
        <v/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8.4</v>
      </c>
      <c r="S10" s="62">
        <f t="shared" si="0"/>
        <v>0</v>
      </c>
      <c r="T10" s="62">
        <f t="shared" si="1"/>
        <v>-8.4</v>
      </c>
      <c r="U10" s="63">
        <f t="shared" si="8"/>
        <v>-130.36000000000004</v>
      </c>
      <c r="V10" s="45"/>
      <c r="W10" s="49"/>
      <c r="X10" s="65">
        <f>V10+W10*Summen!$B$44</f>
        <v>0</v>
      </c>
      <c r="Y10" s="170"/>
      <c r="Z10" s="171"/>
      <c r="AA10" s="171"/>
      <c r="AB10" s="171"/>
      <c r="AC10" s="171"/>
      <c r="AD10" s="171"/>
      <c r="AE10" s="171"/>
      <c r="AF10" s="171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46273</v>
      </c>
      <c r="B11" s="59" t="str">
        <f>IFERROR(VLOOKUP(A11, Feiertage!$B:$C, 2, 0), IF(OR(WEEKDAY(A11,2)=6, WEEKDAY(A11,2)=7), Feiertage!$C$23, ""))</f>
        <v/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8.4</v>
      </c>
      <c r="S11" s="62">
        <f t="shared" si="0"/>
        <v>0</v>
      </c>
      <c r="T11" s="62">
        <f t="shared" si="1"/>
        <v>-8.4</v>
      </c>
      <c r="U11" s="63">
        <f t="shared" si="8"/>
        <v>-138.76000000000005</v>
      </c>
      <c r="V11" s="59"/>
      <c r="W11" s="64"/>
      <c r="X11" s="65">
        <f>V11+W11*Summen!$B$44</f>
        <v>0</v>
      </c>
      <c r="Y11" s="168"/>
      <c r="Z11" s="169"/>
      <c r="AA11" s="169"/>
      <c r="AB11" s="169"/>
      <c r="AC11" s="169"/>
      <c r="AD11" s="169"/>
      <c r="AE11" s="169"/>
      <c r="AF11" s="169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46274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8.4</v>
      </c>
      <c r="S12" s="62">
        <f t="shared" si="0"/>
        <v>0</v>
      </c>
      <c r="T12" s="62">
        <f t="shared" si="1"/>
        <v>-8.4</v>
      </c>
      <c r="U12" s="63">
        <f t="shared" si="8"/>
        <v>-147.16000000000005</v>
      </c>
      <c r="V12" s="45"/>
      <c r="W12" s="49"/>
      <c r="X12" s="65">
        <f>V12+W12*Summen!$B$44</f>
        <v>0</v>
      </c>
      <c r="Y12" s="170"/>
      <c r="Z12" s="171"/>
      <c r="AA12" s="171"/>
      <c r="AB12" s="171"/>
      <c r="AC12" s="171"/>
      <c r="AD12" s="171"/>
      <c r="AE12" s="171"/>
      <c r="AF12" s="171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46275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8.4</v>
      </c>
      <c r="S13" s="62">
        <f t="shared" si="0"/>
        <v>0</v>
      </c>
      <c r="T13" s="62">
        <f t="shared" si="1"/>
        <v>-8.4</v>
      </c>
      <c r="U13" s="63">
        <f t="shared" si="8"/>
        <v>-155.56000000000006</v>
      </c>
      <c r="V13" s="59"/>
      <c r="W13" s="64"/>
      <c r="X13" s="65">
        <f>V13+W13*Summen!$B$44</f>
        <v>0</v>
      </c>
      <c r="Y13" s="168"/>
      <c r="Z13" s="169"/>
      <c r="AA13" s="169"/>
      <c r="AB13" s="169"/>
      <c r="AC13" s="169"/>
      <c r="AD13" s="169"/>
      <c r="AE13" s="169"/>
      <c r="AF13" s="169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46276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8.4</v>
      </c>
      <c r="S14" s="62">
        <f t="shared" si="0"/>
        <v>0</v>
      </c>
      <c r="T14" s="62">
        <f t="shared" si="1"/>
        <v>-8.4</v>
      </c>
      <c r="U14" s="63">
        <f t="shared" si="8"/>
        <v>-163.96000000000006</v>
      </c>
      <c r="V14" s="45"/>
      <c r="W14" s="49"/>
      <c r="X14" s="65">
        <f>V14+W14*Summen!$B$44</f>
        <v>0</v>
      </c>
      <c r="Y14" s="170"/>
      <c r="Z14" s="171"/>
      <c r="AA14" s="171"/>
      <c r="AB14" s="171"/>
      <c r="AC14" s="171"/>
      <c r="AD14" s="171"/>
      <c r="AE14" s="171"/>
      <c r="AF14" s="171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46277</v>
      </c>
      <c r="B15" s="59" t="str">
        <f>IFERROR(VLOOKUP(A15, Feiertage!$B:$C, 2, 0), IF(OR(WEEKDAY(A15,2)=6, WEEKDAY(A15,2)=7), Feiertage!$C$23, ""))</f>
        <v>* * * * * * * * Wochenende * * * * * * * * * * * * * * * * * * * * * * * * * * * * * * * * * * * * * * * * * * * * * * * *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f>IF(OR(WEEKDAY(A15,2)=6,WEEKDAY(A15,2)=7),0,IFERROR(IF(VLOOKUP(A15,Feiertage!$B:$D,3,0)="ja",0,Summen!$B$9),Summen!$B$9))</f>
        <v>0</v>
      </c>
      <c r="S15" s="62">
        <f t="shared" si="0"/>
        <v>0</v>
      </c>
      <c r="T15" s="62">
        <f t="shared" si="1"/>
        <v>0</v>
      </c>
      <c r="U15" s="63">
        <f t="shared" si="8"/>
        <v>-163.96000000000006</v>
      </c>
      <c r="V15" s="59"/>
      <c r="W15" s="64"/>
      <c r="X15" s="65">
        <f>V15+W15*Summen!$B$44</f>
        <v>0</v>
      </c>
      <c r="Y15" s="168"/>
      <c r="Z15" s="169"/>
      <c r="AA15" s="169"/>
      <c r="AB15" s="169"/>
      <c r="AC15" s="169"/>
      <c r="AD15" s="169"/>
      <c r="AE15" s="169"/>
      <c r="AF15" s="169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46278</v>
      </c>
      <c r="B16" s="45" t="str">
        <f>IFERROR(VLOOKUP(A16, Feiertage!$B:$C, 2, 0), IF(OR(WEEKDAY(A16,2)=6, WEEKDAY(A16,2)=7), Feiertage!$C$23, ""))</f>
        <v>* * * * * * * * Wochenende * * * * * * * * * * * * * * * * * * * * * * * * * * * * * * * * * * * * * * * * * * * * * * * *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f>IF(OR(WEEKDAY(A16,2)=6,WEEKDAY(A16,2)=7),0,IFERROR(IF(VLOOKUP(A16,Feiertage!$B:$D,3,0)="ja",0,Summen!$B$9),Summen!$B$9))</f>
        <v>0</v>
      </c>
      <c r="S16" s="62">
        <f t="shared" si="0"/>
        <v>0</v>
      </c>
      <c r="T16" s="62">
        <f t="shared" si="1"/>
        <v>0</v>
      </c>
      <c r="U16" s="63">
        <f t="shared" si="8"/>
        <v>-163.96000000000006</v>
      </c>
      <c r="V16" s="45"/>
      <c r="W16" s="49"/>
      <c r="X16" s="65">
        <f>V16+W16*Summen!$B$44</f>
        <v>0</v>
      </c>
      <c r="Y16" s="170"/>
      <c r="Z16" s="171"/>
      <c r="AA16" s="171"/>
      <c r="AB16" s="171"/>
      <c r="AC16" s="171"/>
      <c r="AD16" s="171"/>
      <c r="AE16" s="171"/>
      <c r="AF16" s="171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46279</v>
      </c>
      <c r="B17" s="59" t="str">
        <f>IFERROR(VLOOKUP(A17, Feiertage!$B:$C, 2, 0), IF(OR(WEEKDAY(A17,2)=6, WEEKDAY(A17,2)=7), Feiertage!$C$23, ""))</f>
        <v/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8.4</v>
      </c>
      <c r="S17" s="62">
        <f t="shared" si="0"/>
        <v>0</v>
      </c>
      <c r="T17" s="62">
        <f t="shared" si="1"/>
        <v>-8.4</v>
      </c>
      <c r="U17" s="63">
        <f t="shared" si="8"/>
        <v>-172.36000000000007</v>
      </c>
      <c r="V17" s="59"/>
      <c r="W17" s="64"/>
      <c r="X17" s="65">
        <f>V17+W17*Summen!$B$44</f>
        <v>0</v>
      </c>
      <c r="Y17" s="168"/>
      <c r="Z17" s="169"/>
      <c r="AA17" s="169"/>
      <c r="AB17" s="169"/>
      <c r="AC17" s="169"/>
      <c r="AD17" s="169"/>
      <c r="AE17" s="169"/>
      <c r="AF17" s="169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46280</v>
      </c>
      <c r="B18" s="45" t="str">
        <f>IFERROR(VLOOKUP(A18, Feiertage!$B:$C, 2, 0), IF(OR(WEEKDAY(A18,2)=6, WEEKDAY(A18,2)=7), Feiertage!$C$23, ""))</f>
        <v/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8.4</v>
      </c>
      <c r="S18" s="62">
        <f t="shared" si="0"/>
        <v>0</v>
      </c>
      <c r="T18" s="62">
        <f t="shared" si="1"/>
        <v>-8.4</v>
      </c>
      <c r="U18" s="63">
        <f t="shared" si="8"/>
        <v>-180.76000000000008</v>
      </c>
      <c r="V18" s="45"/>
      <c r="W18" s="49"/>
      <c r="X18" s="65">
        <f>V18+W18*Summen!$B$44</f>
        <v>0</v>
      </c>
      <c r="Y18" s="170"/>
      <c r="Z18" s="171"/>
      <c r="AA18" s="171"/>
      <c r="AB18" s="171"/>
      <c r="AC18" s="171"/>
      <c r="AD18" s="171"/>
      <c r="AE18" s="171"/>
      <c r="AF18" s="171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46281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8.4</v>
      </c>
      <c r="S19" s="62">
        <f t="shared" si="0"/>
        <v>0</v>
      </c>
      <c r="T19" s="62">
        <f t="shared" si="1"/>
        <v>-8.4</v>
      </c>
      <c r="U19" s="63">
        <f t="shared" si="8"/>
        <v>-189.16000000000008</v>
      </c>
      <c r="V19" s="59"/>
      <c r="W19" s="64"/>
      <c r="X19" s="65">
        <f>V19+W19*Summen!$B$44</f>
        <v>0</v>
      </c>
      <c r="Y19" s="168"/>
      <c r="Z19" s="169"/>
      <c r="AA19" s="169"/>
      <c r="AB19" s="169"/>
      <c r="AC19" s="169"/>
      <c r="AD19" s="169"/>
      <c r="AE19" s="169"/>
      <c r="AF19" s="169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46282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8.4</v>
      </c>
      <c r="S20" s="62">
        <f t="shared" si="0"/>
        <v>0</v>
      </c>
      <c r="T20" s="62">
        <f t="shared" si="1"/>
        <v>-8.4</v>
      </c>
      <c r="U20" s="63">
        <f t="shared" si="8"/>
        <v>-197.56000000000009</v>
      </c>
      <c r="V20" s="45"/>
      <c r="W20" s="49"/>
      <c r="X20" s="65">
        <f>V20+W20*Summen!$B$44</f>
        <v>0</v>
      </c>
      <c r="Y20" s="170"/>
      <c r="Z20" s="171"/>
      <c r="AA20" s="171"/>
      <c r="AB20" s="171"/>
      <c r="AC20" s="171"/>
      <c r="AD20" s="171"/>
      <c r="AE20" s="171"/>
      <c r="AF20" s="171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46283</v>
      </c>
      <c r="B21" s="59" t="str">
        <f>IFERROR(VLOOKUP(A21, Feiertage!$B:$C, 2, 0), IF(OR(WEEKDAY(A21,2)=6, WEEKDAY(A21,2)=7), Feiertage!$C$23, ""))</f>
        <v/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8.4</v>
      </c>
      <c r="S21" s="62">
        <f t="shared" si="0"/>
        <v>0</v>
      </c>
      <c r="T21" s="62">
        <f t="shared" si="1"/>
        <v>-8.4</v>
      </c>
      <c r="U21" s="63">
        <f t="shared" si="8"/>
        <v>-205.96000000000009</v>
      </c>
      <c r="V21" s="59"/>
      <c r="W21" s="64"/>
      <c r="X21" s="65">
        <f>V21+W21*Summen!$B$44</f>
        <v>0</v>
      </c>
      <c r="Y21" s="168"/>
      <c r="Z21" s="169"/>
      <c r="AA21" s="169"/>
      <c r="AB21" s="169"/>
      <c r="AC21" s="169"/>
      <c r="AD21" s="169"/>
      <c r="AE21" s="169"/>
      <c r="AF21" s="169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46284</v>
      </c>
      <c r="B22" s="45" t="str">
        <f>IFERROR(VLOOKUP(A22, Feiertage!$B:$C, 2, 0), IF(OR(WEEKDAY(A22,2)=6, WEEKDAY(A22,2)=7), Feiertage!$C$23, ""))</f>
        <v>* * * * * * * * Wochenende * * * * * * * * * * * * * * * * * * * * * * * * * * * * * * * * * * * * * * * * * * * * * * * *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0</v>
      </c>
      <c r="S22" s="62">
        <f t="shared" si="0"/>
        <v>0</v>
      </c>
      <c r="T22" s="62">
        <f t="shared" si="1"/>
        <v>0</v>
      </c>
      <c r="U22" s="63">
        <f t="shared" si="8"/>
        <v>-205.96000000000009</v>
      </c>
      <c r="V22" s="45"/>
      <c r="W22" s="49"/>
      <c r="X22" s="65">
        <f>V22+W22*Summen!$B$44</f>
        <v>0</v>
      </c>
      <c r="Y22" s="170"/>
      <c r="Z22" s="171"/>
      <c r="AA22" s="171"/>
      <c r="AB22" s="171"/>
      <c r="AC22" s="171"/>
      <c r="AD22" s="171"/>
      <c r="AE22" s="171"/>
      <c r="AF22" s="171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46285</v>
      </c>
      <c r="B23" s="59" t="str">
        <f>IFERROR(VLOOKUP(A23, Feiertage!$B:$C, 2, 0), IF(OR(WEEKDAY(A23,2)=6, WEEKDAY(A23,2)=7), Feiertage!$C$23, ""))</f>
        <v>* * * * * * * * Wochenende * * * * * * * * * * * * * * * * * * * * * * * * * * * * * * * * * * * * * * * * * * * * * * * *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f>IF(OR(WEEKDAY(A23,2)=6,WEEKDAY(A23,2)=7),0,IFERROR(IF(VLOOKUP(A23,Feiertage!$B:$D,3,0)="ja",0,Summen!$B$9),Summen!$B$9))</f>
        <v>0</v>
      </c>
      <c r="S23" s="62">
        <f t="shared" si="0"/>
        <v>0</v>
      </c>
      <c r="T23" s="62">
        <f t="shared" si="1"/>
        <v>0</v>
      </c>
      <c r="U23" s="63">
        <f t="shared" si="8"/>
        <v>-205.96000000000009</v>
      </c>
      <c r="V23" s="59"/>
      <c r="W23" s="64"/>
      <c r="X23" s="65">
        <f>V23+W23*Summen!$B$44</f>
        <v>0</v>
      </c>
      <c r="Y23" s="168"/>
      <c r="Z23" s="169"/>
      <c r="AA23" s="169"/>
      <c r="AB23" s="169"/>
      <c r="AC23" s="169"/>
      <c r="AD23" s="169"/>
      <c r="AE23" s="169"/>
      <c r="AF23" s="169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46286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8.4</v>
      </c>
      <c r="S24" s="62">
        <f t="shared" si="0"/>
        <v>0</v>
      </c>
      <c r="T24" s="62">
        <f t="shared" si="1"/>
        <v>-8.4</v>
      </c>
      <c r="U24" s="63">
        <f t="shared" si="8"/>
        <v>-214.3600000000001</v>
      </c>
      <c r="V24" s="45"/>
      <c r="W24" s="49"/>
      <c r="X24" s="65">
        <f>V24+W24*Summen!$B$44</f>
        <v>0</v>
      </c>
      <c r="Y24" s="170"/>
      <c r="Z24" s="171"/>
      <c r="AA24" s="171"/>
      <c r="AB24" s="171"/>
      <c r="AC24" s="171"/>
      <c r="AD24" s="171"/>
      <c r="AE24" s="171"/>
      <c r="AF24" s="171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46287</v>
      </c>
      <c r="B25" s="59" t="str">
        <f>IFERROR(VLOOKUP(A25, Feiertage!$B:$C, 2, 0), IF(OR(WEEKDAY(A25,2)=6, WEEKDAY(A25,2)=7), Feiertage!$C$23, ""))</f>
        <v/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8.4</v>
      </c>
      <c r="S25" s="62">
        <f t="shared" si="0"/>
        <v>0</v>
      </c>
      <c r="T25" s="62">
        <f t="shared" si="1"/>
        <v>-8.4</v>
      </c>
      <c r="U25" s="63">
        <f t="shared" si="8"/>
        <v>-222.7600000000001</v>
      </c>
      <c r="V25" s="59"/>
      <c r="W25" s="64"/>
      <c r="X25" s="65">
        <f>V25+W25*Summen!$B$44</f>
        <v>0</v>
      </c>
      <c r="Y25" s="168"/>
      <c r="Z25" s="169"/>
      <c r="AA25" s="169"/>
      <c r="AB25" s="169"/>
      <c r="AC25" s="169"/>
      <c r="AD25" s="169"/>
      <c r="AE25" s="169"/>
      <c r="AF25" s="169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46288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8.4</v>
      </c>
      <c r="S26" s="62">
        <f t="shared" si="0"/>
        <v>0</v>
      </c>
      <c r="T26" s="62">
        <f t="shared" si="1"/>
        <v>-8.4</v>
      </c>
      <c r="U26" s="63">
        <f t="shared" si="8"/>
        <v>-231.16000000000011</v>
      </c>
      <c r="V26" s="45"/>
      <c r="W26" s="49"/>
      <c r="X26" s="65">
        <f>V26+W26*Summen!$B$44</f>
        <v>0</v>
      </c>
      <c r="Y26" s="170"/>
      <c r="Z26" s="171"/>
      <c r="AA26" s="171"/>
      <c r="AB26" s="171"/>
      <c r="AC26" s="171"/>
      <c r="AD26" s="171"/>
      <c r="AE26" s="171"/>
      <c r="AF26" s="171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46289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8.4</v>
      </c>
      <c r="S27" s="62">
        <f t="shared" si="0"/>
        <v>0</v>
      </c>
      <c r="T27" s="62">
        <f t="shared" si="1"/>
        <v>-8.4</v>
      </c>
      <c r="U27" s="63">
        <f t="shared" si="8"/>
        <v>-239.56000000000012</v>
      </c>
      <c r="V27" s="59"/>
      <c r="W27" s="64"/>
      <c r="X27" s="65">
        <f>V27+W27*Summen!$B$44</f>
        <v>0</v>
      </c>
      <c r="Y27" s="168"/>
      <c r="Z27" s="169"/>
      <c r="AA27" s="169"/>
      <c r="AB27" s="169"/>
      <c r="AC27" s="169"/>
      <c r="AD27" s="169"/>
      <c r="AE27" s="169"/>
      <c r="AF27" s="169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46290</v>
      </c>
      <c r="B28" s="45" t="str">
        <f>IFERROR(VLOOKUP(A28, Feiertage!$B:$C, 2, 0), IF(OR(WEEKDAY(A28,2)=6, WEEKDAY(A28,2)=7), Feiertage!$C$23, ""))</f>
        <v/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8.4</v>
      </c>
      <c r="S28" s="62">
        <f t="shared" si="0"/>
        <v>0</v>
      </c>
      <c r="T28" s="62">
        <f t="shared" si="1"/>
        <v>-8.4</v>
      </c>
      <c r="U28" s="63">
        <f t="shared" si="8"/>
        <v>-247.96000000000012</v>
      </c>
      <c r="V28" s="45"/>
      <c r="W28" s="49"/>
      <c r="X28" s="65">
        <f>V28+W28*Summen!$B$44</f>
        <v>0</v>
      </c>
      <c r="Y28" s="170"/>
      <c r="Z28" s="171"/>
      <c r="AA28" s="171"/>
      <c r="AB28" s="171"/>
      <c r="AC28" s="171"/>
      <c r="AD28" s="171"/>
      <c r="AE28" s="171"/>
      <c r="AF28" s="171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46291</v>
      </c>
      <c r="B29" s="59" t="str">
        <f>IFERROR(VLOOKUP(A29, Feiertage!$B:$C, 2, 0), IF(OR(WEEKDAY(A29,2)=6, WEEKDAY(A29,2)=7), Feiertage!$C$23, ""))</f>
        <v>* * * * * * * * Wochenende * * * * * * * * * * * * * * * * * * * * * * * * * * * * * * * * * * * * * * * * * * * * * * * *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f>IF(OR(WEEKDAY(A29,2)=6,WEEKDAY(A29,2)=7),0,IFERROR(IF(VLOOKUP(A29,Feiertage!$B:$D,3,0)="ja",0,Summen!$B$9),Summen!$B$9))</f>
        <v>0</v>
      </c>
      <c r="S29" s="62">
        <f t="shared" si="0"/>
        <v>0</v>
      </c>
      <c r="T29" s="62">
        <f t="shared" si="1"/>
        <v>0</v>
      </c>
      <c r="U29" s="63">
        <f t="shared" si="8"/>
        <v>-247.96000000000012</v>
      </c>
      <c r="V29" s="59"/>
      <c r="W29" s="64"/>
      <c r="X29" s="65">
        <f>V29+W29*Summen!$B$44</f>
        <v>0</v>
      </c>
      <c r="Y29" s="168"/>
      <c r="Z29" s="169"/>
      <c r="AA29" s="169"/>
      <c r="AB29" s="169"/>
      <c r="AC29" s="169"/>
      <c r="AD29" s="169"/>
      <c r="AE29" s="169"/>
      <c r="AF29" s="169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46292</v>
      </c>
      <c r="B30" s="45" t="str">
        <f>IFERROR(VLOOKUP(A30, Feiertage!$B:$C, 2, 0), IF(OR(WEEKDAY(A30,2)=6, WEEKDAY(A30,2)=7), Feiertage!$C$23, ""))</f>
        <v>* * * * * * * * Wochenende * * * * * * * * * * * * * * * * * * * * * * * * * * * * * * * * * * * * * * * * * * * * * * * *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f>IF(OR(WEEKDAY(A30,2)=6,WEEKDAY(A30,2)=7),0,IFERROR(IF(VLOOKUP(A30,Feiertage!$B:$D,3,0)="ja",0,Summen!$B$9),Summen!$B$9))</f>
        <v>0</v>
      </c>
      <c r="S30" s="62">
        <f t="shared" si="0"/>
        <v>0</v>
      </c>
      <c r="T30" s="62">
        <f t="shared" si="1"/>
        <v>0</v>
      </c>
      <c r="U30" s="63">
        <f t="shared" si="8"/>
        <v>-247.96000000000012</v>
      </c>
      <c r="V30" s="45"/>
      <c r="W30" s="49"/>
      <c r="X30" s="65">
        <f>V30+W30*Summen!$B$44</f>
        <v>0</v>
      </c>
      <c r="Y30" s="170"/>
      <c r="Z30" s="171"/>
      <c r="AA30" s="171"/>
      <c r="AB30" s="171"/>
      <c r="AC30" s="171"/>
      <c r="AD30" s="171"/>
      <c r="AE30" s="171"/>
      <c r="AF30" s="171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46293</v>
      </c>
      <c r="B31" s="59" t="str">
        <f>IFERROR(VLOOKUP(A31, Feiertage!$B:$C, 2, 0), IF(OR(WEEKDAY(A31,2)=6, WEEKDAY(A31,2)=7), Feiertage!$C$23, ""))</f>
        <v/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8.4</v>
      </c>
      <c r="S31" s="62">
        <f t="shared" si="0"/>
        <v>0</v>
      </c>
      <c r="T31" s="62">
        <f t="shared" si="1"/>
        <v>-8.4</v>
      </c>
      <c r="U31" s="63">
        <f t="shared" si="8"/>
        <v>-256.36000000000013</v>
      </c>
      <c r="V31" s="59"/>
      <c r="W31" s="64"/>
      <c r="X31" s="65">
        <f>V31+W31*Summen!$B$44</f>
        <v>0</v>
      </c>
      <c r="Y31" s="168"/>
      <c r="Z31" s="169"/>
      <c r="AA31" s="169"/>
      <c r="AB31" s="169"/>
      <c r="AC31" s="169"/>
      <c r="AD31" s="169"/>
      <c r="AE31" s="169"/>
      <c r="AF31" s="169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46294</v>
      </c>
      <c r="B32" s="45" t="str">
        <f>IFERROR(VLOOKUP(A32, Feiertage!$B:$C, 2, 0), IF(OR(WEEKDAY(A32,2)=6, WEEKDAY(A32,2)=7), Feiertage!$C$23, ""))</f>
        <v/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8.4</v>
      </c>
      <c r="S32" s="62">
        <f t="shared" si="0"/>
        <v>0</v>
      </c>
      <c r="T32" s="62">
        <f t="shared" si="1"/>
        <v>-8.4</v>
      </c>
      <c r="U32" s="63">
        <f t="shared" si="8"/>
        <v>-264.7600000000001</v>
      </c>
      <c r="V32" s="45"/>
      <c r="W32" s="49"/>
      <c r="X32" s="65">
        <f>V32+W32*Summen!$B$44</f>
        <v>0</v>
      </c>
      <c r="Y32" s="170"/>
      <c r="Z32" s="171"/>
      <c r="AA32" s="171"/>
      <c r="AB32" s="171"/>
      <c r="AC32" s="171"/>
      <c r="AD32" s="171"/>
      <c r="AE32" s="171"/>
      <c r="AF32" s="171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80">
        <f t="shared" si="7"/>
        <v>46295</v>
      </c>
      <c r="B33" s="59" t="str">
        <f>IFERROR(VLOOKUP(A33, Feiertage!$B:$C, 2, 0), IF(OR(WEEKDAY(A33,2)=6, WEEKDAY(A33,2)=7), Feiertage!$C$23, ""))</f>
        <v/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8.4</v>
      </c>
      <c r="S33" s="84">
        <f t="shared" si="0"/>
        <v>0</v>
      </c>
      <c r="T33" s="84">
        <f t="shared" si="1"/>
        <v>-8.4</v>
      </c>
      <c r="U33" s="85">
        <f t="shared" si="8"/>
        <v>-273.16000000000008</v>
      </c>
      <c r="V33" s="59"/>
      <c r="W33" s="64"/>
      <c r="X33" s="65">
        <f>V33+W33*Summen!$B$44</f>
        <v>0</v>
      </c>
      <c r="Y33" s="168"/>
      <c r="Z33" s="169"/>
      <c r="AA33" s="169"/>
      <c r="AB33" s="169"/>
      <c r="AC33" s="169"/>
      <c r="AD33" s="169"/>
      <c r="AE33" s="169"/>
      <c r="AF33" s="169"/>
      <c r="AG33" s="86">
        <f t="shared" si="2"/>
        <v>0</v>
      </c>
      <c r="AH33" s="84">
        <f t="shared" si="3"/>
        <v>0</v>
      </c>
      <c r="AI33" s="84">
        <f t="shared" si="4"/>
        <v>0</v>
      </c>
      <c r="AJ33" s="85">
        <f t="shared" si="5"/>
        <v>0</v>
      </c>
      <c r="AL33" s="54">
        <f t="shared" si="6"/>
        <v>0</v>
      </c>
    </row>
    <row r="34" spans="1:38" ht="18" customHeight="1">
      <c r="A34" s="87" t="s">
        <v>31</v>
      </c>
      <c r="B34" s="142"/>
      <c r="C34" s="88">
        <f t="shared" ref="C34:T34" si="9">SUM(C4:C33)</f>
        <v>0</v>
      </c>
      <c r="D34" s="88">
        <f t="shared" si="9"/>
        <v>0</v>
      </c>
      <c r="E34" s="88">
        <f t="shared" si="9"/>
        <v>0</v>
      </c>
      <c r="F34" s="88">
        <f t="shared" si="9"/>
        <v>0</v>
      </c>
      <c r="G34" s="88">
        <f t="shared" si="9"/>
        <v>0</v>
      </c>
      <c r="H34" s="88">
        <f t="shared" si="9"/>
        <v>0</v>
      </c>
      <c r="I34" s="88">
        <f t="shared" si="9"/>
        <v>0</v>
      </c>
      <c r="J34" s="88">
        <f t="shared" si="9"/>
        <v>0</v>
      </c>
      <c r="K34" s="88">
        <f t="shared" si="9"/>
        <v>0</v>
      </c>
      <c r="L34" s="88">
        <f t="shared" si="9"/>
        <v>0</v>
      </c>
      <c r="M34" s="88">
        <f t="shared" si="9"/>
        <v>0</v>
      </c>
      <c r="N34" s="88">
        <f t="shared" si="9"/>
        <v>0</v>
      </c>
      <c r="O34" s="88">
        <f t="shared" si="9"/>
        <v>0</v>
      </c>
      <c r="P34" s="88">
        <f t="shared" si="9"/>
        <v>0</v>
      </c>
      <c r="Q34" s="88">
        <f t="shared" si="9"/>
        <v>0</v>
      </c>
      <c r="R34" s="90">
        <f t="shared" si="9"/>
        <v>176.40000000000006</v>
      </c>
      <c r="S34" s="91">
        <f t="shared" si="9"/>
        <v>0</v>
      </c>
      <c r="T34" s="91">
        <f t="shared" si="9"/>
        <v>-176.40000000000006</v>
      </c>
      <c r="U34" s="92">
        <f>U33</f>
        <v>-273.16000000000008</v>
      </c>
      <c r="V34" s="93">
        <f>SUM(V4:V33)</f>
        <v>0</v>
      </c>
      <c r="W34" s="93">
        <f>SUM(W4:W33)*Summen!$B$44</f>
        <v>0</v>
      </c>
      <c r="X34" s="94">
        <f>V34+W34</f>
        <v>0</v>
      </c>
      <c r="Y34" s="117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2">
        <f>SUM(AJ4:AJ33)</f>
        <v>0</v>
      </c>
      <c r="AL34" s="54">
        <f t="shared" si="6"/>
        <v>0</v>
      </c>
    </row>
    <row r="35" spans="1:38" ht="12.75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L35" s="7"/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2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EF6309A-FE2C-4261-8723-E2C0F27C6FEE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25BAF05C-5F72-4936-9E1F-C827FFDD55F8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Sep!P1+30</f>
        <v>46296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Sep!X1+1</f>
        <v>10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3" t="s">
        <v>5</v>
      </c>
      <c r="D2" s="154"/>
      <c r="E2" s="155">
        <f>Summen!B18</f>
        <v>10.8</v>
      </c>
      <c r="F2" s="154" t="s">
        <v>6</v>
      </c>
      <c r="G2" s="154"/>
      <c r="H2" s="155">
        <f>Sep!H2+(Sep!Q34/Summen!B9)</f>
        <v>1</v>
      </c>
      <c r="I2" s="154" t="s">
        <v>7</v>
      </c>
      <c r="J2" s="156">
        <f>E2-H2</f>
        <v>9.8000000000000007</v>
      </c>
      <c r="K2" s="154"/>
      <c r="L2" s="154"/>
      <c r="M2" s="154"/>
      <c r="N2" s="154"/>
      <c r="O2" s="154"/>
      <c r="P2" s="10"/>
      <c r="Q2" s="164"/>
      <c r="R2" s="157"/>
      <c r="S2" s="153"/>
      <c r="T2" s="158" t="s">
        <v>8</v>
      </c>
      <c r="U2" s="159">
        <f>Sep!U34</f>
        <v>-273.16000000000008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64"/>
      <c r="AG2" s="9"/>
      <c r="AH2" s="10"/>
      <c r="AI2" s="10"/>
      <c r="AJ2" s="106"/>
      <c r="AK2" s="7"/>
      <c r="AL2" s="7"/>
    </row>
    <row r="3" spans="1:38" ht="69.75" customHeight="1">
      <c r="A3" s="22" t="s">
        <v>10</v>
      </c>
      <c r="B3" s="25"/>
      <c r="C3" s="124"/>
      <c r="D3" s="125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167" t="s">
        <v>25</v>
      </c>
      <c r="AG3" s="109" t="s">
        <v>26</v>
      </c>
      <c r="AH3" s="110" t="s">
        <v>27</v>
      </c>
      <c r="AI3" s="110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46296</v>
      </c>
      <c r="B4" s="45" t="str">
        <f>IFERROR(VLOOKUP(A4, Feiertage!$B:$C, 2, 0), IF(OR(WEEKDAY(A4,2)=6, WEEKDAY(A4,2)=7), Feiertage!$C$23, ""))</f>
        <v/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41">
        <f>IF(OR(WEEKDAY(A4,2)=6,WEEKDAY(A4,2)=7),0,IFERROR(IF(VLOOKUP(A4,Feiertage!$B:$D,3,0)="ja",0,Summen!$B$9),Summen!$B$9))</f>
        <v>8.4</v>
      </c>
      <c r="S4" s="47">
        <f t="shared" ref="S4:S34" si="0">SUM(C4:Q4)</f>
        <v>0</v>
      </c>
      <c r="T4" s="47">
        <f t="shared" ref="T4:T34" si="1">S4-R4</f>
        <v>-8.4</v>
      </c>
      <c r="U4" s="48">
        <f>U2+T4</f>
        <v>-281.56000000000006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</v>
      </c>
      <c r="AH4" s="47">
        <f t="shared" ref="AH4:AH34" si="3">HOUR(AG4)</f>
        <v>0</v>
      </c>
      <c r="AI4" s="47">
        <f t="shared" ref="AI4:AI34" si="4">MINUTE(AG4)/60</f>
        <v>0</v>
      </c>
      <c r="AJ4" s="48">
        <f t="shared" ref="AJ4:AJ34" si="5">AH4+AI4</f>
        <v>0</v>
      </c>
      <c r="AL4" s="54">
        <f t="shared" ref="AL4:AL35" si="6">SUM(C4:Q4)-AJ4</f>
        <v>0</v>
      </c>
    </row>
    <row r="5" spans="1:38" ht="13.5" customHeight="1">
      <c r="A5" s="56">
        <f t="shared" ref="A5:A34" si="7">A4+1</f>
        <v>46297</v>
      </c>
      <c r="B5" s="59" t="str">
        <f>IFERROR(VLOOKUP(A5, Feiertage!$B:$C, 2, 0), IF(OR(WEEKDAY(A5,2)=6, WEEKDAY(A5,2)=7), Feiertage!$C$23, ""))</f>
        <v/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8.4</v>
      </c>
      <c r="S5" s="62">
        <f t="shared" si="0"/>
        <v>0</v>
      </c>
      <c r="T5" s="62">
        <f t="shared" si="1"/>
        <v>-8.4</v>
      </c>
      <c r="U5" s="63">
        <f t="shared" ref="U5:U34" si="8">U4+T5</f>
        <v>-289.96000000000004</v>
      </c>
      <c r="V5" s="59"/>
      <c r="W5" s="64"/>
      <c r="X5" s="65">
        <f>V5+W5*Summen!$B$44</f>
        <v>0</v>
      </c>
      <c r="Y5" s="168"/>
      <c r="Z5" s="169"/>
      <c r="AA5" s="169"/>
      <c r="AB5" s="169"/>
      <c r="AC5" s="169"/>
      <c r="AD5" s="169"/>
      <c r="AE5" s="169"/>
      <c r="AF5" s="169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46298</v>
      </c>
      <c r="B6" s="45" t="str">
        <f>IFERROR(VLOOKUP(A6, Feiertage!$B:$C, 2, 0), IF(OR(WEEKDAY(A6,2)=6, WEEKDAY(A6,2)=7), Feiertage!$C$23, ""))</f>
        <v>* * * * * * * * Wochenende * * * * * * * * * * * * * * * * * * * * * * * * * * * * * * * * * * * * * * * * * * * * * * * *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0</v>
      </c>
      <c r="S6" s="62">
        <f t="shared" si="0"/>
        <v>0</v>
      </c>
      <c r="T6" s="62">
        <f t="shared" si="1"/>
        <v>0</v>
      </c>
      <c r="U6" s="63">
        <f t="shared" si="8"/>
        <v>-289.96000000000004</v>
      </c>
      <c r="V6" s="45"/>
      <c r="W6" s="49"/>
      <c r="X6" s="65">
        <f>V6+W6*Summen!$B$44</f>
        <v>0</v>
      </c>
      <c r="Y6" s="170"/>
      <c r="Z6" s="171"/>
      <c r="AA6" s="171"/>
      <c r="AB6" s="171"/>
      <c r="AC6" s="171"/>
      <c r="AD6" s="171"/>
      <c r="AE6" s="171"/>
      <c r="AF6" s="171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46299</v>
      </c>
      <c r="B7" s="59" t="str">
        <f>IFERROR(VLOOKUP(A7, Feiertage!$B:$C, 2, 0), IF(OR(WEEKDAY(A7,2)=6, WEEKDAY(A7,2)=7), Feiertage!$C$23, ""))</f>
        <v>* * * * * * * * Wochenende * * * * * * * * * * * * * * * * * * * * * * * * * * * * * * * * * * * * * * * * * * * * * * * *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0</v>
      </c>
      <c r="S7" s="62">
        <f t="shared" si="0"/>
        <v>0</v>
      </c>
      <c r="T7" s="62">
        <f t="shared" si="1"/>
        <v>0</v>
      </c>
      <c r="U7" s="63">
        <f t="shared" si="8"/>
        <v>-289.96000000000004</v>
      </c>
      <c r="V7" s="59"/>
      <c r="W7" s="64"/>
      <c r="X7" s="65">
        <f>V7+W7*Summen!$B$44</f>
        <v>0</v>
      </c>
      <c r="Y7" s="168"/>
      <c r="Z7" s="169"/>
      <c r="AA7" s="169"/>
      <c r="AB7" s="169"/>
      <c r="AC7" s="169"/>
      <c r="AD7" s="169"/>
      <c r="AE7" s="169"/>
      <c r="AF7" s="169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46300</v>
      </c>
      <c r="B8" s="45" t="str">
        <f>IFERROR(VLOOKUP(A8, Feiertage!$B:$C, 2, 0), IF(OR(WEEKDAY(A8,2)=6, WEEKDAY(A8,2)=7), Feiertage!$C$23, ""))</f>
        <v/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f>IF(OR(WEEKDAY(A8,2)=6,WEEKDAY(A8,2)=7),0,IFERROR(IF(VLOOKUP(A8,Feiertage!$B:$D,3,0)="ja",0,Summen!$B$9),Summen!$B$9))</f>
        <v>8.4</v>
      </c>
      <c r="S8" s="62">
        <f t="shared" si="0"/>
        <v>0</v>
      </c>
      <c r="T8" s="62">
        <f t="shared" si="1"/>
        <v>-8.4</v>
      </c>
      <c r="U8" s="63">
        <f t="shared" si="8"/>
        <v>-298.36</v>
      </c>
      <c r="V8" s="45"/>
      <c r="W8" s="49"/>
      <c r="X8" s="65">
        <f>V8+W8*Summen!$B$44</f>
        <v>0</v>
      </c>
      <c r="Y8" s="170"/>
      <c r="Z8" s="171"/>
      <c r="AA8" s="171"/>
      <c r="AB8" s="171"/>
      <c r="AC8" s="171"/>
      <c r="AD8" s="171"/>
      <c r="AE8" s="171"/>
      <c r="AF8" s="171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46301</v>
      </c>
      <c r="B9" s="59" t="str">
        <f>IFERROR(VLOOKUP(A9, Feiertage!$B:$C, 2, 0), IF(OR(WEEKDAY(A9,2)=6, WEEKDAY(A9,2)=7), Feiertage!$C$23, ""))</f>
        <v/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f>IF(OR(WEEKDAY(A9,2)=6,WEEKDAY(A9,2)=7),0,IFERROR(IF(VLOOKUP(A9,Feiertage!$B:$D,3,0)="ja",0,Summen!$B$9),Summen!$B$9))</f>
        <v>8.4</v>
      </c>
      <c r="S9" s="62">
        <f t="shared" si="0"/>
        <v>0</v>
      </c>
      <c r="T9" s="62">
        <f t="shared" si="1"/>
        <v>-8.4</v>
      </c>
      <c r="U9" s="63">
        <f t="shared" si="8"/>
        <v>-306.76</v>
      </c>
      <c r="V9" s="59"/>
      <c r="W9" s="64"/>
      <c r="X9" s="65">
        <f>V9+W9*Summen!$B$44</f>
        <v>0</v>
      </c>
      <c r="Y9" s="168"/>
      <c r="Z9" s="169"/>
      <c r="AA9" s="169"/>
      <c r="AB9" s="169"/>
      <c r="AC9" s="169"/>
      <c r="AD9" s="169"/>
      <c r="AE9" s="169"/>
      <c r="AF9" s="169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46302</v>
      </c>
      <c r="B10" s="45" t="str">
        <f>IFERROR(VLOOKUP(A10, Feiertage!$B:$C, 2, 0), IF(OR(WEEKDAY(A10,2)=6, WEEKDAY(A10,2)=7), Feiertage!$C$23, ""))</f>
        <v/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8.4</v>
      </c>
      <c r="S10" s="62">
        <f t="shared" si="0"/>
        <v>0</v>
      </c>
      <c r="T10" s="62">
        <f t="shared" si="1"/>
        <v>-8.4</v>
      </c>
      <c r="U10" s="63">
        <f t="shared" si="8"/>
        <v>-315.15999999999997</v>
      </c>
      <c r="V10" s="45"/>
      <c r="W10" s="49"/>
      <c r="X10" s="65">
        <f>V10+W10*Summen!$B$44</f>
        <v>0</v>
      </c>
      <c r="Y10" s="170"/>
      <c r="Z10" s="171"/>
      <c r="AA10" s="171"/>
      <c r="AB10" s="171"/>
      <c r="AC10" s="171"/>
      <c r="AD10" s="171"/>
      <c r="AE10" s="171"/>
      <c r="AF10" s="171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46303</v>
      </c>
      <c r="B11" s="59" t="str">
        <f>IFERROR(VLOOKUP(A11, Feiertage!$B:$C, 2, 0), IF(OR(WEEKDAY(A11,2)=6, WEEKDAY(A11,2)=7), Feiertage!$C$23, ""))</f>
        <v/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8.4</v>
      </c>
      <c r="S11" s="62">
        <f t="shared" si="0"/>
        <v>0</v>
      </c>
      <c r="T11" s="62">
        <f t="shared" si="1"/>
        <v>-8.4</v>
      </c>
      <c r="U11" s="63">
        <f t="shared" si="8"/>
        <v>-323.55999999999995</v>
      </c>
      <c r="V11" s="59"/>
      <c r="W11" s="64"/>
      <c r="X11" s="65">
        <f>V11+W11*Summen!$B$44</f>
        <v>0</v>
      </c>
      <c r="Y11" s="168"/>
      <c r="Z11" s="169"/>
      <c r="AA11" s="169"/>
      <c r="AB11" s="169"/>
      <c r="AC11" s="169"/>
      <c r="AD11" s="169"/>
      <c r="AE11" s="169"/>
      <c r="AF11" s="169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46304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8.4</v>
      </c>
      <c r="S12" s="62">
        <f t="shared" si="0"/>
        <v>0</v>
      </c>
      <c r="T12" s="62">
        <f t="shared" si="1"/>
        <v>-8.4</v>
      </c>
      <c r="U12" s="63">
        <f t="shared" si="8"/>
        <v>-331.95999999999992</v>
      </c>
      <c r="V12" s="45"/>
      <c r="W12" s="49"/>
      <c r="X12" s="65">
        <f>V12+W12*Summen!$B$44</f>
        <v>0</v>
      </c>
      <c r="Y12" s="170"/>
      <c r="Z12" s="171"/>
      <c r="AA12" s="171"/>
      <c r="AB12" s="171"/>
      <c r="AC12" s="171"/>
      <c r="AD12" s="171"/>
      <c r="AE12" s="171"/>
      <c r="AF12" s="171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46305</v>
      </c>
      <c r="B13" s="59" t="str">
        <f>IFERROR(VLOOKUP(A13, Feiertage!$B:$C, 2, 0), IF(OR(WEEKDAY(A13,2)=6, WEEKDAY(A13,2)=7), Feiertage!$C$23, ""))</f>
        <v>* * * * * * * * Wochenende * * * * * * * * * * * * * * * * * * * * * * * * * * * * * * * * * * * * * * * * * * * * * * * *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0</v>
      </c>
      <c r="S13" s="62">
        <f t="shared" si="0"/>
        <v>0</v>
      </c>
      <c r="T13" s="62">
        <f t="shared" si="1"/>
        <v>0</v>
      </c>
      <c r="U13" s="63">
        <f t="shared" si="8"/>
        <v>-331.95999999999992</v>
      </c>
      <c r="V13" s="59"/>
      <c r="W13" s="64"/>
      <c r="X13" s="65">
        <f>V13+W13*Summen!$B$44</f>
        <v>0</v>
      </c>
      <c r="Y13" s="168"/>
      <c r="Z13" s="169"/>
      <c r="AA13" s="169"/>
      <c r="AB13" s="169"/>
      <c r="AC13" s="169"/>
      <c r="AD13" s="169"/>
      <c r="AE13" s="169"/>
      <c r="AF13" s="169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46306</v>
      </c>
      <c r="B14" s="45" t="str">
        <f>IFERROR(VLOOKUP(A14, Feiertage!$B:$C, 2, 0), IF(OR(WEEKDAY(A14,2)=6, WEEKDAY(A14,2)=7), Feiertage!$C$23, ""))</f>
        <v>* * * * * * * * Wochenende * * * * * * * * * * * * * * * * * * * * * * * * * * * * * * * * * * * * * * * * * * * * * * * *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0</v>
      </c>
      <c r="S14" s="62">
        <f t="shared" si="0"/>
        <v>0</v>
      </c>
      <c r="T14" s="62">
        <f t="shared" si="1"/>
        <v>0</v>
      </c>
      <c r="U14" s="63">
        <f t="shared" si="8"/>
        <v>-331.95999999999992</v>
      </c>
      <c r="V14" s="45"/>
      <c r="W14" s="49"/>
      <c r="X14" s="65">
        <f>V14+W14*Summen!$B$44</f>
        <v>0</v>
      </c>
      <c r="Y14" s="170"/>
      <c r="Z14" s="171"/>
      <c r="AA14" s="171"/>
      <c r="AB14" s="171"/>
      <c r="AC14" s="171"/>
      <c r="AD14" s="171"/>
      <c r="AE14" s="171"/>
      <c r="AF14" s="171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46307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f>IF(OR(WEEKDAY(A15,2)=6,WEEKDAY(A15,2)=7),0,IFERROR(IF(VLOOKUP(A15,Feiertage!$B:$D,3,0)="ja",0,Summen!$B$9),Summen!$B$9))</f>
        <v>8.4</v>
      </c>
      <c r="S15" s="62">
        <f t="shared" si="0"/>
        <v>0</v>
      </c>
      <c r="T15" s="62">
        <f t="shared" si="1"/>
        <v>-8.4</v>
      </c>
      <c r="U15" s="63">
        <f t="shared" si="8"/>
        <v>-340.3599999999999</v>
      </c>
      <c r="V15" s="59"/>
      <c r="W15" s="64"/>
      <c r="X15" s="65">
        <f>V15+W15*Summen!$B$44</f>
        <v>0</v>
      </c>
      <c r="Y15" s="168"/>
      <c r="Z15" s="169"/>
      <c r="AA15" s="169"/>
      <c r="AB15" s="169"/>
      <c r="AC15" s="169"/>
      <c r="AD15" s="169"/>
      <c r="AE15" s="169"/>
      <c r="AF15" s="169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46308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f>IF(OR(WEEKDAY(A16,2)=6,WEEKDAY(A16,2)=7),0,IFERROR(IF(VLOOKUP(A16,Feiertage!$B:$D,3,0)="ja",0,Summen!$B$9),Summen!$B$9))</f>
        <v>8.4</v>
      </c>
      <c r="S16" s="62">
        <f t="shared" si="0"/>
        <v>0</v>
      </c>
      <c r="T16" s="62">
        <f t="shared" si="1"/>
        <v>-8.4</v>
      </c>
      <c r="U16" s="63">
        <f t="shared" si="8"/>
        <v>-348.75999999999988</v>
      </c>
      <c r="V16" s="45"/>
      <c r="W16" s="49"/>
      <c r="X16" s="65">
        <f>V16+W16*Summen!$B$44</f>
        <v>0</v>
      </c>
      <c r="Y16" s="170"/>
      <c r="Z16" s="171"/>
      <c r="AA16" s="171"/>
      <c r="AB16" s="171"/>
      <c r="AC16" s="171"/>
      <c r="AD16" s="171"/>
      <c r="AE16" s="171"/>
      <c r="AF16" s="171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46309</v>
      </c>
      <c r="B17" s="59" t="str">
        <f>IFERROR(VLOOKUP(A17, Feiertage!$B:$C, 2, 0), IF(OR(WEEKDAY(A17,2)=6, WEEKDAY(A17,2)=7), Feiertage!$C$23, ""))</f>
        <v/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8.4</v>
      </c>
      <c r="S17" s="62">
        <f t="shared" si="0"/>
        <v>0</v>
      </c>
      <c r="T17" s="62">
        <f t="shared" si="1"/>
        <v>-8.4</v>
      </c>
      <c r="U17" s="63">
        <f t="shared" si="8"/>
        <v>-357.15999999999985</v>
      </c>
      <c r="V17" s="59"/>
      <c r="W17" s="64"/>
      <c r="X17" s="65">
        <f>V17+W17*Summen!$B$44</f>
        <v>0</v>
      </c>
      <c r="Y17" s="168"/>
      <c r="Z17" s="169"/>
      <c r="AA17" s="169"/>
      <c r="AB17" s="169"/>
      <c r="AC17" s="169"/>
      <c r="AD17" s="169"/>
      <c r="AE17" s="169"/>
      <c r="AF17" s="169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46310</v>
      </c>
      <c r="B18" s="45" t="str">
        <f>IFERROR(VLOOKUP(A18, Feiertage!$B:$C, 2, 0), IF(OR(WEEKDAY(A18,2)=6, WEEKDAY(A18,2)=7), Feiertage!$C$23, ""))</f>
        <v/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8.4</v>
      </c>
      <c r="S18" s="62">
        <f t="shared" si="0"/>
        <v>0</v>
      </c>
      <c r="T18" s="62">
        <f t="shared" si="1"/>
        <v>-8.4</v>
      </c>
      <c r="U18" s="63">
        <f t="shared" si="8"/>
        <v>-365.55999999999983</v>
      </c>
      <c r="V18" s="45"/>
      <c r="W18" s="49"/>
      <c r="X18" s="65">
        <f>V18+W18*Summen!$B$44</f>
        <v>0</v>
      </c>
      <c r="Y18" s="170"/>
      <c r="Z18" s="171"/>
      <c r="AA18" s="171"/>
      <c r="AB18" s="171"/>
      <c r="AC18" s="171"/>
      <c r="AD18" s="171"/>
      <c r="AE18" s="171"/>
      <c r="AF18" s="171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46311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8.4</v>
      </c>
      <c r="S19" s="62">
        <f t="shared" si="0"/>
        <v>0</v>
      </c>
      <c r="T19" s="62">
        <f t="shared" si="1"/>
        <v>-8.4</v>
      </c>
      <c r="U19" s="63">
        <f t="shared" si="8"/>
        <v>-373.95999999999981</v>
      </c>
      <c r="V19" s="59"/>
      <c r="W19" s="64"/>
      <c r="X19" s="65">
        <f>V19+W19*Summen!$B$44</f>
        <v>0</v>
      </c>
      <c r="Y19" s="168"/>
      <c r="Z19" s="169"/>
      <c r="AA19" s="169"/>
      <c r="AB19" s="169"/>
      <c r="AC19" s="169"/>
      <c r="AD19" s="169"/>
      <c r="AE19" s="169"/>
      <c r="AF19" s="169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46312</v>
      </c>
      <c r="B20" s="45" t="str">
        <f>IFERROR(VLOOKUP(A20, Feiertage!$B:$C, 2, 0), IF(OR(WEEKDAY(A20,2)=6, WEEKDAY(A20,2)=7), Feiertage!$C$23, ""))</f>
        <v>* * * * * * * * Wochenende * * * * * * * * * * * * * * * * * * * * * * * * * * * * * * * * * * * * * * * * * * * * * * * *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0</v>
      </c>
      <c r="S20" s="62">
        <f t="shared" si="0"/>
        <v>0</v>
      </c>
      <c r="T20" s="62">
        <f t="shared" si="1"/>
        <v>0</v>
      </c>
      <c r="U20" s="63">
        <f t="shared" si="8"/>
        <v>-373.95999999999981</v>
      </c>
      <c r="V20" s="45"/>
      <c r="W20" s="49"/>
      <c r="X20" s="65">
        <f>V20+W20*Summen!$B$44</f>
        <v>0</v>
      </c>
      <c r="Y20" s="170"/>
      <c r="Z20" s="171"/>
      <c r="AA20" s="171"/>
      <c r="AB20" s="171"/>
      <c r="AC20" s="171"/>
      <c r="AD20" s="171"/>
      <c r="AE20" s="171"/>
      <c r="AF20" s="171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46313</v>
      </c>
      <c r="B21" s="59" t="str">
        <f>IFERROR(VLOOKUP(A21, Feiertage!$B:$C, 2, 0), IF(OR(WEEKDAY(A21,2)=6, WEEKDAY(A21,2)=7), Feiertage!$C$23, ""))</f>
        <v>* * * * * * * * Wochenende * * * * * * * * * * * * * * * * * * * * * * * * * * * * * * * * * * * * * * * * * * * * * * * *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0</v>
      </c>
      <c r="S21" s="62">
        <f t="shared" si="0"/>
        <v>0</v>
      </c>
      <c r="T21" s="62">
        <f t="shared" si="1"/>
        <v>0</v>
      </c>
      <c r="U21" s="63">
        <f t="shared" si="8"/>
        <v>-373.95999999999981</v>
      </c>
      <c r="V21" s="59"/>
      <c r="W21" s="64"/>
      <c r="X21" s="65">
        <f>V21+W21*Summen!$B$44</f>
        <v>0</v>
      </c>
      <c r="Y21" s="168"/>
      <c r="Z21" s="169"/>
      <c r="AA21" s="169"/>
      <c r="AB21" s="169"/>
      <c r="AC21" s="169"/>
      <c r="AD21" s="169"/>
      <c r="AE21" s="169"/>
      <c r="AF21" s="169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46314</v>
      </c>
      <c r="B22" s="45" t="str">
        <f>IFERROR(VLOOKUP(A22, Feiertage!$B:$C, 2, 0), IF(OR(WEEKDAY(A22,2)=6, WEEKDAY(A22,2)=7), Feiertage!$C$23, ""))</f>
        <v/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8.4</v>
      </c>
      <c r="S22" s="62">
        <f t="shared" si="0"/>
        <v>0</v>
      </c>
      <c r="T22" s="62">
        <f t="shared" si="1"/>
        <v>-8.4</v>
      </c>
      <c r="U22" s="63">
        <f t="shared" si="8"/>
        <v>-382.35999999999979</v>
      </c>
      <c r="V22" s="45"/>
      <c r="W22" s="49"/>
      <c r="X22" s="65">
        <f>V22+W22*Summen!$B$44</f>
        <v>0</v>
      </c>
      <c r="Y22" s="170"/>
      <c r="Z22" s="171"/>
      <c r="AA22" s="171"/>
      <c r="AB22" s="171"/>
      <c r="AC22" s="171"/>
      <c r="AD22" s="171"/>
      <c r="AE22" s="171"/>
      <c r="AF22" s="171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46315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f>IF(OR(WEEKDAY(A23,2)=6,WEEKDAY(A23,2)=7),0,IFERROR(IF(VLOOKUP(A23,Feiertage!$B:$D,3,0)="ja",0,Summen!$B$9),Summen!$B$9))</f>
        <v>8.4</v>
      </c>
      <c r="S23" s="62">
        <f t="shared" si="0"/>
        <v>0</v>
      </c>
      <c r="T23" s="62">
        <f t="shared" si="1"/>
        <v>-8.4</v>
      </c>
      <c r="U23" s="63">
        <f t="shared" si="8"/>
        <v>-390.75999999999976</v>
      </c>
      <c r="V23" s="59"/>
      <c r="W23" s="64"/>
      <c r="X23" s="65">
        <f>V23+W23*Summen!$B$44</f>
        <v>0</v>
      </c>
      <c r="Y23" s="168"/>
      <c r="Z23" s="169"/>
      <c r="AA23" s="169"/>
      <c r="AB23" s="169"/>
      <c r="AC23" s="169"/>
      <c r="AD23" s="169"/>
      <c r="AE23" s="169"/>
      <c r="AF23" s="169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46316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8.4</v>
      </c>
      <c r="S24" s="62">
        <f t="shared" si="0"/>
        <v>0</v>
      </c>
      <c r="T24" s="62">
        <f t="shared" si="1"/>
        <v>-8.4</v>
      </c>
      <c r="U24" s="63">
        <f t="shared" si="8"/>
        <v>-399.15999999999974</v>
      </c>
      <c r="V24" s="45"/>
      <c r="W24" s="49"/>
      <c r="X24" s="65">
        <f>V24+W24*Summen!$B$44</f>
        <v>0</v>
      </c>
      <c r="Y24" s="170"/>
      <c r="Z24" s="171"/>
      <c r="AA24" s="171"/>
      <c r="AB24" s="171"/>
      <c r="AC24" s="171"/>
      <c r="AD24" s="171"/>
      <c r="AE24" s="171"/>
      <c r="AF24" s="171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46317</v>
      </c>
      <c r="B25" s="59" t="str">
        <f>IFERROR(VLOOKUP(A25, Feiertage!$B:$C, 2, 0), IF(OR(WEEKDAY(A25,2)=6, WEEKDAY(A25,2)=7), Feiertage!$C$23, ""))</f>
        <v/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8.4</v>
      </c>
      <c r="S25" s="62">
        <f t="shared" si="0"/>
        <v>0</v>
      </c>
      <c r="T25" s="62">
        <f t="shared" si="1"/>
        <v>-8.4</v>
      </c>
      <c r="U25" s="63">
        <f t="shared" si="8"/>
        <v>-407.55999999999972</v>
      </c>
      <c r="V25" s="59"/>
      <c r="W25" s="64"/>
      <c r="X25" s="65">
        <f>V25+W25*Summen!$B$44</f>
        <v>0</v>
      </c>
      <c r="Y25" s="168"/>
      <c r="Z25" s="169"/>
      <c r="AA25" s="169"/>
      <c r="AB25" s="169"/>
      <c r="AC25" s="169"/>
      <c r="AD25" s="169"/>
      <c r="AE25" s="169"/>
      <c r="AF25" s="169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46318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8.4</v>
      </c>
      <c r="S26" s="62">
        <f t="shared" si="0"/>
        <v>0</v>
      </c>
      <c r="T26" s="62">
        <f t="shared" si="1"/>
        <v>-8.4</v>
      </c>
      <c r="U26" s="63">
        <f t="shared" si="8"/>
        <v>-415.9599999999997</v>
      </c>
      <c r="V26" s="45"/>
      <c r="W26" s="49"/>
      <c r="X26" s="65">
        <f>V26+W26*Summen!$B$44</f>
        <v>0</v>
      </c>
      <c r="Y26" s="170"/>
      <c r="Z26" s="171"/>
      <c r="AA26" s="171"/>
      <c r="AB26" s="171"/>
      <c r="AC26" s="171"/>
      <c r="AD26" s="171"/>
      <c r="AE26" s="171"/>
      <c r="AF26" s="171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46319</v>
      </c>
      <c r="B27" s="59" t="str">
        <f>IFERROR(VLOOKUP(A27, Feiertage!$B:$C, 2, 0), IF(OR(WEEKDAY(A27,2)=6, WEEKDAY(A27,2)=7), Feiertage!$C$23, ""))</f>
        <v>* * * * * * * * Wochenende * * * * * * * * * * * * * * * * * * * * * * * * * * * * * * * * * * * * * * * * * * * * * * * *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0</v>
      </c>
      <c r="S27" s="62">
        <f t="shared" si="0"/>
        <v>0</v>
      </c>
      <c r="T27" s="62">
        <f t="shared" si="1"/>
        <v>0</v>
      </c>
      <c r="U27" s="63">
        <f t="shared" si="8"/>
        <v>-415.9599999999997</v>
      </c>
      <c r="V27" s="59"/>
      <c r="W27" s="64"/>
      <c r="X27" s="65">
        <f>V27+W27*Summen!$B$44</f>
        <v>0</v>
      </c>
      <c r="Y27" s="168"/>
      <c r="Z27" s="169"/>
      <c r="AA27" s="169"/>
      <c r="AB27" s="169"/>
      <c r="AC27" s="169"/>
      <c r="AD27" s="169"/>
      <c r="AE27" s="169"/>
      <c r="AF27" s="169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46320</v>
      </c>
      <c r="B28" s="45" t="str">
        <f>IFERROR(VLOOKUP(A28, Feiertage!$B:$C, 2, 0), IF(OR(WEEKDAY(A28,2)=6, WEEKDAY(A28,2)=7), Feiertage!$C$23, ""))</f>
        <v>* * * * * * * * Wochenende * * * * * * * * * * * * * * * * * * * * * * * * * * * * * * * * * * * * * * * * * * * * * * * *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0</v>
      </c>
      <c r="S28" s="62">
        <f t="shared" si="0"/>
        <v>0</v>
      </c>
      <c r="T28" s="62">
        <f t="shared" si="1"/>
        <v>0</v>
      </c>
      <c r="U28" s="63">
        <f t="shared" si="8"/>
        <v>-415.9599999999997</v>
      </c>
      <c r="V28" s="45"/>
      <c r="W28" s="49"/>
      <c r="X28" s="65">
        <f>V28+W28*Summen!$B$44</f>
        <v>0</v>
      </c>
      <c r="Y28" s="170"/>
      <c r="Z28" s="171"/>
      <c r="AA28" s="171"/>
      <c r="AB28" s="171"/>
      <c r="AC28" s="171"/>
      <c r="AD28" s="171"/>
      <c r="AE28" s="171"/>
      <c r="AF28" s="171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46321</v>
      </c>
      <c r="B29" s="59" t="str">
        <f>IFERROR(VLOOKUP(A29, Feiertage!$B:$C, 2, 0), IF(OR(WEEKDAY(A29,2)=6, WEEKDAY(A29,2)=7), Feiertage!$C$23, ""))</f>
        <v/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f>IF(OR(WEEKDAY(A29,2)=6,WEEKDAY(A29,2)=7),0,IFERROR(IF(VLOOKUP(A29,Feiertage!$B:$D,3,0)="ja",0,Summen!$B$9),Summen!$B$9))</f>
        <v>8.4</v>
      </c>
      <c r="S29" s="62">
        <f t="shared" si="0"/>
        <v>0</v>
      </c>
      <c r="T29" s="62">
        <f t="shared" si="1"/>
        <v>-8.4</v>
      </c>
      <c r="U29" s="63">
        <f t="shared" si="8"/>
        <v>-424.35999999999967</v>
      </c>
      <c r="V29" s="59"/>
      <c r="W29" s="64"/>
      <c r="X29" s="65">
        <f>V29+W29*Summen!$B$44</f>
        <v>0</v>
      </c>
      <c r="Y29" s="168"/>
      <c r="Z29" s="169"/>
      <c r="AA29" s="169"/>
      <c r="AB29" s="169"/>
      <c r="AC29" s="169"/>
      <c r="AD29" s="169"/>
      <c r="AE29" s="169"/>
      <c r="AF29" s="169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46322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f>IF(OR(WEEKDAY(A30,2)=6,WEEKDAY(A30,2)=7),0,IFERROR(IF(VLOOKUP(A30,Feiertage!$B:$D,3,0)="ja",0,Summen!$B$9),Summen!$B$9))</f>
        <v>8.4</v>
      </c>
      <c r="S30" s="62">
        <f t="shared" si="0"/>
        <v>0</v>
      </c>
      <c r="T30" s="62">
        <f t="shared" si="1"/>
        <v>-8.4</v>
      </c>
      <c r="U30" s="63">
        <f t="shared" si="8"/>
        <v>-432.75999999999965</v>
      </c>
      <c r="V30" s="45"/>
      <c r="W30" s="49"/>
      <c r="X30" s="65">
        <f>V30+W30*Summen!$B$44</f>
        <v>0</v>
      </c>
      <c r="Y30" s="170"/>
      <c r="Z30" s="171"/>
      <c r="AA30" s="171"/>
      <c r="AB30" s="171"/>
      <c r="AC30" s="171"/>
      <c r="AD30" s="171"/>
      <c r="AE30" s="171"/>
      <c r="AF30" s="171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46323</v>
      </c>
      <c r="B31" s="59" t="str">
        <f>IFERROR(VLOOKUP(A31, Feiertage!$B:$C, 2, 0), IF(OR(WEEKDAY(A31,2)=6, WEEKDAY(A31,2)=7), Feiertage!$C$23, ""))</f>
        <v/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8.4</v>
      </c>
      <c r="S31" s="62">
        <f t="shared" si="0"/>
        <v>0</v>
      </c>
      <c r="T31" s="62">
        <f t="shared" si="1"/>
        <v>-8.4</v>
      </c>
      <c r="U31" s="63">
        <f t="shared" si="8"/>
        <v>-441.15999999999963</v>
      </c>
      <c r="V31" s="59"/>
      <c r="W31" s="64"/>
      <c r="X31" s="65">
        <f>V31+W31*Summen!$B$44</f>
        <v>0</v>
      </c>
      <c r="Y31" s="168"/>
      <c r="Z31" s="169"/>
      <c r="AA31" s="169"/>
      <c r="AB31" s="169"/>
      <c r="AC31" s="169"/>
      <c r="AD31" s="169"/>
      <c r="AE31" s="169"/>
      <c r="AF31" s="169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46324</v>
      </c>
      <c r="B32" s="45" t="str">
        <f>IFERROR(VLOOKUP(A32, Feiertage!$B:$C, 2, 0), IF(OR(WEEKDAY(A32,2)=6, WEEKDAY(A32,2)=7), Feiertage!$C$23, ""))</f>
        <v/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8.4</v>
      </c>
      <c r="S32" s="62">
        <f t="shared" si="0"/>
        <v>0</v>
      </c>
      <c r="T32" s="62">
        <f t="shared" si="1"/>
        <v>-8.4</v>
      </c>
      <c r="U32" s="63">
        <f t="shared" si="8"/>
        <v>-449.5599999999996</v>
      </c>
      <c r="V32" s="45"/>
      <c r="W32" s="49"/>
      <c r="X32" s="65">
        <f>V32+W32*Summen!$B$44</f>
        <v>0</v>
      </c>
      <c r="Y32" s="170"/>
      <c r="Z32" s="171"/>
      <c r="AA32" s="171"/>
      <c r="AB32" s="171"/>
      <c r="AC32" s="171"/>
      <c r="AD32" s="171"/>
      <c r="AE32" s="171"/>
      <c r="AF32" s="171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56">
        <f t="shared" si="7"/>
        <v>46325</v>
      </c>
      <c r="B33" s="59" t="str">
        <f>IFERROR(VLOOKUP(A33, Feiertage!$B:$C, 2, 0), IF(OR(WEEKDAY(A33,2)=6, WEEKDAY(A33,2)=7), Feiertage!$C$23, ""))</f>
        <v/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8.4</v>
      </c>
      <c r="S33" s="62">
        <f t="shared" si="0"/>
        <v>0</v>
      </c>
      <c r="T33" s="62">
        <f t="shared" si="1"/>
        <v>-8.4</v>
      </c>
      <c r="U33" s="63">
        <f t="shared" si="8"/>
        <v>-457.95999999999958</v>
      </c>
      <c r="V33" s="59"/>
      <c r="W33" s="64"/>
      <c r="X33" s="65">
        <f>V33+W33*Summen!$B$44</f>
        <v>0</v>
      </c>
      <c r="Y33" s="168"/>
      <c r="Z33" s="169"/>
      <c r="AA33" s="169"/>
      <c r="AB33" s="169"/>
      <c r="AC33" s="169"/>
      <c r="AD33" s="169"/>
      <c r="AE33" s="169"/>
      <c r="AF33" s="169"/>
      <c r="AG33" s="69">
        <f t="shared" si="2"/>
        <v>0</v>
      </c>
      <c r="AH33" s="62">
        <f t="shared" si="3"/>
        <v>0</v>
      </c>
      <c r="AI33" s="62">
        <f t="shared" si="4"/>
        <v>0</v>
      </c>
      <c r="AJ33" s="63">
        <f t="shared" si="5"/>
        <v>0</v>
      </c>
      <c r="AL33" s="54">
        <f t="shared" si="6"/>
        <v>0</v>
      </c>
    </row>
    <row r="34" spans="1:38" ht="13.5" customHeight="1">
      <c r="A34" s="80">
        <f t="shared" si="7"/>
        <v>46326</v>
      </c>
      <c r="B34" s="45" t="str">
        <f>IFERROR(VLOOKUP(A34, Feiertage!$B:$C, 2, 0), IF(OR(WEEKDAY(A34,2)=6, WEEKDAY(A34,2)=7), Feiertage!$C$23, ""))</f>
        <v>* * * * * * * * Wochenende * * * * * * * * * * * * * * * * * * * * * * * * * * * * * * * * * * * * * * * * * * * * * * * *</v>
      </c>
      <c r="C34" s="45"/>
      <c r="D34" s="45"/>
      <c r="E34" s="45"/>
      <c r="F34" s="45"/>
      <c r="G34" s="45"/>
      <c r="H34" s="45"/>
      <c r="I34" s="45"/>
      <c r="J34" s="45"/>
      <c r="K34" s="82"/>
      <c r="L34" s="82"/>
      <c r="M34" s="82"/>
      <c r="N34" s="82"/>
      <c r="O34" s="82"/>
      <c r="P34" s="82"/>
      <c r="Q34" s="83"/>
      <c r="R34" s="61">
        <f>IF(OR(WEEKDAY(A34,2)=6,WEEKDAY(A34,2)=7),0,IFERROR(IF(VLOOKUP(A34,Feiertage!$B:$D,3,0)="ja",0,Summen!$B$9),Summen!$B$9))</f>
        <v>0</v>
      </c>
      <c r="S34" s="84">
        <f t="shared" si="0"/>
        <v>0</v>
      </c>
      <c r="T34" s="84">
        <f t="shared" si="1"/>
        <v>0</v>
      </c>
      <c r="U34" s="85">
        <f t="shared" si="8"/>
        <v>-457.95999999999958</v>
      </c>
      <c r="V34" s="45"/>
      <c r="W34" s="49"/>
      <c r="X34" s="65">
        <f>V34+W34*Summen!$B$44</f>
        <v>0</v>
      </c>
      <c r="Y34" s="170"/>
      <c r="Z34" s="171"/>
      <c r="AA34" s="171"/>
      <c r="AB34" s="171"/>
      <c r="AC34" s="171"/>
      <c r="AD34" s="171"/>
      <c r="AE34" s="171"/>
      <c r="AF34" s="171"/>
      <c r="AG34" s="86">
        <f t="shared" si="2"/>
        <v>0</v>
      </c>
      <c r="AH34" s="84">
        <f t="shared" si="3"/>
        <v>0</v>
      </c>
      <c r="AI34" s="84">
        <f t="shared" si="4"/>
        <v>0</v>
      </c>
      <c r="AJ34" s="85">
        <f t="shared" si="5"/>
        <v>0</v>
      </c>
      <c r="AL34" s="54">
        <f t="shared" si="6"/>
        <v>0</v>
      </c>
    </row>
    <row r="35" spans="1:38" ht="18" customHeight="1">
      <c r="A35" s="87" t="s">
        <v>31</v>
      </c>
      <c r="B35" s="142"/>
      <c r="C35" s="88">
        <f t="shared" ref="C35:T35" si="9">SUM(C4:C34)</f>
        <v>0</v>
      </c>
      <c r="D35" s="88">
        <f t="shared" si="9"/>
        <v>0</v>
      </c>
      <c r="E35" s="88">
        <f t="shared" si="9"/>
        <v>0</v>
      </c>
      <c r="F35" s="88">
        <f t="shared" si="9"/>
        <v>0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0</v>
      </c>
      <c r="L35" s="88">
        <f t="shared" si="9"/>
        <v>0</v>
      </c>
      <c r="M35" s="88">
        <f t="shared" si="9"/>
        <v>0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184.80000000000007</v>
      </c>
      <c r="S35" s="91">
        <f t="shared" si="9"/>
        <v>0</v>
      </c>
      <c r="T35" s="91">
        <f t="shared" si="9"/>
        <v>-184.80000000000007</v>
      </c>
      <c r="U35" s="92">
        <f>U34</f>
        <v>-457.95999999999958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117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163">
        <f>SUM(AJ4:AJ34)</f>
        <v>0</v>
      </c>
      <c r="AL35" s="54">
        <f t="shared" si="6"/>
        <v>0</v>
      </c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C39B69B-A9EA-43B3-890E-81A8386A83A6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FCDE70AF-BB9B-412F-8DC8-A396BB8F459B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Okt!P1+31</f>
        <v>46327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Okt!X1+1</f>
        <v>11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3" t="s">
        <v>5</v>
      </c>
      <c r="D2" s="154"/>
      <c r="E2" s="155">
        <f>Summen!B18</f>
        <v>10.8</v>
      </c>
      <c r="F2" s="154" t="s">
        <v>6</v>
      </c>
      <c r="G2" s="154"/>
      <c r="H2" s="155">
        <f>Okt!H2+(Okt!Q35/Summen!B9)</f>
        <v>1</v>
      </c>
      <c r="I2" s="154" t="s">
        <v>7</v>
      </c>
      <c r="J2" s="156">
        <f>E2-H2</f>
        <v>9.8000000000000007</v>
      </c>
      <c r="K2" s="154"/>
      <c r="L2" s="154"/>
      <c r="M2" s="154"/>
      <c r="N2" s="154"/>
      <c r="O2" s="154"/>
      <c r="P2" s="154"/>
      <c r="Q2" s="154"/>
      <c r="R2" s="157"/>
      <c r="S2" s="153"/>
      <c r="T2" s="158" t="s">
        <v>8</v>
      </c>
      <c r="U2" s="159">
        <f>Okt!U35</f>
        <v>-457.95999999999958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5"/>
      <c r="AG2" s="9"/>
      <c r="AH2" s="103"/>
      <c r="AI2" s="103"/>
      <c r="AJ2" s="166"/>
      <c r="AK2" s="7"/>
      <c r="AL2" s="7"/>
    </row>
    <row r="3" spans="1:38" ht="69.75" customHeight="1">
      <c r="A3" s="22" t="s">
        <v>10</v>
      </c>
      <c r="B3" s="25"/>
      <c r="C3" s="124"/>
      <c r="D3" s="125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26" t="s">
        <v>26</v>
      </c>
      <c r="AH3" s="36" t="s">
        <v>27</v>
      </c>
      <c r="AI3" s="36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46327</v>
      </c>
      <c r="B4" s="45" t="str">
        <f>IFERROR(VLOOKUP(A4, Feiertage!$B:$C, 2, 0), IF(OR(WEEKDAY(A4,2)=6, WEEKDAY(A4,2)=7), Feiertage!$C$23, ""))</f>
        <v>* * * * * * * * Allerheiligen * * * * * * * * * * * * * * * * * * * * * * * * * * * * * * * * * * * * * * * * * * * * * * * * *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61">
        <f>IF(OR(WEEKDAY(A4,2)=6,WEEKDAY(A4,2)=7),0,IFERROR(IF(VLOOKUP(A4,Feiertage!$B:$D,3,0)="ja",0,Summen!$B$9),Summen!$B$9))</f>
        <v>0</v>
      </c>
      <c r="S4" s="47">
        <f t="shared" ref="S4:S33" si="0">SUM(C4:Q4)</f>
        <v>0</v>
      </c>
      <c r="T4" s="47">
        <f t="shared" ref="T4:T33" si="1">S4-R4</f>
        <v>0</v>
      </c>
      <c r="U4" s="48">
        <f>U2+T4</f>
        <v>-457.95999999999958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3" si="2">(Z4-Y4)+(AB4-AA4)+(AD4-AC4)+(AF4-AE4)</f>
        <v>0</v>
      </c>
      <c r="AH4" s="47">
        <f t="shared" ref="AH4:AH33" si="3">HOUR(AG4)</f>
        <v>0</v>
      </c>
      <c r="AI4" s="47">
        <f t="shared" ref="AI4:AI33" si="4">MINUTE(AG4)/60</f>
        <v>0</v>
      </c>
      <c r="AJ4" s="48">
        <f t="shared" ref="AJ4:AJ33" si="5">AH4+AI4</f>
        <v>0</v>
      </c>
      <c r="AL4" s="54">
        <f t="shared" ref="AL4:AL34" si="6">SUM(C4:Q4)-AJ4</f>
        <v>0</v>
      </c>
    </row>
    <row r="5" spans="1:38" ht="13.5" customHeight="1">
      <c r="A5" s="56">
        <f t="shared" ref="A5:A33" si="7">A4+1</f>
        <v>46328</v>
      </c>
      <c r="B5" s="59" t="str">
        <f>IFERROR(VLOOKUP(A5, Feiertage!$B:$C, 2, 0), IF(OR(WEEKDAY(A5,2)=6, WEEKDAY(A5,2)=7), Feiertage!$C$23, ""))</f>
        <v/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8.4</v>
      </c>
      <c r="S5" s="62">
        <f t="shared" si="0"/>
        <v>0</v>
      </c>
      <c r="T5" s="62">
        <f t="shared" si="1"/>
        <v>-8.4</v>
      </c>
      <c r="U5" s="63">
        <f t="shared" ref="U5:U33" si="8">U4+T5</f>
        <v>-466.35999999999956</v>
      </c>
      <c r="V5" s="59"/>
      <c r="W5" s="64"/>
      <c r="X5" s="65">
        <f>V5+W5*Summen!$B$44</f>
        <v>0</v>
      </c>
      <c r="Y5" s="168"/>
      <c r="Z5" s="169"/>
      <c r="AA5" s="169"/>
      <c r="AB5" s="169"/>
      <c r="AC5" s="169"/>
      <c r="AD5" s="169"/>
      <c r="AE5" s="169"/>
      <c r="AF5" s="169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46329</v>
      </c>
      <c r="B6" s="45" t="str">
        <f>IFERROR(VLOOKUP(A6, Feiertage!$B:$C, 2, 0), IF(OR(WEEKDAY(A6,2)=6, WEEKDAY(A6,2)=7), Feiertage!$C$23, ""))</f>
        <v/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8.4</v>
      </c>
      <c r="S6" s="62">
        <f t="shared" si="0"/>
        <v>0</v>
      </c>
      <c r="T6" s="62">
        <f t="shared" si="1"/>
        <v>-8.4</v>
      </c>
      <c r="U6" s="63">
        <f t="shared" si="8"/>
        <v>-474.75999999999954</v>
      </c>
      <c r="V6" s="45"/>
      <c r="W6" s="49"/>
      <c r="X6" s="65">
        <f>V6+W6*Summen!$B$44</f>
        <v>0</v>
      </c>
      <c r="Y6" s="170"/>
      <c r="Z6" s="171"/>
      <c r="AA6" s="171"/>
      <c r="AB6" s="171"/>
      <c r="AC6" s="171"/>
      <c r="AD6" s="171"/>
      <c r="AE6" s="171"/>
      <c r="AF6" s="171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46330</v>
      </c>
      <c r="B7" s="59" t="str">
        <f>IFERROR(VLOOKUP(A7, Feiertage!$B:$C, 2, 0), IF(OR(WEEKDAY(A7,2)=6, WEEKDAY(A7,2)=7), Feiertage!$C$23, ""))</f>
        <v/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8.4</v>
      </c>
      <c r="S7" s="62">
        <f t="shared" si="0"/>
        <v>0</v>
      </c>
      <c r="T7" s="62">
        <f t="shared" si="1"/>
        <v>-8.4</v>
      </c>
      <c r="U7" s="63">
        <f t="shared" si="8"/>
        <v>-483.15999999999951</v>
      </c>
      <c r="V7" s="59"/>
      <c r="W7" s="64"/>
      <c r="X7" s="65">
        <f>V7+W7*Summen!$B$44</f>
        <v>0</v>
      </c>
      <c r="Y7" s="168"/>
      <c r="Z7" s="169"/>
      <c r="AA7" s="169"/>
      <c r="AB7" s="169"/>
      <c r="AC7" s="169"/>
      <c r="AD7" s="169"/>
      <c r="AE7" s="169"/>
      <c r="AF7" s="169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46331</v>
      </c>
      <c r="B8" s="45" t="str">
        <f>IFERROR(VLOOKUP(A8, Feiertage!$B:$C, 2, 0), IF(OR(WEEKDAY(A8,2)=6, WEEKDAY(A8,2)=7), Feiertage!$C$23, ""))</f>
        <v/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f>IF(OR(WEEKDAY(A8,2)=6,WEEKDAY(A8,2)=7),0,IFERROR(IF(VLOOKUP(A8,Feiertage!$B:$D,3,0)="ja",0,Summen!$B$9),Summen!$B$9))</f>
        <v>8.4</v>
      </c>
      <c r="S8" s="62">
        <f t="shared" si="0"/>
        <v>0</v>
      </c>
      <c r="T8" s="62">
        <f t="shared" si="1"/>
        <v>-8.4</v>
      </c>
      <c r="U8" s="63">
        <f t="shared" si="8"/>
        <v>-491.55999999999949</v>
      </c>
      <c r="V8" s="45"/>
      <c r="W8" s="49"/>
      <c r="X8" s="65">
        <f>V8+W8*Summen!$B$44</f>
        <v>0</v>
      </c>
      <c r="Y8" s="170"/>
      <c r="Z8" s="171"/>
      <c r="AA8" s="171"/>
      <c r="AB8" s="171"/>
      <c r="AC8" s="171"/>
      <c r="AD8" s="171"/>
      <c r="AE8" s="171"/>
      <c r="AF8" s="171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46332</v>
      </c>
      <c r="B9" s="59" t="str">
        <f>IFERROR(VLOOKUP(A9, Feiertage!$B:$C, 2, 0), IF(OR(WEEKDAY(A9,2)=6, WEEKDAY(A9,2)=7), Feiertage!$C$23, ""))</f>
        <v/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f>IF(OR(WEEKDAY(A9,2)=6,WEEKDAY(A9,2)=7),0,IFERROR(IF(VLOOKUP(A9,Feiertage!$B:$D,3,0)="ja",0,Summen!$B$9),Summen!$B$9))</f>
        <v>8.4</v>
      </c>
      <c r="S9" s="62">
        <f t="shared" si="0"/>
        <v>0</v>
      </c>
      <c r="T9" s="62">
        <f t="shared" si="1"/>
        <v>-8.4</v>
      </c>
      <c r="U9" s="63">
        <f t="shared" si="8"/>
        <v>-499.95999999999947</v>
      </c>
      <c r="V9" s="59"/>
      <c r="W9" s="64"/>
      <c r="X9" s="65">
        <f>V9+W9*Summen!$B$44</f>
        <v>0</v>
      </c>
      <c r="Y9" s="168"/>
      <c r="Z9" s="169"/>
      <c r="AA9" s="169"/>
      <c r="AB9" s="169"/>
      <c r="AC9" s="169"/>
      <c r="AD9" s="169"/>
      <c r="AE9" s="169"/>
      <c r="AF9" s="169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46333</v>
      </c>
      <c r="B10" s="45" t="str">
        <f>IFERROR(VLOOKUP(A10, Feiertage!$B:$C, 2, 0), IF(OR(WEEKDAY(A10,2)=6, WEEKDAY(A10,2)=7), Feiertage!$C$23, ""))</f>
        <v>* * * * * * * * Wochenende * * * * * * * * * * * * * * * * * * * * * * * * * * * * * * * * * * * * * * * * * * * * * * * *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0</v>
      </c>
      <c r="S10" s="62">
        <f t="shared" si="0"/>
        <v>0</v>
      </c>
      <c r="T10" s="62">
        <f t="shared" si="1"/>
        <v>0</v>
      </c>
      <c r="U10" s="63">
        <f t="shared" si="8"/>
        <v>-499.95999999999947</v>
      </c>
      <c r="V10" s="45"/>
      <c r="W10" s="49"/>
      <c r="X10" s="65">
        <f>V10+W10*Summen!$B$44</f>
        <v>0</v>
      </c>
      <c r="Y10" s="170"/>
      <c r="Z10" s="171"/>
      <c r="AA10" s="171"/>
      <c r="AB10" s="171"/>
      <c r="AC10" s="171"/>
      <c r="AD10" s="171"/>
      <c r="AE10" s="171"/>
      <c r="AF10" s="171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46334</v>
      </c>
      <c r="B11" s="59" t="str">
        <f>IFERROR(VLOOKUP(A11, Feiertage!$B:$C, 2, 0), IF(OR(WEEKDAY(A11,2)=6, WEEKDAY(A11,2)=7), Feiertage!$C$23, ""))</f>
        <v>* * * * * * * * Wochenende * * * * * * * * * * * * * * * * * * * * * * * * * * * * * * * * * * * * * * * * * * * * * * * *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0</v>
      </c>
      <c r="S11" s="62">
        <f t="shared" si="0"/>
        <v>0</v>
      </c>
      <c r="T11" s="62">
        <f t="shared" si="1"/>
        <v>0</v>
      </c>
      <c r="U11" s="63">
        <f t="shared" si="8"/>
        <v>-499.95999999999947</v>
      </c>
      <c r="V11" s="59"/>
      <c r="W11" s="64"/>
      <c r="X11" s="65">
        <f>V11+W11*Summen!$B$44</f>
        <v>0</v>
      </c>
      <c r="Y11" s="168"/>
      <c r="Z11" s="169"/>
      <c r="AA11" s="169"/>
      <c r="AB11" s="169"/>
      <c r="AC11" s="169"/>
      <c r="AD11" s="169"/>
      <c r="AE11" s="169"/>
      <c r="AF11" s="169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46335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8.4</v>
      </c>
      <c r="S12" s="62">
        <f t="shared" si="0"/>
        <v>0</v>
      </c>
      <c r="T12" s="62">
        <f t="shared" si="1"/>
        <v>-8.4</v>
      </c>
      <c r="U12" s="63">
        <f t="shared" si="8"/>
        <v>-508.35999999999945</v>
      </c>
      <c r="V12" s="45"/>
      <c r="W12" s="49"/>
      <c r="X12" s="65">
        <f>V12+W12*Summen!$B$44</f>
        <v>0</v>
      </c>
      <c r="Y12" s="170"/>
      <c r="Z12" s="171"/>
      <c r="AA12" s="171"/>
      <c r="AB12" s="171"/>
      <c r="AC12" s="171"/>
      <c r="AD12" s="171"/>
      <c r="AE12" s="171"/>
      <c r="AF12" s="171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46336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8.4</v>
      </c>
      <c r="S13" s="62">
        <f t="shared" si="0"/>
        <v>0</v>
      </c>
      <c r="T13" s="62">
        <f t="shared" si="1"/>
        <v>-8.4</v>
      </c>
      <c r="U13" s="63">
        <f t="shared" si="8"/>
        <v>-516.75999999999942</v>
      </c>
      <c r="V13" s="59"/>
      <c r="W13" s="64"/>
      <c r="X13" s="65">
        <f>V13+W13*Summen!$B$44</f>
        <v>0</v>
      </c>
      <c r="Y13" s="168"/>
      <c r="Z13" s="169"/>
      <c r="AA13" s="169"/>
      <c r="AB13" s="169"/>
      <c r="AC13" s="169"/>
      <c r="AD13" s="169"/>
      <c r="AE13" s="169"/>
      <c r="AF13" s="169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46337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8.4</v>
      </c>
      <c r="S14" s="62">
        <f t="shared" si="0"/>
        <v>0</v>
      </c>
      <c r="T14" s="62">
        <f t="shared" si="1"/>
        <v>-8.4</v>
      </c>
      <c r="U14" s="63">
        <f t="shared" si="8"/>
        <v>-525.1599999999994</v>
      </c>
      <c r="V14" s="45"/>
      <c r="W14" s="49"/>
      <c r="X14" s="65">
        <f>V14+W14*Summen!$B$44</f>
        <v>0</v>
      </c>
      <c r="Y14" s="170"/>
      <c r="Z14" s="171"/>
      <c r="AA14" s="171"/>
      <c r="AB14" s="171"/>
      <c r="AC14" s="171"/>
      <c r="AD14" s="171"/>
      <c r="AE14" s="171"/>
      <c r="AF14" s="171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46338</v>
      </c>
      <c r="B15" s="59" t="str">
        <f>IFERROR(VLOOKUP(A15, Feiertage!$B:$C, 2, 0), IF(OR(WEEKDAY(A15,2)=6, WEEKDAY(A15,2)=7), Feiertage!$C$23, ""))</f>
        <v/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f>IF(OR(WEEKDAY(A15,2)=6,WEEKDAY(A15,2)=7),0,IFERROR(IF(VLOOKUP(A15,Feiertage!$B:$D,3,0)="ja",0,Summen!$B$9),Summen!$B$9))</f>
        <v>8.4</v>
      </c>
      <c r="S15" s="62">
        <f t="shared" si="0"/>
        <v>0</v>
      </c>
      <c r="T15" s="62">
        <f t="shared" si="1"/>
        <v>-8.4</v>
      </c>
      <c r="U15" s="63">
        <f t="shared" si="8"/>
        <v>-533.55999999999938</v>
      </c>
      <c r="V15" s="59"/>
      <c r="W15" s="64"/>
      <c r="X15" s="65">
        <f>V15+W15*Summen!$B$44</f>
        <v>0</v>
      </c>
      <c r="Y15" s="168"/>
      <c r="Z15" s="169"/>
      <c r="AA15" s="169"/>
      <c r="AB15" s="169"/>
      <c r="AC15" s="169"/>
      <c r="AD15" s="169"/>
      <c r="AE15" s="169"/>
      <c r="AF15" s="169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46339</v>
      </c>
      <c r="B16" s="45" t="str">
        <f>IFERROR(VLOOKUP(A16, Feiertage!$B:$C, 2, 0), IF(OR(WEEKDAY(A16,2)=6, WEEKDAY(A16,2)=7), Feiertage!$C$23, ""))</f>
        <v/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f>IF(OR(WEEKDAY(A16,2)=6,WEEKDAY(A16,2)=7),0,IFERROR(IF(VLOOKUP(A16,Feiertage!$B:$D,3,0)="ja",0,Summen!$B$9),Summen!$B$9))</f>
        <v>8.4</v>
      </c>
      <c r="S16" s="62">
        <f t="shared" si="0"/>
        <v>0</v>
      </c>
      <c r="T16" s="62">
        <f t="shared" si="1"/>
        <v>-8.4</v>
      </c>
      <c r="U16" s="63">
        <f t="shared" si="8"/>
        <v>-541.95999999999935</v>
      </c>
      <c r="V16" s="45"/>
      <c r="W16" s="49"/>
      <c r="X16" s="65">
        <f>V16+W16*Summen!$B$44</f>
        <v>0</v>
      </c>
      <c r="Y16" s="170"/>
      <c r="Z16" s="171"/>
      <c r="AA16" s="171"/>
      <c r="AB16" s="171"/>
      <c r="AC16" s="171"/>
      <c r="AD16" s="171"/>
      <c r="AE16" s="171"/>
      <c r="AF16" s="171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46340</v>
      </c>
      <c r="B17" s="59" t="str">
        <f>IFERROR(VLOOKUP(A17, Feiertage!$B:$C, 2, 0), IF(OR(WEEKDAY(A17,2)=6, WEEKDAY(A17,2)=7), Feiertage!$C$23, ""))</f>
        <v>* * * * * * * * Wochenende * * * * * * * * * * * * * * * * * * * * * * * * * * * * * * * * * * * * * * * * * * * * * * * *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0</v>
      </c>
      <c r="S17" s="62">
        <f t="shared" si="0"/>
        <v>0</v>
      </c>
      <c r="T17" s="62">
        <f t="shared" si="1"/>
        <v>0</v>
      </c>
      <c r="U17" s="63">
        <f t="shared" si="8"/>
        <v>-541.95999999999935</v>
      </c>
      <c r="V17" s="59"/>
      <c r="W17" s="64"/>
      <c r="X17" s="65">
        <f>V17+W17*Summen!$B$44</f>
        <v>0</v>
      </c>
      <c r="Y17" s="168"/>
      <c r="Z17" s="169"/>
      <c r="AA17" s="169"/>
      <c r="AB17" s="169"/>
      <c r="AC17" s="169"/>
      <c r="AD17" s="169"/>
      <c r="AE17" s="169"/>
      <c r="AF17" s="169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46341</v>
      </c>
      <c r="B18" s="45" t="str">
        <f>IFERROR(VLOOKUP(A18, Feiertage!$B:$C, 2, 0), IF(OR(WEEKDAY(A18,2)=6, WEEKDAY(A18,2)=7), Feiertage!$C$23, ""))</f>
        <v>* * * * * * * * Wochenende * * * * * * * * * * * * * * * * * * * * * * * * * * * * * * * * * * * * * * * * * * * * * * * *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0</v>
      </c>
      <c r="S18" s="62">
        <f t="shared" si="0"/>
        <v>0</v>
      </c>
      <c r="T18" s="62">
        <f t="shared" si="1"/>
        <v>0</v>
      </c>
      <c r="U18" s="63">
        <f t="shared" si="8"/>
        <v>-541.95999999999935</v>
      </c>
      <c r="V18" s="45"/>
      <c r="W18" s="49"/>
      <c r="X18" s="65">
        <f>V18+W18*Summen!$B$44</f>
        <v>0</v>
      </c>
      <c r="Y18" s="170"/>
      <c r="Z18" s="171"/>
      <c r="AA18" s="171"/>
      <c r="AB18" s="171"/>
      <c r="AC18" s="171"/>
      <c r="AD18" s="171"/>
      <c r="AE18" s="171"/>
      <c r="AF18" s="171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46342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8.4</v>
      </c>
      <c r="S19" s="62">
        <f t="shared" si="0"/>
        <v>0</v>
      </c>
      <c r="T19" s="62">
        <f t="shared" si="1"/>
        <v>-8.4</v>
      </c>
      <c r="U19" s="63">
        <f t="shared" si="8"/>
        <v>-550.35999999999933</v>
      </c>
      <c r="V19" s="59"/>
      <c r="W19" s="64"/>
      <c r="X19" s="65">
        <f>V19+W19*Summen!$B$44</f>
        <v>0</v>
      </c>
      <c r="Y19" s="168"/>
      <c r="Z19" s="169"/>
      <c r="AA19" s="169"/>
      <c r="AB19" s="169"/>
      <c r="AC19" s="169"/>
      <c r="AD19" s="169"/>
      <c r="AE19" s="169"/>
      <c r="AF19" s="169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46343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8.4</v>
      </c>
      <c r="S20" s="62">
        <f t="shared" si="0"/>
        <v>0</v>
      </c>
      <c r="T20" s="62">
        <f t="shared" si="1"/>
        <v>-8.4</v>
      </c>
      <c r="U20" s="63">
        <f t="shared" si="8"/>
        <v>-558.75999999999931</v>
      </c>
      <c r="V20" s="45"/>
      <c r="W20" s="49"/>
      <c r="X20" s="65">
        <f>V20+W20*Summen!$B$44</f>
        <v>0</v>
      </c>
      <c r="Y20" s="170"/>
      <c r="Z20" s="171"/>
      <c r="AA20" s="171"/>
      <c r="AB20" s="171"/>
      <c r="AC20" s="171"/>
      <c r="AD20" s="171"/>
      <c r="AE20" s="171"/>
      <c r="AF20" s="171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46344</v>
      </c>
      <c r="B21" s="59" t="str">
        <f>IFERROR(VLOOKUP(A21, Feiertage!$B:$C, 2, 0), IF(OR(WEEKDAY(A21,2)=6, WEEKDAY(A21,2)=7), Feiertage!$C$23, ""))</f>
        <v/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8.4</v>
      </c>
      <c r="S21" s="62">
        <f t="shared" si="0"/>
        <v>0</v>
      </c>
      <c r="T21" s="62">
        <f t="shared" si="1"/>
        <v>-8.4</v>
      </c>
      <c r="U21" s="63">
        <f t="shared" si="8"/>
        <v>-567.15999999999929</v>
      </c>
      <c r="V21" s="59"/>
      <c r="W21" s="64"/>
      <c r="X21" s="65">
        <f>V21+W21*Summen!$B$44</f>
        <v>0</v>
      </c>
      <c r="Y21" s="168"/>
      <c r="Z21" s="169"/>
      <c r="AA21" s="169"/>
      <c r="AB21" s="169"/>
      <c r="AC21" s="169"/>
      <c r="AD21" s="169"/>
      <c r="AE21" s="169"/>
      <c r="AF21" s="169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46345</v>
      </c>
      <c r="B22" s="45" t="str">
        <f>IFERROR(VLOOKUP(A22, Feiertage!$B:$C, 2, 0), IF(OR(WEEKDAY(A22,2)=6, WEEKDAY(A22,2)=7), Feiertage!$C$23, ""))</f>
        <v/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8.4</v>
      </c>
      <c r="S22" s="62">
        <f t="shared" si="0"/>
        <v>0</v>
      </c>
      <c r="T22" s="62">
        <f t="shared" si="1"/>
        <v>-8.4</v>
      </c>
      <c r="U22" s="63">
        <f t="shared" si="8"/>
        <v>-575.55999999999926</v>
      </c>
      <c r="V22" s="45"/>
      <c r="W22" s="49"/>
      <c r="X22" s="65">
        <f>V22+W22*Summen!$B$44</f>
        <v>0</v>
      </c>
      <c r="Y22" s="170"/>
      <c r="Z22" s="171"/>
      <c r="AA22" s="171"/>
      <c r="AB22" s="171"/>
      <c r="AC22" s="171"/>
      <c r="AD22" s="171"/>
      <c r="AE22" s="171"/>
      <c r="AF22" s="171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46346</v>
      </c>
      <c r="B23" s="59" t="str">
        <f>IFERROR(VLOOKUP(A23, Feiertage!$B:$C, 2, 0), IF(OR(WEEKDAY(A23,2)=6, WEEKDAY(A23,2)=7), Feiertage!$C$23, ""))</f>
        <v/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f>IF(OR(WEEKDAY(A23,2)=6,WEEKDAY(A23,2)=7),0,IFERROR(IF(VLOOKUP(A23,Feiertage!$B:$D,3,0)="ja",0,Summen!$B$9),Summen!$B$9))</f>
        <v>8.4</v>
      </c>
      <c r="S23" s="62">
        <f t="shared" si="0"/>
        <v>0</v>
      </c>
      <c r="T23" s="62">
        <f t="shared" si="1"/>
        <v>-8.4</v>
      </c>
      <c r="U23" s="63">
        <f t="shared" si="8"/>
        <v>-583.95999999999924</v>
      </c>
      <c r="V23" s="59"/>
      <c r="W23" s="64"/>
      <c r="X23" s="65">
        <f>V23+W23*Summen!$B$44</f>
        <v>0</v>
      </c>
      <c r="Y23" s="168"/>
      <c r="Z23" s="169"/>
      <c r="AA23" s="169"/>
      <c r="AB23" s="169"/>
      <c r="AC23" s="169"/>
      <c r="AD23" s="169"/>
      <c r="AE23" s="169"/>
      <c r="AF23" s="169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46347</v>
      </c>
      <c r="B24" s="45" t="str">
        <f>IFERROR(VLOOKUP(A24, Feiertage!$B:$C, 2, 0), IF(OR(WEEKDAY(A24,2)=6, WEEKDAY(A24,2)=7), Feiertage!$C$23, ""))</f>
        <v>* * * * * * * * Wochenende * * * * * * * * * * * * * * * * * * * * * * * * * * * * * * * * * * * * * * * * * * * * * * * *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0</v>
      </c>
      <c r="S24" s="62">
        <f t="shared" si="0"/>
        <v>0</v>
      </c>
      <c r="T24" s="62">
        <f t="shared" si="1"/>
        <v>0</v>
      </c>
      <c r="U24" s="63">
        <f t="shared" si="8"/>
        <v>-583.95999999999924</v>
      </c>
      <c r="V24" s="45"/>
      <c r="W24" s="49"/>
      <c r="X24" s="65">
        <f>V24+W24*Summen!$B$44</f>
        <v>0</v>
      </c>
      <c r="Y24" s="170"/>
      <c r="Z24" s="171"/>
      <c r="AA24" s="171"/>
      <c r="AB24" s="171"/>
      <c r="AC24" s="171"/>
      <c r="AD24" s="171"/>
      <c r="AE24" s="171"/>
      <c r="AF24" s="171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46348</v>
      </c>
      <c r="B25" s="59" t="str">
        <f>IFERROR(VLOOKUP(A25, Feiertage!$B:$C, 2, 0), IF(OR(WEEKDAY(A25,2)=6, WEEKDAY(A25,2)=7), Feiertage!$C$23, ""))</f>
        <v>* * * * * * * * Wochenende * * * * * * * * * * * * * * * * * * * * * * * * * * * * * * * * * * * * * * * * * * * * * * * *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0</v>
      </c>
      <c r="S25" s="62">
        <f t="shared" si="0"/>
        <v>0</v>
      </c>
      <c r="T25" s="62">
        <f t="shared" si="1"/>
        <v>0</v>
      </c>
      <c r="U25" s="63">
        <f t="shared" si="8"/>
        <v>-583.95999999999924</v>
      </c>
      <c r="V25" s="59"/>
      <c r="W25" s="64"/>
      <c r="X25" s="65">
        <f>V25+W25*Summen!$B$44</f>
        <v>0</v>
      </c>
      <c r="Y25" s="168"/>
      <c r="Z25" s="169"/>
      <c r="AA25" s="169"/>
      <c r="AB25" s="169"/>
      <c r="AC25" s="169"/>
      <c r="AD25" s="169"/>
      <c r="AE25" s="169"/>
      <c r="AF25" s="169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46349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8.4</v>
      </c>
      <c r="S26" s="62">
        <f t="shared" si="0"/>
        <v>0</v>
      </c>
      <c r="T26" s="62">
        <f t="shared" si="1"/>
        <v>-8.4</v>
      </c>
      <c r="U26" s="63">
        <f t="shared" si="8"/>
        <v>-592.35999999999922</v>
      </c>
      <c r="V26" s="45"/>
      <c r="W26" s="49"/>
      <c r="X26" s="65">
        <f>V26+W26*Summen!$B$44</f>
        <v>0</v>
      </c>
      <c r="Y26" s="170"/>
      <c r="Z26" s="171"/>
      <c r="AA26" s="171"/>
      <c r="AB26" s="171"/>
      <c r="AC26" s="171"/>
      <c r="AD26" s="171"/>
      <c r="AE26" s="171"/>
      <c r="AF26" s="171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46350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8.4</v>
      </c>
      <c r="S27" s="62">
        <f t="shared" si="0"/>
        <v>0</v>
      </c>
      <c r="T27" s="62">
        <f t="shared" si="1"/>
        <v>-8.4</v>
      </c>
      <c r="U27" s="63">
        <f t="shared" si="8"/>
        <v>-600.7599999999992</v>
      </c>
      <c r="V27" s="59"/>
      <c r="W27" s="64"/>
      <c r="X27" s="65">
        <f>V27+W27*Summen!$B$44</f>
        <v>0</v>
      </c>
      <c r="Y27" s="168"/>
      <c r="Z27" s="169"/>
      <c r="AA27" s="169"/>
      <c r="AB27" s="169"/>
      <c r="AC27" s="169"/>
      <c r="AD27" s="169"/>
      <c r="AE27" s="169"/>
      <c r="AF27" s="169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46351</v>
      </c>
      <c r="B28" s="45" t="str">
        <f>IFERROR(VLOOKUP(A28, Feiertage!$B:$C, 2, 0), IF(OR(WEEKDAY(A28,2)=6, WEEKDAY(A28,2)=7), Feiertage!$C$23, ""))</f>
        <v/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8.4</v>
      </c>
      <c r="S28" s="62">
        <f t="shared" si="0"/>
        <v>0</v>
      </c>
      <c r="T28" s="62">
        <f t="shared" si="1"/>
        <v>-8.4</v>
      </c>
      <c r="U28" s="63">
        <f t="shared" si="8"/>
        <v>-609.15999999999917</v>
      </c>
      <c r="V28" s="45"/>
      <c r="W28" s="49"/>
      <c r="X28" s="65">
        <f>V28+W28*Summen!$B$44</f>
        <v>0</v>
      </c>
      <c r="Y28" s="170"/>
      <c r="Z28" s="171"/>
      <c r="AA28" s="171"/>
      <c r="AB28" s="171"/>
      <c r="AC28" s="171"/>
      <c r="AD28" s="171"/>
      <c r="AE28" s="171"/>
      <c r="AF28" s="171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46352</v>
      </c>
      <c r="B29" s="59" t="str">
        <f>IFERROR(VLOOKUP(A29, Feiertage!$B:$C, 2, 0), IF(OR(WEEKDAY(A29,2)=6, WEEKDAY(A29,2)=7), Feiertage!$C$23, ""))</f>
        <v/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f>IF(OR(WEEKDAY(A29,2)=6,WEEKDAY(A29,2)=7),0,IFERROR(IF(VLOOKUP(A29,Feiertage!$B:$D,3,0)="ja",0,Summen!$B$9),Summen!$B$9))</f>
        <v>8.4</v>
      </c>
      <c r="S29" s="62">
        <f t="shared" si="0"/>
        <v>0</v>
      </c>
      <c r="T29" s="62">
        <f t="shared" si="1"/>
        <v>-8.4</v>
      </c>
      <c r="U29" s="63">
        <f t="shared" si="8"/>
        <v>-617.55999999999915</v>
      </c>
      <c r="V29" s="59"/>
      <c r="W29" s="64"/>
      <c r="X29" s="65">
        <f>V29+W29*Summen!$B$44</f>
        <v>0</v>
      </c>
      <c r="Y29" s="168"/>
      <c r="Z29" s="169"/>
      <c r="AA29" s="169"/>
      <c r="AB29" s="169"/>
      <c r="AC29" s="169"/>
      <c r="AD29" s="169"/>
      <c r="AE29" s="169"/>
      <c r="AF29" s="169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46353</v>
      </c>
      <c r="B30" s="45" t="str">
        <f>IFERROR(VLOOKUP(A30, Feiertage!$B:$C, 2, 0), IF(OR(WEEKDAY(A30,2)=6, WEEKDAY(A30,2)=7), Feiertage!$C$23, ""))</f>
        <v/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f>IF(OR(WEEKDAY(A30,2)=6,WEEKDAY(A30,2)=7),0,IFERROR(IF(VLOOKUP(A30,Feiertage!$B:$D,3,0)="ja",0,Summen!$B$9),Summen!$B$9))</f>
        <v>8.4</v>
      </c>
      <c r="S30" s="62">
        <f t="shared" si="0"/>
        <v>0</v>
      </c>
      <c r="T30" s="62">
        <f t="shared" si="1"/>
        <v>-8.4</v>
      </c>
      <c r="U30" s="63">
        <f t="shared" si="8"/>
        <v>-625.95999999999913</v>
      </c>
      <c r="V30" s="45"/>
      <c r="W30" s="49"/>
      <c r="X30" s="65">
        <f>V30+W30*Summen!$B$44</f>
        <v>0</v>
      </c>
      <c r="Y30" s="170"/>
      <c r="Z30" s="171"/>
      <c r="AA30" s="171"/>
      <c r="AB30" s="171"/>
      <c r="AC30" s="171"/>
      <c r="AD30" s="171"/>
      <c r="AE30" s="171"/>
      <c r="AF30" s="171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46354</v>
      </c>
      <c r="B31" s="59" t="str">
        <f>IFERROR(VLOOKUP(A31, Feiertage!$B:$C, 2, 0), IF(OR(WEEKDAY(A31,2)=6, WEEKDAY(A31,2)=7), Feiertage!$C$23, ""))</f>
        <v>* * * * * * * * Wochenende * * * * * * * * * * * * * * * * * * * * * * * * * * * * * * * * * * * * * * * * * * * * * * * *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0</v>
      </c>
      <c r="S31" s="62">
        <f t="shared" si="0"/>
        <v>0</v>
      </c>
      <c r="T31" s="62">
        <f t="shared" si="1"/>
        <v>0</v>
      </c>
      <c r="U31" s="63">
        <f t="shared" si="8"/>
        <v>-625.95999999999913</v>
      </c>
      <c r="V31" s="59"/>
      <c r="W31" s="64"/>
      <c r="X31" s="65">
        <f>V31+W31*Summen!$B$44</f>
        <v>0</v>
      </c>
      <c r="Y31" s="168"/>
      <c r="Z31" s="169"/>
      <c r="AA31" s="169"/>
      <c r="AB31" s="169"/>
      <c r="AC31" s="169"/>
      <c r="AD31" s="169"/>
      <c r="AE31" s="169"/>
      <c r="AF31" s="169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46355</v>
      </c>
      <c r="B32" s="45" t="str">
        <f>IFERROR(VLOOKUP(A32, Feiertage!$B:$C, 2, 0), IF(OR(WEEKDAY(A32,2)=6, WEEKDAY(A32,2)=7), Feiertage!$C$23, ""))</f>
        <v>* * * * * * * * Wochenende * * * * * * * * * * * * * * * * * * * * * * * * * * * * * * * * * * * * * * * * * * * * * * * *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0</v>
      </c>
      <c r="S32" s="62">
        <f t="shared" si="0"/>
        <v>0</v>
      </c>
      <c r="T32" s="62">
        <f t="shared" si="1"/>
        <v>0</v>
      </c>
      <c r="U32" s="63">
        <f t="shared" si="8"/>
        <v>-625.95999999999913</v>
      </c>
      <c r="V32" s="45"/>
      <c r="W32" s="49"/>
      <c r="X32" s="65">
        <f>V32+W32*Summen!$B$44</f>
        <v>0</v>
      </c>
      <c r="Y32" s="170"/>
      <c r="Z32" s="171"/>
      <c r="AA32" s="171"/>
      <c r="AB32" s="171"/>
      <c r="AC32" s="171"/>
      <c r="AD32" s="171"/>
      <c r="AE32" s="171"/>
      <c r="AF32" s="171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80">
        <f t="shared" si="7"/>
        <v>46356</v>
      </c>
      <c r="B33" s="59" t="str">
        <f>IFERROR(VLOOKUP(A33, Feiertage!$B:$C, 2, 0), IF(OR(WEEKDAY(A33,2)=6, WEEKDAY(A33,2)=7), Feiertage!$C$23, ""))</f>
        <v/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8.4</v>
      </c>
      <c r="S33" s="84">
        <f t="shared" si="0"/>
        <v>0</v>
      </c>
      <c r="T33" s="84">
        <f t="shared" si="1"/>
        <v>-8.4</v>
      </c>
      <c r="U33" s="85">
        <f t="shared" si="8"/>
        <v>-634.3599999999991</v>
      </c>
      <c r="V33" s="59"/>
      <c r="W33" s="64"/>
      <c r="X33" s="65">
        <f>V33+W33*Summen!$B$44</f>
        <v>0</v>
      </c>
      <c r="Y33" s="168"/>
      <c r="Z33" s="169"/>
      <c r="AA33" s="169"/>
      <c r="AB33" s="169"/>
      <c r="AC33" s="169"/>
      <c r="AD33" s="169"/>
      <c r="AE33" s="169"/>
      <c r="AF33" s="169"/>
      <c r="AG33" s="86">
        <f t="shared" si="2"/>
        <v>0</v>
      </c>
      <c r="AH33" s="84">
        <f t="shared" si="3"/>
        <v>0</v>
      </c>
      <c r="AI33" s="84">
        <f t="shared" si="4"/>
        <v>0</v>
      </c>
      <c r="AJ33" s="85">
        <f t="shared" si="5"/>
        <v>0</v>
      </c>
      <c r="AL33" s="54">
        <f t="shared" si="6"/>
        <v>0</v>
      </c>
    </row>
    <row r="34" spans="1:38" ht="18" customHeight="1">
      <c r="A34" s="87" t="s">
        <v>31</v>
      </c>
      <c r="B34" s="142"/>
      <c r="C34" s="88">
        <f t="shared" ref="C34:T34" si="9">SUM(C4:C33)</f>
        <v>0</v>
      </c>
      <c r="D34" s="88">
        <f t="shared" si="9"/>
        <v>0</v>
      </c>
      <c r="E34" s="88">
        <f t="shared" si="9"/>
        <v>0</v>
      </c>
      <c r="F34" s="88">
        <f t="shared" si="9"/>
        <v>0</v>
      </c>
      <c r="G34" s="88">
        <f t="shared" si="9"/>
        <v>0</v>
      </c>
      <c r="H34" s="88">
        <f t="shared" si="9"/>
        <v>0</v>
      </c>
      <c r="I34" s="88">
        <f t="shared" si="9"/>
        <v>0</v>
      </c>
      <c r="J34" s="88">
        <f t="shared" si="9"/>
        <v>0</v>
      </c>
      <c r="K34" s="88">
        <f t="shared" si="9"/>
        <v>0</v>
      </c>
      <c r="L34" s="88">
        <f t="shared" si="9"/>
        <v>0</v>
      </c>
      <c r="M34" s="88">
        <f t="shared" si="9"/>
        <v>0</v>
      </c>
      <c r="N34" s="88">
        <f t="shared" si="9"/>
        <v>0</v>
      </c>
      <c r="O34" s="88">
        <f t="shared" si="9"/>
        <v>0</v>
      </c>
      <c r="P34" s="88">
        <f t="shared" si="9"/>
        <v>0</v>
      </c>
      <c r="Q34" s="88">
        <f t="shared" si="9"/>
        <v>0</v>
      </c>
      <c r="R34" s="90">
        <f t="shared" si="9"/>
        <v>176.40000000000006</v>
      </c>
      <c r="S34" s="91">
        <f t="shared" si="9"/>
        <v>0</v>
      </c>
      <c r="T34" s="91">
        <f t="shared" si="9"/>
        <v>-176.40000000000006</v>
      </c>
      <c r="U34" s="92">
        <f>U33</f>
        <v>-634.3599999999991</v>
      </c>
      <c r="V34" s="93">
        <f>SUM(V4:V33)</f>
        <v>0</v>
      </c>
      <c r="W34" s="93">
        <f>SUM(W4:W33)*Summen!$B$44</f>
        <v>0</v>
      </c>
      <c r="X34" s="94">
        <f>V34+W34</f>
        <v>0</v>
      </c>
      <c r="Y34" s="117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2">
        <f>SUM(AJ4:AJ33)</f>
        <v>0</v>
      </c>
      <c r="AL34" s="54">
        <f t="shared" si="6"/>
        <v>0</v>
      </c>
    </row>
    <row r="35" spans="1:38" ht="12.75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L35" s="7"/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2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scale="86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F89C566-B4A2-4114-A406-16847FA501F2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5FAE0F47-2F8D-4674-A42E-F5A5AC640BAD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1000"/>
  <sheetViews>
    <sheetView zoomScale="85" zoomScaleNormal="85" workbookViewId="0">
      <selection sqref="A1:E1"/>
    </sheetView>
  </sheetViews>
  <sheetFormatPr baseColWidth="10" defaultColWidth="14.42578125" defaultRowHeight="15" customHeight="1"/>
  <cols>
    <col min="1" max="1" width="4.28515625" customWidth="1"/>
    <col min="2" max="2" width="0.140625" customWidth="1"/>
    <col min="3" max="17" width="4.5703125" customWidth="1"/>
    <col min="18" max="18" width="5.7109375" customWidth="1"/>
    <col min="19" max="19" width="6.28515625" customWidth="1"/>
    <col min="20" max="20" width="6.7109375" customWidth="1"/>
    <col min="21" max="21" width="8.5703125" customWidth="1"/>
    <col min="22" max="23" width="5.5703125" customWidth="1"/>
    <col min="24" max="24" width="6.5703125" customWidth="1"/>
    <col min="25" max="32" width="4.7109375" customWidth="1"/>
    <col min="33" max="36" width="5.5703125" customWidth="1"/>
    <col min="37" max="37" width="1.5703125" customWidth="1"/>
    <col min="38" max="38" width="6.28515625" customWidth="1"/>
  </cols>
  <sheetData>
    <row r="1" spans="1:38" ht="15" customHeight="1">
      <c r="A1" s="193" t="str">
        <f>Summen!B1</f>
        <v>Alta Engineering AG</v>
      </c>
      <c r="B1" s="194"/>
      <c r="C1" s="194"/>
      <c r="D1" s="194"/>
      <c r="E1" s="195"/>
      <c r="F1" s="200" t="s">
        <v>0</v>
      </c>
      <c r="G1" s="195"/>
      <c r="H1" s="204" t="s">
        <v>1</v>
      </c>
      <c r="I1" s="194"/>
      <c r="J1" s="205" t="str">
        <f>Summen!B3</f>
        <v>Michael Küng</v>
      </c>
      <c r="K1" s="194"/>
      <c r="L1" s="194"/>
      <c r="M1" s="195"/>
      <c r="N1" s="206" t="s">
        <v>2</v>
      </c>
      <c r="O1" s="194"/>
      <c r="P1" s="203">
        <f>Nov!P1+30</f>
        <v>46357</v>
      </c>
      <c r="Q1" s="195"/>
      <c r="R1" s="119"/>
      <c r="S1" s="120" t="s">
        <v>3</v>
      </c>
      <c r="T1" s="120"/>
      <c r="U1" s="121">
        <f>Summen!B5</f>
        <v>1</v>
      </c>
      <c r="V1" s="119"/>
      <c r="W1" s="122" t="s">
        <v>4</v>
      </c>
      <c r="X1" s="123">
        <f>Nov!X1+1</f>
        <v>12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8"/>
      <c r="B2" s="103"/>
      <c r="C2" s="153" t="s">
        <v>5</v>
      </c>
      <c r="D2" s="154"/>
      <c r="E2" s="155">
        <f>Summen!B18</f>
        <v>10.8</v>
      </c>
      <c r="F2" s="154" t="s">
        <v>6</v>
      </c>
      <c r="G2" s="154"/>
      <c r="H2" s="155">
        <f>Nov!H2+(Nov!Q34/Summen!B9)</f>
        <v>1</v>
      </c>
      <c r="I2" s="154" t="s">
        <v>7</v>
      </c>
      <c r="J2" s="156">
        <f>E2-H2</f>
        <v>9.8000000000000007</v>
      </c>
      <c r="K2" s="154"/>
      <c r="L2" s="154"/>
      <c r="M2" s="154"/>
      <c r="N2" s="154"/>
      <c r="O2" s="154"/>
      <c r="P2" s="154"/>
      <c r="Q2" s="154"/>
      <c r="R2" s="157"/>
      <c r="S2" s="153"/>
      <c r="T2" s="158" t="s">
        <v>8</v>
      </c>
      <c r="U2" s="159">
        <f>Nov!U34</f>
        <v>-634.3599999999991</v>
      </c>
      <c r="V2" s="191" t="s">
        <v>9</v>
      </c>
      <c r="W2" s="192"/>
      <c r="X2" s="190"/>
      <c r="Y2" s="9"/>
      <c r="Z2" s="103"/>
      <c r="AA2" s="103"/>
      <c r="AB2" s="103"/>
      <c r="AC2" s="103"/>
      <c r="AD2" s="103"/>
      <c r="AE2" s="103"/>
      <c r="AF2" s="15"/>
      <c r="AG2" s="9"/>
      <c r="AH2" s="103"/>
      <c r="AI2" s="103"/>
      <c r="AJ2" s="166"/>
      <c r="AK2" s="7"/>
      <c r="AL2" s="7"/>
    </row>
    <row r="3" spans="1:38" ht="69.75" customHeight="1">
      <c r="A3" s="22" t="s">
        <v>10</v>
      </c>
      <c r="B3" s="25"/>
      <c r="C3" s="124"/>
      <c r="D3" s="125"/>
      <c r="E3" s="24"/>
      <c r="F3" s="24"/>
      <c r="G3" s="24"/>
      <c r="H3" s="24"/>
      <c r="I3" s="24"/>
      <c r="J3" s="24"/>
      <c r="K3" s="25"/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16</v>
      </c>
      <c r="R3" s="28" t="s">
        <v>17</v>
      </c>
      <c r="S3" s="29" t="s">
        <v>18</v>
      </c>
      <c r="T3" s="30" t="s">
        <v>19</v>
      </c>
      <c r="U3" s="31" t="s">
        <v>20</v>
      </c>
      <c r="V3" s="32" t="s">
        <v>21</v>
      </c>
      <c r="W3" s="33" t="s">
        <v>22</v>
      </c>
      <c r="X3" s="34" t="s">
        <v>23</v>
      </c>
      <c r="Y3" s="126" t="s">
        <v>24</v>
      </c>
      <c r="Z3" s="36" t="s">
        <v>25</v>
      </c>
      <c r="AA3" s="36" t="s">
        <v>24</v>
      </c>
      <c r="AB3" s="36" t="s">
        <v>25</v>
      </c>
      <c r="AC3" s="36" t="s">
        <v>24</v>
      </c>
      <c r="AD3" s="36" t="s">
        <v>25</v>
      </c>
      <c r="AE3" s="36" t="s">
        <v>24</v>
      </c>
      <c r="AF3" s="37" t="s">
        <v>25</v>
      </c>
      <c r="AG3" s="126" t="s">
        <v>26</v>
      </c>
      <c r="AH3" s="36" t="s">
        <v>27</v>
      </c>
      <c r="AI3" s="36" t="s">
        <v>28</v>
      </c>
      <c r="AJ3" s="111" t="s">
        <v>29</v>
      </c>
      <c r="AK3" s="7"/>
      <c r="AL3" s="41" t="s">
        <v>30</v>
      </c>
    </row>
    <row r="4" spans="1:38" ht="13.5" customHeight="1">
      <c r="A4" s="42">
        <f>P1</f>
        <v>46357</v>
      </c>
      <c r="B4" s="45" t="str">
        <f>IFERROR(VLOOKUP(A4, Feiertage!$B:$C, 2, 0), IF(OR(WEEKDAY(A4,2)=6, WEEKDAY(A4,2)=7), Feiertage!$C$23, ""))</f>
        <v/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41">
        <f>IF(OR(WEEKDAY(A4,2)=6,WEEKDAY(A4,2)=7),0,IFERROR(IF(VLOOKUP(A4,Feiertage!$B:$D,3,0)="ja",0,Summen!$B$9),Summen!$B$9))</f>
        <v>8.4</v>
      </c>
      <c r="S4" s="47">
        <f t="shared" ref="S4:S34" si="0">SUM(C4:Q4)</f>
        <v>0</v>
      </c>
      <c r="T4" s="47">
        <f t="shared" ref="T4:T34" si="1">S4-R4</f>
        <v>-8.4</v>
      </c>
      <c r="U4" s="48">
        <f>U2+T4</f>
        <v>-642.75999999999908</v>
      </c>
      <c r="V4" s="45"/>
      <c r="W4" s="49"/>
      <c r="X4" s="50">
        <f>V4+W4*Summen!$B$44</f>
        <v>0</v>
      </c>
      <c r="Y4" s="51"/>
      <c r="Z4" s="52"/>
      <c r="AA4" s="52"/>
      <c r="AB4" s="52"/>
      <c r="AC4" s="52"/>
      <c r="AD4" s="52"/>
      <c r="AE4" s="52"/>
      <c r="AF4" s="52"/>
      <c r="AG4" s="53">
        <f t="shared" ref="AG4:AG34" si="2">(Z4-Y4)+(AB4-AA4)+(AD4-AC4)+(AF4-AE4)</f>
        <v>0</v>
      </c>
      <c r="AH4" s="47">
        <f t="shared" ref="AH4:AH34" si="3">HOUR(AG4)</f>
        <v>0</v>
      </c>
      <c r="AI4" s="47">
        <f t="shared" ref="AI4:AI34" si="4">MINUTE(AG4)/60</f>
        <v>0</v>
      </c>
      <c r="AJ4" s="48">
        <f t="shared" ref="AJ4:AJ34" si="5">AH4+AI4</f>
        <v>0</v>
      </c>
      <c r="AL4" s="54">
        <f t="shared" ref="AL4:AL35" si="6">SUM(C4:Q4)-AJ4</f>
        <v>0</v>
      </c>
    </row>
    <row r="5" spans="1:38" ht="13.5" customHeight="1">
      <c r="A5" s="56">
        <f t="shared" ref="A5:A34" si="7">A4+1</f>
        <v>46358</v>
      </c>
      <c r="B5" s="59" t="str">
        <f>IFERROR(VLOOKUP(A5, Feiertage!$B:$C, 2, 0), IF(OR(WEEKDAY(A5,2)=6, WEEKDAY(A5,2)=7), Feiertage!$C$23, ""))</f>
        <v/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61">
        <f>IF(OR(WEEKDAY(A5,2)=6,WEEKDAY(A5,2)=7),0,IFERROR(IF(VLOOKUP(A5,Feiertage!$B:$D,3,0)="ja",0,Summen!$B$9),Summen!$B$9))</f>
        <v>8.4</v>
      </c>
      <c r="S5" s="62">
        <f t="shared" si="0"/>
        <v>0</v>
      </c>
      <c r="T5" s="62">
        <f t="shared" si="1"/>
        <v>-8.4</v>
      </c>
      <c r="U5" s="63">
        <f t="shared" ref="U5:U34" si="8">U4+T5</f>
        <v>-651.15999999999906</v>
      </c>
      <c r="V5" s="59"/>
      <c r="W5" s="64"/>
      <c r="X5" s="65">
        <f>V5+W5*Summen!$B$44</f>
        <v>0</v>
      </c>
      <c r="Y5" s="168"/>
      <c r="Z5" s="169"/>
      <c r="AA5" s="169"/>
      <c r="AB5" s="169"/>
      <c r="AC5" s="169"/>
      <c r="AD5" s="169"/>
      <c r="AE5" s="169"/>
      <c r="AF5" s="169"/>
      <c r="AG5" s="69">
        <f t="shared" si="2"/>
        <v>0</v>
      </c>
      <c r="AH5" s="62">
        <f t="shared" si="3"/>
        <v>0</v>
      </c>
      <c r="AI5" s="62">
        <f t="shared" si="4"/>
        <v>0</v>
      </c>
      <c r="AJ5" s="63">
        <f t="shared" si="5"/>
        <v>0</v>
      </c>
      <c r="AL5" s="54">
        <f t="shared" si="6"/>
        <v>0</v>
      </c>
    </row>
    <row r="6" spans="1:38" ht="13.5" customHeight="1">
      <c r="A6" s="56">
        <f t="shared" si="7"/>
        <v>46359</v>
      </c>
      <c r="B6" s="45" t="str">
        <f>IFERROR(VLOOKUP(A6, Feiertage!$B:$C, 2, 0), IF(OR(WEEKDAY(A6,2)=6, WEEKDAY(A6,2)=7), Feiertage!$C$23, ""))</f>
        <v/>
      </c>
      <c r="C6" s="45"/>
      <c r="D6" s="45"/>
      <c r="E6" s="45"/>
      <c r="F6" s="45"/>
      <c r="G6" s="45"/>
      <c r="H6" s="45"/>
      <c r="I6" s="45"/>
      <c r="J6" s="45"/>
      <c r="K6" s="174"/>
      <c r="L6" s="45"/>
      <c r="M6" s="45"/>
      <c r="N6" s="45"/>
      <c r="O6" s="45"/>
      <c r="P6" s="45"/>
      <c r="Q6" s="46"/>
      <c r="R6" s="61">
        <f>IF(OR(WEEKDAY(A6,2)=6,WEEKDAY(A6,2)=7),0,IFERROR(IF(VLOOKUP(A6,Feiertage!$B:$D,3,0)="ja",0,Summen!$B$9),Summen!$B$9))</f>
        <v>8.4</v>
      </c>
      <c r="S6" s="62">
        <f t="shared" si="0"/>
        <v>0</v>
      </c>
      <c r="T6" s="62">
        <f t="shared" si="1"/>
        <v>-8.4</v>
      </c>
      <c r="U6" s="63">
        <f t="shared" si="8"/>
        <v>-659.55999999999904</v>
      </c>
      <c r="V6" s="45"/>
      <c r="W6" s="49"/>
      <c r="X6" s="65">
        <f>V6+W6*Summen!$B$44</f>
        <v>0</v>
      </c>
      <c r="Y6" s="170"/>
      <c r="Z6" s="171"/>
      <c r="AA6" s="171"/>
      <c r="AB6" s="171"/>
      <c r="AC6" s="171"/>
      <c r="AD6" s="171"/>
      <c r="AE6" s="171"/>
      <c r="AF6" s="171"/>
      <c r="AG6" s="69">
        <f t="shared" si="2"/>
        <v>0</v>
      </c>
      <c r="AH6" s="62">
        <f t="shared" si="3"/>
        <v>0</v>
      </c>
      <c r="AI6" s="62">
        <f t="shared" si="4"/>
        <v>0</v>
      </c>
      <c r="AJ6" s="63">
        <f t="shared" si="5"/>
        <v>0</v>
      </c>
      <c r="AL6" s="54">
        <f t="shared" si="6"/>
        <v>0</v>
      </c>
    </row>
    <row r="7" spans="1:38" ht="13.5" customHeight="1">
      <c r="A7" s="56">
        <f t="shared" si="7"/>
        <v>46360</v>
      </c>
      <c r="B7" s="59" t="str">
        <f>IFERROR(VLOOKUP(A7, Feiertage!$B:$C, 2, 0), IF(OR(WEEKDAY(A7,2)=6, WEEKDAY(A7,2)=7), Feiertage!$C$23, ""))</f>
        <v/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R7" s="61">
        <f>IF(OR(WEEKDAY(A7,2)=6,WEEKDAY(A7,2)=7),0,IFERROR(IF(VLOOKUP(A7,Feiertage!$B:$D,3,0)="ja",0,Summen!$B$9),Summen!$B$9))</f>
        <v>8.4</v>
      </c>
      <c r="S7" s="62">
        <f t="shared" si="0"/>
        <v>0</v>
      </c>
      <c r="T7" s="62">
        <f t="shared" si="1"/>
        <v>-8.4</v>
      </c>
      <c r="U7" s="63">
        <f t="shared" si="8"/>
        <v>-667.95999999999901</v>
      </c>
      <c r="V7" s="59"/>
      <c r="W7" s="64"/>
      <c r="X7" s="65">
        <f>V7+W7*Summen!$B$44</f>
        <v>0</v>
      </c>
      <c r="Y7" s="168"/>
      <c r="Z7" s="169"/>
      <c r="AA7" s="169"/>
      <c r="AB7" s="169"/>
      <c r="AC7" s="169"/>
      <c r="AD7" s="169"/>
      <c r="AE7" s="169"/>
      <c r="AF7" s="169"/>
      <c r="AG7" s="69">
        <f t="shared" si="2"/>
        <v>0</v>
      </c>
      <c r="AH7" s="62">
        <f t="shared" si="3"/>
        <v>0</v>
      </c>
      <c r="AI7" s="62">
        <f t="shared" si="4"/>
        <v>0</v>
      </c>
      <c r="AJ7" s="63">
        <f t="shared" si="5"/>
        <v>0</v>
      </c>
      <c r="AL7" s="54">
        <f t="shared" si="6"/>
        <v>0</v>
      </c>
    </row>
    <row r="8" spans="1:38" ht="13.5" customHeight="1">
      <c r="A8" s="56">
        <f t="shared" si="7"/>
        <v>46361</v>
      </c>
      <c r="B8" s="45" t="str">
        <f>IFERROR(VLOOKUP(A8, Feiertage!$B:$C, 2, 0), IF(OR(WEEKDAY(A8,2)=6, WEEKDAY(A8,2)=7), Feiertage!$C$23, ""))</f>
        <v>* * * * * * * * Wochenende * * * * * * * * * * * * * * * * * * * * * * * * * * * * * * * * * * * * * * * * * * * * * * * *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61">
        <f>IF(OR(WEEKDAY(A8,2)=6,WEEKDAY(A8,2)=7),0,IFERROR(IF(VLOOKUP(A8,Feiertage!$B:$D,3,0)="ja",0,Summen!$B$9),Summen!$B$9))</f>
        <v>0</v>
      </c>
      <c r="S8" s="62">
        <f t="shared" si="0"/>
        <v>0</v>
      </c>
      <c r="T8" s="62">
        <f t="shared" si="1"/>
        <v>0</v>
      </c>
      <c r="U8" s="63">
        <f t="shared" si="8"/>
        <v>-667.95999999999901</v>
      </c>
      <c r="V8" s="45"/>
      <c r="W8" s="49"/>
      <c r="X8" s="65">
        <f>V8+W8*Summen!$B$44</f>
        <v>0</v>
      </c>
      <c r="Y8" s="170"/>
      <c r="Z8" s="171"/>
      <c r="AA8" s="171"/>
      <c r="AB8" s="171"/>
      <c r="AC8" s="171"/>
      <c r="AD8" s="171"/>
      <c r="AE8" s="171"/>
      <c r="AF8" s="171"/>
      <c r="AG8" s="69">
        <f t="shared" si="2"/>
        <v>0</v>
      </c>
      <c r="AH8" s="62">
        <f t="shared" si="3"/>
        <v>0</v>
      </c>
      <c r="AI8" s="62">
        <f t="shared" si="4"/>
        <v>0</v>
      </c>
      <c r="AJ8" s="63">
        <f t="shared" si="5"/>
        <v>0</v>
      </c>
      <c r="AL8" s="54">
        <f t="shared" si="6"/>
        <v>0</v>
      </c>
    </row>
    <row r="9" spans="1:38" ht="13.5" customHeight="1">
      <c r="A9" s="56">
        <f t="shared" si="7"/>
        <v>46362</v>
      </c>
      <c r="B9" s="59" t="str">
        <f>IFERROR(VLOOKUP(A9, Feiertage!$B:$C, 2, 0), IF(OR(WEEKDAY(A9,2)=6, WEEKDAY(A9,2)=7), Feiertage!$C$23, ""))</f>
        <v>* * * * * * * * Wochenende * * * * * * * * * * * * * * * * * * * * * * * * * * * * * * * * * * * * * * * * * * * * * * * *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  <c r="R9" s="61">
        <f>IF(OR(WEEKDAY(A9,2)=6,WEEKDAY(A9,2)=7),0,IFERROR(IF(VLOOKUP(A9,Feiertage!$B:$D,3,0)="ja",0,Summen!$B$9),Summen!$B$9))</f>
        <v>0</v>
      </c>
      <c r="S9" s="62">
        <f t="shared" si="0"/>
        <v>0</v>
      </c>
      <c r="T9" s="62">
        <f t="shared" si="1"/>
        <v>0</v>
      </c>
      <c r="U9" s="63">
        <f t="shared" si="8"/>
        <v>-667.95999999999901</v>
      </c>
      <c r="V9" s="59"/>
      <c r="W9" s="64"/>
      <c r="X9" s="65">
        <f>V9+W9*Summen!$B$44</f>
        <v>0</v>
      </c>
      <c r="Y9" s="168"/>
      <c r="Z9" s="169"/>
      <c r="AA9" s="169"/>
      <c r="AB9" s="169"/>
      <c r="AC9" s="169"/>
      <c r="AD9" s="169"/>
      <c r="AE9" s="169"/>
      <c r="AF9" s="169"/>
      <c r="AG9" s="69">
        <f t="shared" si="2"/>
        <v>0</v>
      </c>
      <c r="AH9" s="62">
        <f t="shared" si="3"/>
        <v>0</v>
      </c>
      <c r="AI9" s="62">
        <f t="shared" si="4"/>
        <v>0</v>
      </c>
      <c r="AJ9" s="63">
        <f t="shared" si="5"/>
        <v>0</v>
      </c>
      <c r="AL9" s="54">
        <f t="shared" si="6"/>
        <v>0</v>
      </c>
    </row>
    <row r="10" spans="1:38" ht="13.5" customHeight="1">
      <c r="A10" s="56">
        <f t="shared" si="7"/>
        <v>46363</v>
      </c>
      <c r="B10" s="45" t="str">
        <f>IFERROR(VLOOKUP(A10, Feiertage!$B:$C, 2, 0), IF(OR(WEEKDAY(A10,2)=6, WEEKDAY(A10,2)=7), Feiertage!$C$23, ""))</f>
        <v/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61">
        <f>IF(OR(WEEKDAY(A10,2)=6,WEEKDAY(A10,2)=7),0,IFERROR(IF(VLOOKUP(A10,Feiertage!$B:$D,3,0)="ja",0,Summen!$B$9),Summen!$B$9))</f>
        <v>8.4</v>
      </c>
      <c r="S10" s="62">
        <f t="shared" si="0"/>
        <v>0</v>
      </c>
      <c r="T10" s="62">
        <f t="shared" si="1"/>
        <v>-8.4</v>
      </c>
      <c r="U10" s="63">
        <f t="shared" si="8"/>
        <v>-676.35999999999899</v>
      </c>
      <c r="V10" s="45"/>
      <c r="W10" s="49"/>
      <c r="X10" s="65">
        <f>V10+W10*Summen!$B$44</f>
        <v>0</v>
      </c>
      <c r="Y10" s="170"/>
      <c r="Z10" s="171"/>
      <c r="AA10" s="171"/>
      <c r="AB10" s="171"/>
      <c r="AC10" s="171"/>
      <c r="AD10" s="171"/>
      <c r="AE10" s="171"/>
      <c r="AF10" s="171"/>
      <c r="AG10" s="69">
        <f t="shared" si="2"/>
        <v>0</v>
      </c>
      <c r="AH10" s="62">
        <f t="shared" si="3"/>
        <v>0</v>
      </c>
      <c r="AI10" s="62">
        <f t="shared" si="4"/>
        <v>0</v>
      </c>
      <c r="AJ10" s="63">
        <f t="shared" si="5"/>
        <v>0</v>
      </c>
      <c r="AL10" s="54">
        <f t="shared" si="6"/>
        <v>0</v>
      </c>
    </row>
    <row r="11" spans="1:38" ht="13.5" customHeight="1">
      <c r="A11" s="56">
        <f t="shared" si="7"/>
        <v>46364</v>
      </c>
      <c r="B11" s="59" t="str">
        <f>IFERROR(VLOOKUP(A11, Feiertage!$B:$C, 2, 0), IF(OR(WEEKDAY(A11,2)=6, WEEKDAY(A11,2)=7), Feiertage!$C$23, ""))</f>
        <v xml:space="preserve">* * * * * * * * Maria Empfängnis * * * * * * * * * * * * * * * * * * * * * * * * * * * * * * * * * * * * * * * * * * * * * 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  <c r="R11" s="61">
        <f>IF(OR(WEEKDAY(A11,2)=6,WEEKDAY(A11,2)=7),0,IFERROR(IF(VLOOKUP(A11,Feiertage!$B:$D,3,0)="ja",0,Summen!$B$9),Summen!$B$9))</f>
        <v>0</v>
      </c>
      <c r="S11" s="62">
        <f t="shared" si="0"/>
        <v>0</v>
      </c>
      <c r="T11" s="62">
        <f t="shared" si="1"/>
        <v>0</v>
      </c>
      <c r="U11" s="63">
        <f t="shared" si="8"/>
        <v>-676.35999999999899</v>
      </c>
      <c r="V11" s="59"/>
      <c r="W11" s="64"/>
      <c r="X11" s="65">
        <f>V11+W11*Summen!$B$44</f>
        <v>0</v>
      </c>
      <c r="Y11" s="168"/>
      <c r="Z11" s="169"/>
      <c r="AA11" s="169"/>
      <c r="AB11" s="169"/>
      <c r="AC11" s="169"/>
      <c r="AD11" s="169"/>
      <c r="AE11" s="169"/>
      <c r="AF11" s="169"/>
      <c r="AG11" s="69">
        <f t="shared" si="2"/>
        <v>0</v>
      </c>
      <c r="AH11" s="62">
        <f t="shared" si="3"/>
        <v>0</v>
      </c>
      <c r="AI11" s="62">
        <f t="shared" si="4"/>
        <v>0</v>
      </c>
      <c r="AJ11" s="63">
        <f t="shared" si="5"/>
        <v>0</v>
      </c>
      <c r="AL11" s="54">
        <f t="shared" si="6"/>
        <v>0</v>
      </c>
    </row>
    <row r="12" spans="1:38" ht="13.5" customHeight="1">
      <c r="A12" s="56">
        <f t="shared" si="7"/>
        <v>46365</v>
      </c>
      <c r="B12" s="45" t="str">
        <f>IFERROR(VLOOKUP(A12, Feiertage!$B:$C, 2, 0), IF(OR(WEEKDAY(A12,2)=6, WEEKDAY(A12,2)=7), Feiertage!$C$23, ""))</f>
        <v/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61">
        <f>IF(OR(WEEKDAY(A12,2)=6,WEEKDAY(A12,2)=7),0,IFERROR(IF(VLOOKUP(A12,Feiertage!$B:$D,3,0)="ja",0,Summen!$B$9),Summen!$B$9))</f>
        <v>8.4</v>
      </c>
      <c r="S12" s="62">
        <f t="shared" si="0"/>
        <v>0</v>
      </c>
      <c r="T12" s="62">
        <f t="shared" si="1"/>
        <v>-8.4</v>
      </c>
      <c r="U12" s="63">
        <f t="shared" si="8"/>
        <v>-684.75999999999897</v>
      </c>
      <c r="V12" s="45"/>
      <c r="W12" s="49"/>
      <c r="X12" s="65">
        <f>V12+W12*Summen!$B$44</f>
        <v>0</v>
      </c>
      <c r="Y12" s="170"/>
      <c r="Z12" s="171"/>
      <c r="AA12" s="171"/>
      <c r="AB12" s="171"/>
      <c r="AC12" s="171"/>
      <c r="AD12" s="171"/>
      <c r="AE12" s="171"/>
      <c r="AF12" s="171"/>
      <c r="AG12" s="69">
        <f t="shared" si="2"/>
        <v>0</v>
      </c>
      <c r="AH12" s="62">
        <f t="shared" si="3"/>
        <v>0</v>
      </c>
      <c r="AI12" s="62">
        <f t="shared" si="4"/>
        <v>0</v>
      </c>
      <c r="AJ12" s="63">
        <f t="shared" si="5"/>
        <v>0</v>
      </c>
      <c r="AL12" s="54">
        <f t="shared" si="6"/>
        <v>0</v>
      </c>
    </row>
    <row r="13" spans="1:38" ht="13.5" customHeight="1">
      <c r="A13" s="56">
        <f t="shared" si="7"/>
        <v>46366</v>
      </c>
      <c r="B13" s="59" t="str">
        <f>IFERROR(VLOOKUP(A13, Feiertage!$B:$C, 2, 0), IF(OR(WEEKDAY(A13,2)=6, WEEKDAY(A13,2)=7), Feiertage!$C$23, ""))</f>
        <v/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61">
        <f>IF(OR(WEEKDAY(A13,2)=6,WEEKDAY(A13,2)=7),0,IFERROR(IF(VLOOKUP(A13,Feiertage!$B:$D,3,0)="ja",0,Summen!$B$9),Summen!$B$9))</f>
        <v>8.4</v>
      </c>
      <c r="S13" s="62">
        <f t="shared" si="0"/>
        <v>0</v>
      </c>
      <c r="T13" s="62">
        <f t="shared" si="1"/>
        <v>-8.4</v>
      </c>
      <c r="U13" s="63">
        <f t="shared" si="8"/>
        <v>-693.15999999999894</v>
      </c>
      <c r="V13" s="59"/>
      <c r="W13" s="64"/>
      <c r="X13" s="65">
        <f>V13+W13*Summen!$B$44</f>
        <v>0</v>
      </c>
      <c r="Y13" s="168"/>
      <c r="Z13" s="169"/>
      <c r="AA13" s="169"/>
      <c r="AB13" s="169"/>
      <c r="AC13" s="169"/>
      <c r="AD13" s="169"/>
      <c r="AE13" s="169"/>
      <c r="AF13" s="169"/>
      <c r="AG13" s="69">
        <f t="shared" si="2"/>
        <v>0</v>
      </c>
      <c r="AH13" s="62">
        <f t="shared" si="3"/>
        <v>0</v>
      </c>
      <c r="AI13" s="62">
        <f t="shared" si="4"/>
        <v>0</v>
      </c>
      <c r="AJ13" s="63">
        <f t="shared" si="5"/>
        <v>0</v>
      </c>
      <c r="AL13" s="54">
        <f t="shared" si="6"/>
        <v>0</v>
      </c>
    </row>
    <row r="14" spans="1:38" ht="13.5" customHeight="1">
      <c r="A14" s="56">
        <f t="shared" si="7"/>
        <v>46367</v>
      </c>
      <c r="B14" s="45" t="str">
        <f>IFERROR(VLOOKUP(A14, Feiertage!$B:$C, 2, 0), IF(OR(WEEKDAY(A14,2)=6, WEEKDAY(A14,2)=7), Feiertage!$C$23, ""))</f>
        <v/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61">
        <f>IF(OR(WEEKDAY(A14,2)=6,WEEKDAY(A14,2)=7),0,IFERROR(IF(VLOOKUP(A14,Feiertage!$B:$D,3,0)="ja",0,Summen!$B$9),Summen!$B$9))</f>
        <v>8.4</v>
      </c>
      <c r="S14" s="62">
        <f t="shared" si="0"/>
        <v>0</v>
      </c>
      <c r="T14" s="62">
        <f t="shared" si="1"/>
        <v>-8.4</v>
      </c>
      <c r="U14" s="63">
        <f t="shared" si="8"/>
        <v>-701.55999999999892</v>
      </c>
      <c r="V14" s="45"/>
      <c r="W14" s="49"/>
      <c r="X14" s="65">
        <f>V14+W14*Summen!$B$44</f>
        <v>0</v>
      </c>
      <c r="Y14" s="170"/>
      <c r="Z14" s="171"/>
      <c r="AA14" s="171"/>
      <c r="AB14" s="171"/>
      <c r="AC14" s="171"/>
      <c r="AD14" s="171"/>
      <c r="AE14" s="171"/>
      <c r="AF14" s="171"/>
      <c r="AG14" s="69">
        <f t="shared" si="2"/>
        <v>0</v>
      </c>
      <c r="AH14" s="62">
        <f t="shared" si="3"/>
        <v>0</v>
      </c>
      <c r="AI14" s="62">
        <f t="shared" si="4"/>
        <v>0</v>
      </c>
      <c r="AJ14" s="63">
        <f t="shared" si="5"/>
        <v>0</v>
      </c>
      <c r="AL14" s="54">
        <f t="shared" si="6"/>
        <v>0</v>
      </c>
    </row>
    <row r="15" spans="1:38" ht="13.5" customHeight="1">
      <c r="A15" s="56">
        <f t="shared" si="7"/>
        <v>46368</v>
      </c>
      <c r="B15" s="59" t="str">
        <f>IFERROR(VLOOKUP(A15, Feiertage!$B:$C, 2, 0), IF(OR(WEEKDAY(A15,2)=6, WEEKDAY(A15,2)=7), Feiertage!$C$23, ""))</f>
        <v>* * * * * * * * Wochenende * * * * * * * * * * * * * * * * * * * * * * * * * * * * * * * * * * * * * * * * * * * * * * * *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1">
        <f>IF(OR(WEEKDAY(A15,2)=6,WEEKDAY(A15,2)=7),0,IFERROR(IF(VLOOKUP(A15,Feiertage!$B:$D,3,0)="ja",0,Summen!$B$9),Summen!$B$9))</f>
        <v>0</v>
      </c>
      <c r="S15" s="62">
        <f t="shared" si="0"/>
        <v>0</v>
      </c>
      <c r="T15" s="62">
        <f t="shared" si="1"/>
        <v>0</v>
      </c>
      <c r="U15" s="63">
        <f t="shared" si="8"/>
        <v>-701.55999999999892</v>
      </c>
      <c r="V15" s="59"/>
      <c r="W15" s="64"/>
      <c r="X15" s="65">
        <f>V15+W15*Summen!$B$44</f>
        <v>0</v>
      </c>
      <c r="Y15" s="168"/>
      <c r="Z15" s="169"/>
      <c r="AA15" s="169"/>
      <c r="AB15" s="169"/>
      <c r="AC15" s="169"/>
      <c r="AD15" s="169"/>
      <c r="AE15" s="169"/>
      <c r="AF15" s="169"/>
      <c r="AG15" s="69">
        <f t="shared" si="2"/>
        <v>0</v>
      </c>
      <c r="AH15" s="62">
        <f t="shared" si="3"/>
        <v>0</v>
      </c>
      <c r="AI15" s="62">
        <f t="shared" si="4"/>
        <v>0</v>
      </c>
      <c r="AJ15" s="63">
        <f t="shared" si="5"/>
        <v>0</v>
      </c>
      <c r="AL15" s="54">
        <f t="shared" si="6"/>
        <v>0</v>
      </c>
    </row>
    <row r="16" spans="1:38" ht="13.5" customHeight="1">
      <c r="A16" s="56">
        <f t="shared" si="7"/>
        <v>46369</v>
      </c>
      <c r="B16" s="45" t="str">
        <f>IFERROR(VLOOKUP(A16, Feiertage!$B:$C, 2, 0), IF(OR(WEEKDAY(A16,2)=6, WEEKDAY(A16,2)=7), Feiertage!$C$23, ""))</f>
        <v>* * * * * * * * Wochenende * * * * * * * * * * * * * * * * * * * * * * * * * * * * * * * * * * * * * * * * * * * * * * * *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1">
        <f>IF(OR(WEEKDAY(A16,2)=6,WEEKDAY(A16,2)=7),0,IFERROR(IF(VLOOKUP(A16,Feiertage!$B:$D,3,0)="ja",0,Summen!$B$9),Summen!$B$9))</f>
        <v>0</v>
      </c>
      <c r="S16" s="62">
        <f t="shared" si="0"/>
        <v>0</v>
      </c>
      <c r="T16" s="62">
        <f t="shared" si="1"/>
        <v>0</v>
      </c>
      <c r="U16" s="63">
        <f t="shared" si="8"/>
        <v>-701.55999999999892</v>
      </c>
      <c r="V16" s="45"/>
      <c r="W16" s="49"/>
      <c r="X16" s="65">
        <f>V16+W16*Summen!$B$44</f>
        <v>0</v>
      </c>
      <c r="Y16" s="170"/>
      <c r="Z16" s="171"/>
      <c r="AA16" s="171"/>
      <c r="AB16" s="171"/>
      <c r="AC16" s="171"/>
      <c r="AD16" s="171"/>
      <c r="AE16" s="171"/>
      <c r="AF16" s="171"/>
      <c r="AG16" s="69">
        <f t="shared" si="2"/>
        <v>0</v>
      </c>
      <c r="AH16" s="62">
        <f t="shared" si="3"/>
        <v>0</v>
      </c>
      <c r="AI16" s="62">
        <f t="shared" si="4"/>
        <v>0</v>
      </c>
      <c r="AJ16" s="63">
        <f t="shared" si="5"/>
        <v>0</v>
      </c>
      <c r="AL16" s="54">
        <f t="shared" si="6"/>
        <v>0</v>
      </c>
    </row>
    <row r="17" spans="1:38" ht="13.5" customHeight="1">
      <c r="A17" s="56">
        <f t="shared" si="7"/>
        <v>46370</v>
      </c>
      <c r="B17" s="59" t="str">
        <f>IFERROR(VLOOKUP(A17, Feiertage!$B:$C, 2, 0), IF(OR(WEEKDAY(A17,2)=6, WEEKDAY(A17,2)=7), Feiertage!$C$23, ""))</f>
        <v/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R17" s="61">
        <f>IF(OR(WEEKDAY(A17,2)=6,WEEKDAY(A17,2)=7),0,IFERROR(IF(VLOOKUP(A17,Feiertage!$B:$D,3,0)="ja",0,Summen!$B$9),Summen!$B$9))</f>
        <v>8.4</v>
      </c>
      <c r="S17" s="62">
        <f t="shared" si="0"/>
        <v>0</v>
      </c>
      <c r="T17" s="62">
        <f t="shared" si="1"/>
        <v>-8.4</v>
      </c>
      <c r="U17" s="63">
        <f t="shared" si="8"/>
        <v>-709.9599999999989</v>
      </c>
      <c r="V17" s="59"/>
      <c r="W17" s="64"/>
      <c r="X17" s="65">
        <f>V17+W17*Summen!$B$44</f>
        <v>0</v>
      </c>
      <c r="Y17" s="168"/>
      <c r="Z17" s="169"/>
      <c r="AA17" s="169"/>
      <c r="AB17" s="169"/>
      <c r="AC17" s="169"/>
      <c r="AD17" s="169"/>
      <c r="AE17" s="169"/>
      <c r="AF17" s="169"/>
      <c r="AG17" s="69">
        <f t="shared" si="2"/>
        <v>0</v>
      </c>
      <c r="AH17" s="62">
        <f t="shared" si="3"/>
        <v>0</v>
      </c>
      <c r="AI17" s="62">
        <f t="shared" si="4"/>
        <v>0</v>
      </c>
      <c r="AJ17" s="63">
        <f t="shared" si="5"/>
        <v>0</v>
      </c>
      <c r="AL17" s="54">
        <f t="shared" si="6"/>
        <v>0</v>
      </c>
    </row>
    <row r="18" spans="1:38" ht="13.5" customHeight="1">
      <c r="A18" s="56">
        <f t="shared" si="7"/>
        <v>46371</v>
      </c>
      <c r="B18" s="45" t="str">
        <f>IFERROR(VLOOKUP(A18, Feiertage!$B:$C, 2, 0), IF(OR(WEEKDAY(A18,2)=6, WEEKDAY(A18,2)=7), Feiertage!$C$23, ""))</f>
        <v/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1">
        <f>IF(OR(WEEKDAY(A18,2)=6,WEEKDAY(A18,2)=7),0,IFERROR(IF(VLOOKUP(A18,Feiertage!$B:$D,3,0)="ja",0,Summen!$B$9),Summen!$B$9))</f>
        <v>8.4</v>
      </c>
      <c r="S18" s="62">
        <f t="shared" si="0"/>
        <v>0</v>
      </c>
      <c r="T18" s="62">
        <f t="shared" si="1"/>
        <v>-8.4</v>
      </c>
      <c r="U18" s="63">
        <f t="shared" si="8"/>
        <v>-718.35999999999888</v>
      </c>
      <c r="V18" s="45"/>
      <c r="W18" s="49"/>
      <c r="X18" s="65">
        <f>V18+W18*Summen!$B$44</f>
        <v>0</v>
      </c>
      <c r="Y18" s="170"/>
      <c r="Z18" s="171"/>
      <c r="AA18" s="171"/>
      <c r="AB18" s="171"/>
      <c r="AC18" s="171"/>
      <c r="AD18" s="171"/>
      <c r="AE18" s="171"/>
      <c r="AF18" s="171"/>
      <c r="AG18" s="69">
        <f t="shared" si="2"/>
        <v>0</v>
      </c>
      <c r="AH18" s="62">
        <f t="shared" si="3"/>
        <v>0</v>
      </c>
      <c r="AI18" s="62">
        <f t="shared" si="4"/>
        <v>0</v>
      </c>
      <c r="AJ18" s="63">
        <f t="shared" si="5"/>
        <v>0</v>
      </c>
      <c r="AL18" s="54">
        <f t="shared" si="6"/>
        <v>0</v>
      </c>
    </row>
    <row r="19" spans="1:38" ht="13.5" customHeight="1">
      <c r="A19" s="56">
        <f t="shared" si="7"/>
        <v>46372</v>
      </c>
      <c r="B19" s="59" t="str">
        <f>IFERROR(VLOOKUP(A19, Feiertage!$B:$C, 2, 0), IF(OR(WEEKDAY(A19,2)=6, WEEKDAY(A19,2)=7), Feiertage!$C$23, ""))</f>
        <v/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R19" s="61">
        <f>IF(OR(WEEKDAY(A19,2)=6,WEEKDAY(A19,2)=7),0,IFERROR(IF(VLOOKUP(A19,Feiertage!$B:$D,3,0)="ja",0,Summen!$B$9),Summen!$B$9))</f>
        <v>8.4</v>
      </c>
      <c r="S19" s="62">
        <f t="shared" si="0"/>
        <v>0</v>
      </c>
      <c r="T19" s="62">
        <f t="shared" si="1"/>
        <v>-8.4</v>
      </c>
      <c r="U19" s="63">
        <f t="shared" si="8"/>
        <v>-726.75999999999885</v>
      </c>
      <c r="V19" s="59"/>
      <c r="W19" s="64"/>
      <c r="X19" s="65">
        <f>V19+W19*Summen!$B$44</f>
        <v>0</v>
      </c>
      <c r="Y19" s="168"/>
      <c r="Z19" s="169"/>
      <c r="AA19" s="169"/>
      <c r="AB19" s="169"/>
      <c r="AC19" s="169"/>
      <c r="AD19" s="169"/>
      <c r="AE19" s="169"/>
      <c r="AF19" s="169"/>
      <c r="AG19" s="69">
        <f t="shared" si="2"/>
        <v>0</v>
      </c>
      <c r="AH19" s="62">
        <f t="shared" si="3"/>
        <v>0</v>
      </c>
      <c r="AI19" s="62">
        <f t="shared" si="4"/>
        <v>0</v>
      </c>
      <c r="AJ19" s="63">
        <f t="shared" si="5"/>
        <v>0</v>
      </c>
      <c r="AL19" s="54">
        <f t="shared" si="6"/>
        <v>0</v>
      </c>
    </row>
    <row r="20" spans="1:38" ht="13.5" customHeight="1">
      <c r="A20" s="56">
        <f t="shared" si="7"/>
        <v>46373</v>
      </c>
      <c r="B20" s="45" t="str">
        <f>IFERROR(VLOOKUP(A20, Feiertage!$B:$C, 2, 0), IF(OR(WEEKDAY(A20,2)=6, WEEKDAY(A20,2)=7), Feiertage!$C$23, ""))</f>
        <v/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61">
        <f>IF(OR(WEEKDAY(A20,2)=6,WEEKDAY(A20,2)=7),0,IFERROR(IF(VLOOKUP(A20,Feiertage!$B:$D,3,0)="ja",0,Summen!$B$9),Summen!$B$9))</f>
        <v>8.4</v>
      </c>
      <c r="S20" s="62">
        <f t="shared" si="0"/>
        <v>0</v>
      </c>
      <c r="T20" s="62">
        <f t="shared" si="1"/>
        <v>-8.4</v>
      </c>
      <c r="U20" s="63">
        <f t="shared" si="8"/>
        <v>-735.15999999999883</v>
      </c>
      <c r="V20" s="45"/>
      <c r="W20" s="49"/>
      <c r="X20" s="65">
        <f>V20+W20*Summen!$B$44</f>
        <v>0</v>
      </c>
      <c r="Y20" s="170"/>
      <c r="Z20" s="171"/>
      <c r="AA20" s="171"/>
      <c r="AB20" s="171"/>
      <c r="AC20" s="171"/>
      <c r="AD20" s="171"/>
      <c r="AE20" s="171"/>
      <c r="AF20" s="171"/>
      <c r="AG20" s="69">
        <f t="shared" si="2"/>
        <v>0</v>
      </c>
      <c r="AH20" s="62">
        <f t="shared" si="3"/>
        <v>0</v>
      </c>
      <c r="AI20" s="62">
        <f t="shared" si="4"/>
        <v>0</v>
      </c>
      <c r="AJ20" s="63">
        <f t="shared" si="5"/>
        <v>0</v>
      </c>
      <c r="AL20" s="54">
        <f t="shared" si="6"/>
        <v>0</v>
      </c>
    </row>
    <row r="21" spans="1:38" ht="13.5" customHeight="1">
      <c r="A21" s="56">
        <f t="shared" si="7"/>
        <v>46374</v>
      </c>
      <c r="B21" s="59" t="str">
        <f>IFERROR(VLOOKUP(A21, Feiertage!$B:$C, 2, 0), IF(OR(WEEKDAY(A21,2)=6, WEEKDAY(A21,2)=7), Feiertage!$C$23, ""))</f>
        <v/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1">
        <f>IF(OR(WEEKDAY(A21,2)=6,WEEKDAY(A21,2)=7),0,IFERROR(IF(VLOOKUP(A21,Feiertage!$B:$D,3,0)="ja",0,Summen!$B$9),Summen!$B$9))</f>
        <v>8.4</v>
      </c>
      <c r="S21" s="62">
        <f t="shared" si="0"/>
        <v>0</v>
      </c>
      <c r="T21" s="62">
        <f t="shared" si="1"/>
        <v>-8.4</v>
      </c>
      <c r="U21" s="63">
        <f t="shared" si="8"/>
        <v>-743.55999999999881</v>
      </c>
      <c r="V21" s="59"/>
      <c r="W21" s="64"/>
      <c r="X21" s="65">
        <f>V21+W21*Summen!$B$44</f>
        <v>0</v>
      </c>
      <c r="Y21" s="168"/>
      <c r="Z21" s="169"/>
      <c r="AA21" s="169"/>
      <c r="AB21" s="169"/>
      <c r="AC21" s="169"/>
      <c r="AD21" s="169"/>
      <c r="AE21" s="169"/>
      <c r="AF21" s="169"/>
      <c r="AG21" s="69">
        <f t="shared" si="2"/>
        <v>0</v>
      </c>
      <c r="AH21" s="62">
        <f t="shared" si="3"/>
        <v>0</v>
      </c>
      <c r="AI21" s="62">
        <f t="shared" si="4"/>
        <v>0</v>
      </c>
      <c r="AJ21" s="63">
        <f t="shared" si="5"/>
        <v>0</v>
      </c>
      <c r="AL21" s="54">
        <f t="shared" si="6"/>
        <v>0</v>
      </c>
    </row>
    <row r="22" spans="1:38" ht="13.5" customHeight="1">
      <c r="A22" s="56">
        <f t="shared" si="7"/>
        <v>46375</v>
      </c>
      <c r="B22" s="45" t="str">
        <f>IFERROR(VLOOKUP(A22, Feiertage!$B:$C, 2, 0), IF(OR(WEEKDAY(A22,2)=6, WEEKDAY(A22,2)=7), Feiertage!$C$23, ""))</f>
        <v>* * * * * * * * Wochenende * * * * * * * * * * * * * * * * * * * * * * * * * * * * * * * * * * * * * * * * * * * * * * * *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61">
        <f>IF(OR(WEEKDAY(A22,2)=6,WEEKDAY(A22,2)=7),0,IFERROR(IF(VLOOKUP(A22,Feiertage!$B:$D,3,0)="ja",0,Summen!$B$9),Summen!$B$9))</f>
        <v>0</v>
      </c>
      <c r="S22" s="62">
        <f t="shared" si="0"/>
        <v>0</v>
      </c>
      <c r="T22" s="62">
        <f t="shared" si="1"/>
        <v>0</v>
      </c>
      <c r="U22" s="63">
        <f t="shared" si="8"/>
        <v>-743.55999999999881</v>
      </c>
      <c r="V22" s="45"/>
      <c r="W22" s="49"/>
      <c r="X22" s="65">
        <f>V22+W22*Summen!$B$44</f>
        <v>0</v>
      </c>
      <c r="Y22" s="170"/>
      <c r="Z22" s="171"/>
      <c r="AA22" s="171"/>
      <c r="AB22" s="171"/>
      <c r="AC22" s="171"/>
      <c r="AD22" s="171"/>
      <c r="AE22" s="171"/>
      <c r="AF22" s="171"/>
      <c r="AG22" s="69">
        <f t="shared" si="2"/>
        <v>0</v>
      </c>
      <c r="AH22" s="62">
        <f t="shared" si="3"/>
        <v>0</v>
      </c>
      <c r="AI22" s="62">
        <f t="shared" si="4"/>
        <v>0</v>
      </c>
      <c r="AJ22" s="63">
        <f t="shared" si="5"/>
        <v>0</v>
      </c>
      <c r="AL22" s="54">
        <f t="shared" si="6"/>
        <v>0</v>
      </c>
    </row>
    <row r="23" spans="1:38" ht="13.5" customHeight="1">
      <c r="A23" s="56">
        <f t="shared" si="7"/>
        <v>46376</v>
      </c>
      <c r="B23" s="59" t="str">
        <f>IFERROR(VLOOKUP(A23, Feiertage!$B:$C, 2, 0), IF(OR(WEEKDAY(A23,2)=6, WEEKDAY(A23,2)=7), Feiertage!$C$23, ""))</f>
        <v>* * * * * * * * Wochenende * * * * * * * * * * * * * * * * * * * * * * * * * * * * * * * * * * * * * * * * * * * * * * * *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R23" s="61">
        <f>IF(OR(WEEKDAY(A23,2)=6,WEEKDAY(A23,2)=7),0,IFERROR(IF(VLOOKUP(A23,Feiertage!$B:$D,3,0)="ja",0,Summen!$B$9),Summen!$B$9))</f>
        <v>0</v>
      </c>
      <c r="S23" s="62">
        <f t="shared" si="0"/>
        <v>0</v>
      </c>
      <c r="T23" s="62">
        <f t="shared" si="1"/>
        <v>0</v>
      </c>
      <c r="U23" s="63">
        <f t="shared" si="8"/>
        <v>-743.55999999999881</v>
      </c>
      <c r="V23" s="59"/>
      <c r="W23" s="64"/>
      <c r="X23" s="65">
        <f>V23+W23*Summen!$B$44</f>
        <v>0</v>
      </c>
      <c r="Y23" s="168"/>
      <c r="Z23" s="169"/>
      <c r="AA23" s="169"/>
      <c r="AB23" s="169"/>
      <c r="AC23" s="169"/>
      <c r="AD23" s="169"/>
      <c r="AE23" s="169"/>
      <c r="AF23" s="169"/>
      <c r="AG23" s="69">
        <f t="shared" si="2"/>
        <v>0</v>
      </c>
      <c r="AH23" s="62">
        <f t="shared" si="3"/>
        <v>0</v>
      </c>
      <c r="AI23" s="62">
        <f t="shared" si="4"/>
        <v>0</v>
      </c>
      <c r="AJ23" s="63">
        <f t="shared" si="5"/>
        <v>0</v>
      </c>
      <c r="AL23" s="54">
        <f t="shared" si="6"/>
        <v>0</v>
      </c>
    </row>
    <row r="24" spans="1:38" ht="13.5" customHeight="1">
      <c r="A24" s="56">
        <f t="shared" si="7"/>
        <v>46377</v>
      </c>
      <c r="B24" s="45" t="str">
        <f>IFERROR(VLOOKUP(A24, Feiertage!$B:$C, 2, 0), IF(OR(WEEKDAY(A24,2)=6, WEEKDAY(A24,2)=7), Feiertage!$C$23, ""))</f>
        <v/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61">
        <f>IF(OR(WEEKDAY(A24,2)=6,WEEKDAY(A24,2)=7),0,IFERROR(IF(VLOOKUP(A24,Feiertage!$B:$D,3,0)="ja",0,Summen!$B$9),Summen!$B$9))</f>
        <v>8.4</v>
      </c>
      <c r="S24" s="62">
        <f t="shared" si="0"/>
        <v>0</v>
      </c>
      <c r="T24" s="62">
        <f t="shared" si="1"/>
        <v>-8.4</v>
      </c>
      <c r="U24" s="63">
        <f t="shared" si="8"/>
        <v>-751.95999999999879</v>
      </c>
      <c r="V24" s="45"/>
      <c r="W24" s="49"/>
      <c r="X24" s="65">
        <f>V24+W24*Summen!$B$44</f>
        <v>0</v>
      </c>
      <c r="Y24" s="170"/>
      <c r="Z24" s="171"/>
      <c r="AA24" s="171"/>
      <c r="AB24" s="171"/>
      <c r="AC24" s="171"/>
      <c r="AD24" s="171"/>
      <c r="AE24" s="171"/>
      <c r="AF24" s="171"/>
      <c r="AG24" s="69">
        <f t="shared" si="2"/>
        <v>0</v>
      </c>
      <c r="AH24" s="62">
        <f t="shared" si="3"/>
        <v>0</v>
      </c>
      <c r="AI24" s="62">
        <f t="shared" si="4"/>
        <v>0</v>
      </c>
      <c r="AJ24" s="63">
        <f t="shared" si="5"/>
        <v>0</v>
      </c>
      <c r="AL24" s="54">
        <f t="shared" si="6"/>
        <v>0</v>
      </c>
    </row>
    <row r="25" spans="1:38" ht="13.5" customHeight="1">
      <c r="A25" s="56">
        <f t="shared" si="7"/>
        <v>46378</v>
      </c>
      <c r="B25" s="59" t="str">
        <f>IFERROR(VLOOKUP(A25, Feiertage!$B:$C, 2, 0), IF(OR(WEEKDAY(A25,2)=6, WEEKDAY(A25,2)=7), Feiertage!$C$23, ""))</f>
        <v/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  <c r="R25" s="61">
        <f>IF(OR(WEEKDAY(A25,2)=6,WEEKDAY(A25,2)=7),0,IFERROR(IF(VLOOKUP(A25,Feiertage!$B:$D,3,0)="ja",0,Summen!$B$9),Summen!$B$9))</f>
        <v>8.4</v>
      </c>
      <c r="S25" s="62">
        <f t="shared" si="0"/>
        <v>0</v>
      </c>
      <c r="T25" s="62">
        <f t="shared" si="1"/>
        <v>-8.4</v>
      </c>
      <c r="U25" s="63">
        <f t="shared" si="8"/>
        <v>-760.35999999999876</v>
      </c>
      <c r="V25" s="59"/>
      <c r="W25" s="64"/>
      <c r="X25" s="65">
        <f>V25+W25*Summen!$B$44</f>
        <v>0</v>
      </c>
      <c r="Y25" s="168"/>
      <c r="Z25" s="169"/>
      <c r="AA25" s="169"/>
      <c r="AB25" s="169"/>
      <c r="AC25" s="169"/>
      <c r="AD25" s="169"/>
      <c r="AE25" s="169"/>
      <c r="AF25" s="169"/>
      <c r="AG25" s="69">
        <f t="shared" si="2"/>
        <v>0</v>
      </c>
      <c r="AH25" s="62">
        <f t="shared" si="3"/>
        <v>0</v>
      </c>
      <c r="AI25" s="62">
        <f t="shared" si="4"/>
        <v>0</v>
      </c>
      <c r="AJ25" s="63">
        <f t="shared" si="5"/>
        <v>0</v>
      </c>
      <c r="AL25" s="54">
        <f t="shared" si="6"/>
        <v>0</v>
      </c>
    </row>
    <row r="26" spans="1:38" ht="13.5" customHeight="1">
      <c r="A26" s="56">
        <f t="shared" si="7"/>
        <v>46379</v>
      </c>
      <c r="B26" s="45" t="str">
        <f>IFERROR(VLOOKUP(A26, Feiertage!$B:$C, 2, 0), IF(OR(WEEKDAY(A26,2)=6, WEEKDAY(A26,2)=7), Feiertage!$C$23, ""))</f>
        <v/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61">
        <f>IF(OR(WEEKDAY(A26,2)=6,WEEKDAY(A26,2)=7),0,IFERROR(IF(VLOOKUP(A26,Feiertage!$B:$D,3,0)="ja",0,Summen!$B$9),Summen!$B$9))</f>
        <v>8.4</v>
      </c>
      <c r="S26" s="62">
        <f t="shared" si="0"/>
        <v>0</v>
      </c>
      <c r="T26" s="62">
        <f t="shared" si="1"/>
        <v>-8.4</v>
      </c>
      <c r="U26" s="63">
        <f t="shared" si="8"/>
        <v>-768.75999999999874</v>
      </c>
      <c r="V26" s="45"/>
      <c r="W26" s="49"/>
      <c r="X26" s="65">
        <f>V26+W26*Summen!$B$44</f>
        <v>0</v>
      </c>
      <c r="Y26" s="170"/>
      <c r="Z26" s="171"/>
      <c r="AA26" s="171"/>
      <c r="AB26" s="171"/>
      <c r="AC26" s="171"/>
      <c r="AD26" s="171"/>
      <c r="AE26" s="171"/>
      <c r="AF26" s="171"/>
      <c r="AG26" s="69">
        <f t="shared" si="2"/>
        <v>0</v>
      </c>
      <c r="AH26" s="62">
        <f t="shared" si="3"/>
        <v>0</v>
      </c>
      <c r="AI26" s="62">
        <f t="shared" si="4"/>
        <v>0</v>
      </c>
      <c r="AJ26" s="63">
        <f t="shared" si="5"/>
        <v>0</v>
      </c>
      <c r="AL26" s="54">
        <f t="shared" si="6"/>
        <v>0</v>
      </c>
    </row>
    <row r="27" spans="1:38" ht="13.5" customHeight="1">
      <c r="A27" s="56">
        <f t="shared" si="7"/>
        <v>46380</v>
      </c>
      <c r="B27" s="59" t="str">
        <f>IFERROR(VLOOKUP(A27, Feiertage!$B:$C, 2, 0), IF(OR(WEEKDAY(A27,2)=6, WEEKDAY(A27,2)=7), Feiertage!$C$23, ""))</f>
        <v/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  <c r="R27" s="61">
        <f>IF(OR(WEEKDAY(A27,2)=6,WEEKDAY(A27,2)=7),0,IFERROR(IF(VLOOKUP(A27,Feiertage!$B:$D,3,0)="ja",0,Summen!$B$9),Summen!$B$9))</f>
        <v>8.4</v>
      </c>
      <c r="S27" s="62">
        <f t="shared" si="0"/>
        <v>0</v>
      </c>
      <c r="T27" s="62">
        <f t="shared" si="1"/>
        <v>-8.4</v>
      </c>
      <c r="U27" s="63">
        <f t="shared" si="8"/>
        <v>-777.15999999999872</v>
      </c>
      <c r="V27" s="59"/>
      <c r="W27" s="64"/>
      <c r="X27" s="65">
        <f>V27+W27*Summen!$B$44</f>
        <v>0</v>
      </c>
      <c r="Y27" s="168"/>
      <c r="Z27" s="169"/>
      <c r="AA27" s="169"/>
      <c r="AB27" s="169"/>
      <c r="AC27" s="169"/>
      <c r="AD27" s="169"/>
      <c r="AE27" s="169"/>
      <c r="AF27" s="169"/>
      <c r="AG27" s="69">
        <f t="shared" si="2"/>
        <v>0</v>
      </c>
      <c r="AH27" s="62">
        <f t="shared" si="3"/>
        <v>0</v>
      </c>
      <c r="AI27" s="62">
        <f t="shared" si="4"/>
        <v>0</v>
      </c>
      <c r="AJ27" s="63">
        <f t="shared" si="5"/>
        <v>0</v>
      </c>
      <c r="AL27" s="54">
        <f t="shared" si="6"/>
        <v>0</v>
      </c>
    </row>
    <row r="28" spans="1:38" ht="13.5" customHeight="1">
      <c r="A28" s="56">
        <f t="shared" si="7"/>
        <v>46381</v>
      </c>
      <c r="B28" s="45" t="str">
        <f>IFERROR(VLOOKUP(A28, Feiertage!$B:$C, 2, 0), IF(OR(WEEKDAY(A28,2)=6, WEEKDAY(A28,2)=7), Feiertage!$C$23, ""))</f>
        <v>* * * * * * * * Weihnachtstag * * * * * * * * * * * * * * * * * * * * * * * * * * * * * * * * * * * * * * * * * * * * * * *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  <c r="R28" s="61">
        <f>IF(OR(WEEKDAY(A28,2)=6,WEEKDAY(A28,2)=7),0,IFERROR(IF(VLOOKUP(A28,Feiertage!$B:$D,3,0)="ja",0,Summen!$B$9),Summen!$B$9))</f>
        <v>0</v>
      </c>
      <c r="S28" s="62">
        <f t="shared" si="0"/>
        <v>0</v>
      </c>
      <c r="T28" s="62">
        <f t="shared" si="1"/>
        <v>0</v>
      </c>
      <c r="U28" s="63">
        <f t="shared" si="8"/>
        <v>-777.15999999999872</v>
      </c>
      <c r="V28" s="45"/>
      <c r="W28" s="49"/>
      <c r="X28" s="65">
        <f>V28+W28*Summen!$B$44</f>
        <v>0</v>
      </c>
      <c r="Y28" s="170"/>
      <c r="Z28" s="171"/>
      <c r="AA28" s="171"/>
      <c r="AB28" s="171"/>
      <c r="AC28" s="171"/>
      <c r="AD28" s="171"/>
      <c r="AE28" s="171"/>
      <c r="AF28" s="171"/>
      <c r="AG28" s="69">
        <f t="shared" si="2"/>
        <v>0</v>
      </c>
      <c r="AH28" s="62">
        <f t="shared" si="3"/>
        <v>0</v>
      </c>
      <c r="AI28" s="62">
        <f t="shared" si="4"/>
        <v>0</v>
      </c>
      <c r="AJ28" s="63">
        <f t="shared" si="5"/>
        <v>0</v>
      </c>
      <c r="AL28" s="54">
        <f t="shared" si="6"/>
        <v>0</v>
      </c>
    </row>
    <row r="29" spans="1:38" ht="13.5" customHeight="1">
      <c r="A29" s="56">
        <f t="shared" si="7"/>
        <v>46382</v>
      </c>
      <c r="B29" s="59" t="str">
        <f>IFERROR(VLOOKUP(A29, Feiertage!$B:$C, 2, 0), IF(OR(WEEKDAY(A29,2)=6, WEEKDAY(A29,2)=7), Feiertage!$C$23, ""))</f>
        <v>* * * * * * * * Stephanstag * * * * * * * * * * * * * * * * * * * * * * * * * * * * * * * * * * * * * * * * * * * * * * * * *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  <c r="R29" s="61">
        <f>IF(OR(WEEKDAY(A29,2)=6,WEEKDAY(A29,2)=7),0,IFERROR(IF(VLOOKUP(A29,Feiertage!$B:$D,3,0)="ja",0,Summen!$B$9),Summen!$B$9))</f>
        <v>0</v>
      </c>
      <c r="S29" s="62">
        <f t="shared" si="0"/>
        <v>0</v>
      </c>
      <c r="T29" s="62">
        <f t="shared" si="1"/>
        <v>0</v>
      </c>
      <c r="U29" s="63">
        <f t="shared" si="8"/>
        <v>-777.15999999999872</v>
      </c>
      <c r="V29" s="59"/>
      <c r="W29" s="64"/>
      <c r="X29" s="65">
        <f>V29+W29*Summen!$B$44</f>
        <v>0</v>
      </c>
      <c r="Y29" s="168"/>
      <c r="Z29" s="169"/>
      <c r="AA29" s="169"/>
      <c r="AB29" s="169"/>
      <c r="AC29" s="169"/>
      <c r="AD29" s="169"/>
      <c r="AE29" s="169"/>
      <c r="AF29" s="169"/>
      <c r="AG29" s="69">
        <f t="shared" si="2"/>
        <v>0</v>
      </c>
      <c r="AH29" s="62">
        <f t="shared" si="3"/>
        <v>0</v>
      </c>
      <c r="AI29" s="62">
        <f t="shared" si="4"/>
        <v>0</v>
      </c>
      <c r="AJ29" s="63">
        <f t="shared" si="5"/>
        <v>0</v>
      </c>
      <c r="AL29" s="54">
        <f t="shared" si="6"/>
        <v>0</v>
      </c>
    </row>
    <row r="30" spans="1:38" ht="13.5" customHeight="1">
      <c r="A30" s="56">
        <f t="shared" si="7"/>
        <v>46383</v>
      </c>
      <c r="B30" s="45" t="str">
        <f>IFERROR(VLOOKUP(A30, Feiertage!$B:$C, 2, 0), IF(OR(WEEKDAY(A30,2)=6, WEEKDAY(A30,2)=7), Feiertage!$C$23, ""))</f>
        <v>* * * * * * * * Wochenende * * * * * * * * * * * * * * * * * * * * * * * * * * * * * * * * * * * * * * * * * * * * * * * *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61">
        <f>IF(OR(WEEKDAY(A30,2)=6,WEEKDAY(A30,2)=7),0,IFERROR(IF(VLOOKUP(A30,Feiertage!$B:$D,3,0)="ja",0,Summen!$B$9),Summen!$B$9))</f>
        <v>0</v>
      </c>
      <c r="S30" s="62">
        <f t="shared" si="0"/>
        <v>0</v>
      </c>
      <c r="T30" s="62">
        <f t="shared" si="1"/>
        <v>0</v>
      </c>
      <c r="U30" s="63">
        <f t="shared" si="8"/>
        <v>-777.15999999999872</v>
      </c>
      <c r="V30" s="45"/>
      <c r="W30" s="49"/>
      <c r="X30" s="65">
        <f>V30+W30*Summen!$B$44</f>
        <v>0</v>
      </c>
      <c r="Y30" s="170"/>
      <c r="Z30" s="171"/>
      <c r="AA30" s="171"/>
      <c r="AB30" s="171"/>
      <c r="AC30" s="171"/>
      <c r="AD30" s="171"/>
      <c r="AE30" s="171"/>
      <c r="AF30" s="171"/>
      <c r="AG30" s="69">
        <f t="shared" si="2"/>
        <v>0</v>
      </c>
      <c r="AH30" s="62">
        <f t="shared" si="3"/>
        <v>0</v>
      </c>
      <c r="AI30" s="62">
        <f t="shared" si="4"/>
        <v>0</v>
      </c>
      <c r="AJ30" s="63">
        <f t="shared" si="5"/>
        <v>0</v>
      </c>
      <c r="AL30" s="54">
        <f t="shared" si="6"/>
        <v>0</v>
      </c>
    </row>
    <row r="31" spans="1:38" ht="13.5" customHeight="1">
      <c r="A31" s="56">
        <f t="shared" si="7"/>
        <v>46384</v>
      </c>
      <c r="B31" s="59" t="str">
        <f>IFERROR(VLOOKUP(A31, Feiertage!$B:$C, 2, 0), IF(OR(WEEKDAY(A31,2)=6, WEEKDAY(A31,2)=7), Feiertage!$C$23, ""))</f>
        <v/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61">
        <f>IF(OR(WEEKDAY(A31,2)=6,WEEKDAY(A31,2)=7),0,IFERROR(IF(VLOOKUP(A31,Feiertage!$B:$D,3,0)="ja",0,Summen!$B$9),Summen!$B$9))</f>
        <v>8.4</v>
      </c>
      <c r="S31" s="62">
        <f t="shared" si="0"/>
        <v>0</v>
      </c>
      <c r="T31" s="62">
        <f t="shared" si="1"/>
        <v>-8.4</v>
      </c>
      <c r="U31" s="63">
        <f t="shared" si="8"/>
        <v>-785.55999999999869</v>
      </c>
      <c r="V31" s="59"/>
      <c r="W31" s="64"/>
      <c r="X31" s="65">
        <f>V31+W31*Summen!$B$44</f>
        <v>0</v>
      </c>
      <c r="Y31" s="168"/>
      <c r="Z31" s="169"/>
      <c r="AA31" s="169"/>
      <c r="AB31" s="169"/>
      <c r="AC31" s="169"/>
      <c r="AD31" s="169"/>
      <c r="AE31" s="169"/>
      <c r="AF31" s="169"/>
      <c r="AG31" s="69">
        <f t="shared" si="2"/>
        <v>0</v>
      </c>
      <c r="AH31" s="62">
        <f t="shared" si="3"/>
        <v>0</v>
      </c>
      <c r="AI31" s="62">
        <f t="shared" si="4"/>
        <v>0</v>
      </c>
      <c r="AJ31" s="63">
        <f t="shared" si="5"/>
        <v>0</v>
      </c>
      <c r="AL31" s="54">
        <f t="shared" si="6"/>
        <v>0</v>
      </c>
    </row>
    <row r="32" spans="1:38" ht="13.5" customHeight="1">
      <c r="A32" s="56">
        <f t="shared" si="7"/>
        <v>46385</v>
      </c>
      <c r="B32" s="45" t="str">
        <f>IFERROR(VLOOKUP(A32, Feiertage!$B:$C, 2, 0), IF(OR(WEEKDAY(A32,2)=6, WEEKDAY(A32,2)=7), Feiertage!$C$23, ""))</f>
        <v/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61">
        <f>IF(OR(WEEKDAY(A32,2)=6,WEEKDAY(A32,2)=7),0,IFERROR(IF(VLOOKUP(A32,Feiertage!$B:$D,3,0)="ja",0,Summen!$B$9),Summen!$B$9))</f>
        <v>8.4</v>
      </c>
      <c r="S32" s="62">
        <f t="shared" si="0"/>
        <v>0</v>
      </c>
      <c r="T32" s="62">
        <f t="shared" si="1"/>
        <v>-8.4</v>
      </c>
      <c r="U32" s="63">
        <f t="shared" si="8"/>
        <v>-793.95999999999867</v>
      </c>
      <c r="V32" s="45"/>
      <c r="W32" s="49"/>
      <c r="X32" s="65">
        <f>V32+W32*Summen!$B$44</f>
        <v>0</v>
      </c>
      <c r="Y32" s="170"/>
      <c r="Z32" s="171"/>
      <c r="AA32" s="171"/>
      <c r="AB32" s="171"/>
      <c r="AC32" s="171"/>
      <c r="AD32" s="171"/>
      <c r="AE32" s="171"/>
      <c r="AF32" s="171"/>
      <c r="AG32" s="69">
        <f t="shared" si="2"/>
        <v>0</v>
      </c>
      <c r="AH32" s="62">
        <f t="shared" si="3"/>
        <v>0</v>
      </c>
      <c r="AI32" s="62">
        <f t="shared" si="4"/>
        <v>0</v>
      </c>
      <c r="AJ32" s="63">
        <f t="shared" si="5"/>
        <v>0</v>
      </c>
      <c r="AL32" s="54">
        <f t="shared" si="6"/>
        <v>0</v>
      </c>
    </row>
    <row r="33" spans="1:38" ht="13.5" customHeight="1">
      <c r="A33" s="56">
        <f t="shared" si="7"/>
        <v>46386</v>
      </c>
      <c r="B33" s="59" t="str">
        <f>IFERROR(VLOOKUP(A33, Feiertage!$B:$C, 2, 0), IF(OR(WEEKDAY(A33,2)=6, WEEKDAY(A33,2)=7), Feiertage!$C$23, ""))</f>
        <v/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  <c r="R33" s="61">
        <f>IF(OR(WEEKDAY(A33,2)=6,WEEKDAY(A33,2)=7),0,IFERROR(IF(VLOOKUP(A33,Feiertage!$B:$D,3,0)="ja",0,Summen!$B$9),Summen!$B$9))</f>
        <v>8.4</v>
      </c>
      <c r="S33" s="62">
        <f t="shared" si="0"/>
        <v>0</v>
      </c>
      <c r="T33" s="62">
        <f t="shared" si="1"/>
        <v>-8.4</v>
      </c>
      <c r="U33" s="63">
        <f t="shared" si="8"/>
        <v>-802.35999999999865</v>
      </c>
      <c r="V33" s="59"/>
      <c r="W33" s="64"/>
      <c r="X33" s="65">
        <f>V33+W33*Summen!$B$44</f>
        <v>0</v>
      </c>
      <c r="Y33" s="168"/>
      <c r="Z33" s="169"/>
      <c r="AA33" s="169"/>
      <c r="AB33" s="169"/>
      <c r="AC33" s="169"/>
      <c r="AD33" s="169"/>
      <c r="AE33" s="169"/>
      <c r="AF33" s="169"/>
      <c r="AG33" s="69">
        <f t="shared" si="2"/>
        <v>0</v>
      </c>
      <c r="AH33" s="62">
        <f t="shared" si="3"/>
        <v>0</v>
      </c>
      <c r="AI33" s="62">
        <f t="shared" si="4"/>
        <v>0</v>
      </c>
      <c r="AJ33" s="63">
        <f t="shared" si="5"/>
        <v>0</v>
      </c>
      <c r="AL33" s="54">
        <f t="shared" si="6"/>
        <v>0</v>
      </c>
    </row>
    <row r="34" spans="1:38" ht="13.5" customHeight="1">
      <c r="A34" s="80">
        <f t="shared" si="7"/>
        <v>46387</v>
      </c>
      <c r="B34" s="45" t="str">
        <f>IFERROR(VLOOKUP(A34, Feiertage!$B:$C, 2, 0), IF(OR(WEEKDAY(A34,2)=6, WEEKDAY(A34,2)=7), Feiertage!$C$23, ""))</f>
        <v/>
      </c>
      <c r="C34" s="45"/>
      <c r="D34" s="45"/>
      <c r="E34" s="45"/>
      <c r="F34" s="45"/>
      <c r="G34" s="45"/>
      <c r="H34" s="45"/>
      <c r="I34" s="45"/>
      <c r="J34" s="45"/>
      <c r="K34" s="82"/>
      <c r="L34" s="82"/>
      <c r="M34" s="82"/>
      <c r="N34" s="82"/>
      <c r="O34" s="82"/>
      <c r="P34" s="82"/>
      <c r="Q34" s="83"/>
      <c r="R34" s="61">
        <f>IF(OR(WEEKDAY(A34,2)=6,WEEKDAY(A34,2)=7),0,IFERROR(IF(VLOOKUP(A34,Feiertage!$B:$D,3,0)="ja",0,Summen!$B$9),Summen!$B$9))</f>
        <v>8.4</v>
      </c>
      <c r="S34" s="84">
        <f t="shared" si="0"/>
        <v>0</v>
      </c>
      <c r="T34" s="84">
        <f t="shared" si="1"/>
        <v>-8.4</v>
      </c>
      <c r="U34" s="85">
        <f t="shared" si="8"/>
        <v>-810.75999999999863</v>
      </c>
      <c r="V34" s="45"/>
      <c r="W34" s="49"/>
      <c r="X34" s="65">
        <f>V34+W34*Summen!$B$44</f>
        <v>0</v>
      </c>
      <c r="Y34" s="170"/>
      <c r="Z34" s="171"/>
      <c r="AA34" s="171"/>
      <c r="AB34" s="171"/>
      <c r="AC34" s="171"/>
      <c r="AD34" s="171"/>
      <c r="AE34" s="171"/>
      <c r="AF34" s="171"/>
      <c r="AG34" s="86">
        <f t="shared" si="2"/>
        <v>0</v>
      </c>
      <c r="AH34" s="84">
        <f t="shared" si="3"/>
        <v>0</v>
      </c>
      <c r="AI34" s="84">
        <f t="shared" si="4"/>
        <v>0</v>
      </c>
      <c r="AJ34" s="85">
        <f t="shared" si="5"/>
        <v>0</v>
      </c>
      <c r="AL34" s="54">
        <f t="shared" si="6"/>
        <v>0</v>
      </c>
    </row>
    <row r="35" spans="1:38" ht="18" customHeight="1">
      <c r="A35" s="87" t="s">
        <v>31</v>
      </c>
      <c r="B35" s="142"/>
      <c r="C35" s="88">
        <f t="shared" ref="C35:T35" si="9">SUM(C4:C34)</f>
        <v>0</v>
      </c>
      <c r="D35" s="88">
        <f t="shared" si="9"/>
        <v>0</v>
      </c>
      <c r="E35" s="88">
        <f t="shared" si="9"/>
        <v>0</v>
      </c>
      <c r="F35" s="88">
        <f t="shared" si="9"/>
        <v>0</v>
      </c>
      <c r="G35" s="88">
        <f t="shared" si="9"/>
        <v>0</v>
      </c>
      <c r="H35" s="88">
        <f t="shared" si="9"/>
        <v>0</v>
      </c>
      <c r="I35" s="88">
        <f t="shared" si="9"/>
        <v>0</v>
      </c>
      <c r="J35" s="88">
        <f t="shared" si="9"/>
        <v>0</v>
      </c>
      <c r="K35" s="88">
        <f t="shared" si="9"/>
        <v>0</v>
      </c>
      <c r="L35" s="88">
        <f t="shared" si="9"/>
        <v>0</v>
      </c>
      <c r="M35" s="88">
        <f t="shared" si="9"/>
        <v>0</v>
      </c>
      <c r="N35" s="88">
        <f t="shared" si="9"/>
        <v>0</v>
      </c>
      <c r="O35" s="88">
        <f t="shared" si="9"/>
        <v>0</v>
      </c>
      <c r="P35" s="88">
        <f t="shared" si="9"/>
        <v>0</v>
      </c>
      <c r="Q35" s="88">
        <f t="shared" si="9"/>
        <v>0</v>
      </c>
      <c r="R35" s="90">
        <f t="shared" si="9"/>
        <v>176.40000000000006</v>
      </c>
      <c r="S35" s="91">
        <f t="shared" si="9"/>
        <v>0</v>
      </c>
      <c r="T35" s="91">
        <f t="shared" si="9"/>
        <v>-176.40000000000006</v>
      </c>
      <c r="U35" s="92">
        <f>U34</f>
        <v>-810.75999999999863</v>
      </c>
      <c r="V35" s="93">
        <f>SUM(V4:V34)</f>
        <v>0</v>
      </c>
      <c r="W35" s="93">
        <f>SUM(W4:W34)*Summen!$B$44</f>
        <v>0</v>
      </c>
      <c r="X35" s="94">
        <f>V35+W35</f>
        <v>0</v>
      </c>
      <c r="Y35" s="117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2">
        <f>SUM(AJ4:AJ34)</f>
        <v>0</v>
      </c>
      <c r="AL35" s="54">
        <f t="shared" si="6"/>
        <v>0</v>
      </c>
    </row>
    <row r="36" spans="1:38" ht="12.75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L36" s="7"/>
    </row>
    <row r="37" spans="1:38" ht="12.75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L37" s="7"/>
    </row>
    <row r="38" spans="1:38" ht="12.75" customHeight="1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2"/>
      <c r="T38" s="100"/>
      <c r="U38" s="100"/>
      <c r="V38" s="100"/>
      <c r="W38" s="100"/>
      <c r="X38" s="100"/>
      <c r="Y38" s="100"/>
      <c r="Z38" s="100"/>
      <c r="AL38" s="7"/>
    </row>
    <row r="39" spans="1:38" ht="12.7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L39" s="7"/>
    </row>
    <row r="40" spans="1:38" ht="12.75" customHeight="1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L40" s="7"/>
    </row>
    <row r="41" spans="1:38" ht="12.75" customHeight="1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L41" s="7"/>
    </row>
    <row r="42" spans="1:38" ht="12.75" customHeight="1">
      <c r="A42" s="99"/>
      <c r="AL42" s="7"/>
    </row>
    <row r="43" spans="1:38" ht="12.75" customHeight="1">
      <c r="A43" s="99"/>
      <c r="AL43" s="7"/>
    </row>
    <row r="44" spans="1:38" ht="12.75" customHeight="1">
      <c r="A44" s="99"/>
      <c r="AL44" s="7"/>
    </row>
    <row r="45" spans="1:38" ht="12.75" customHeight="1">
      <c r="A45" s="99"/>
      <c r="AL45" s="7"/>
    </row>
    <row r="46" spans="1:38" ht="12.75" customHeight="1">
      <c r="A46" s="99"/>
      <c r="AL46" s="7"/>
    </row>
    <row r="47" spans="1:38" ht="12.75" customHeight="1">
      <c r="A47" s="99"/>
      <c r="AL47" s="7"/>
    </row>
    <row r="48" spans="1:38" ht="12.75" customHeight="1">
      <c r="A48" s="99"/>
      <c r="AL48" s="7"/>
    </row>
    <row r="49" spans="1:38" ht="12.75" customHeight="1">
      <c r="A49" s="99"/>
      <c r="AL49" s="7"/>
    </row>
    <row r="50" spans="1:38" ht="12.75" customHeight="1">
      <c r="A50" s="99"/>
      <c r="AL50" s="7"/>
    </row>
    <row r="51" spans="1:38" ht="12.75" customHeight="1">
      <c r="A51" s="99"/>
      <c r="AL51" s="7"/>
    </row>
    <row r="52" spans="1:38" ht="12.75" customHeight="1">
      <c r="A52" s="99"/>
      <c r="AL52" s="7"/>
    </row>
    <row r="53" spans="1:38" ht="12.75" customHeight="1">
      <c r="A53" s="99"/>
      <c r="AL53" s="7"/>
    </row>
    <row r="54" spans="1:38" ht="12.75" customHeight="1">
      <c r="A54" s="99"/>
      <c r="AL54" s="7"/>
    </row>
    <row r="55" spans="1:38" ht="12.75" customHeight="1">
      <c r="A55" s="99"/>
      <c r="AL55" s="7"/>
    </row>
    <row r="56" spans="1:38" ht="12.75" customHeight="1">
      <c r="A56" s="99"/>
      <c r="AL56" s="7"/>
    </row>
    <row r="57" spans="1:38" ht="12.75" customHeight="1">
      <c r="A57" s="99"/>
      <c r="AL57" s="7"/>
    </row>
    <row r="58" spans="1:38" ht="12.75" customHeight="1">
      <c r="A58" s="99"/>
      <c r="AL58" s="7"/>
    </row>
    <row r="59" spans="1:38" ht="12.75" customHeight="1">
      <c r="A59" s="99"/>
      <c r="AL59" s="7"/>
    </row>
    <row r="60" spans="1:38" ht="12.75" customHeight="1">
      <c r="A60" s="99"/>
      <c r="AL60" s="7"/>
    </row>
    <row r="61" spans="1:38" ht="12.75" customHeight="1">
      <c r="A61" s="99"/>
      <c r="AL61" s="7"/>
    </row>
    <row r="62" spans="1:38" ht="12.75" customHeight="1">
      <c r="A62" s="99"/>
      <c r="AL62" s="7"/>
    </row>
    <row r="63" spans="1:38" ht="12.75" customHeight="1">
      <c r="A63" s="99"/>
      <c r="AL63" s="7"/>
    </row>
    <row r="64" spans="1:38" ht="12.75" customHeight="1">
      <c r="A64" s="99"/>
      <c r="AL64" s="7"/>
    </row>
    <row r="65" spans="1:38" ht="12.75" customHeight="1">
      <c r="A65" s="99"/>
      <c r="AL65" s="7"/>
    </row>
    <row r="66" spans="1:38" ht="12.75" customHeight="1">
      <c r="A66" s="99"/>
      <c r="AL66" s="7"/>
    </row>
    <row r="67" spans="1:38" ht="12.75" customHeight="1">
      <c r="A67" s="99"/>
      <c r="AL67" s="7"/>
    </row>
    <row r="68" spans="1:38" ht="12.75" customHeight="1">
      <c r="A68" s="99"/>
      <c r="AL68" s="7"/>
    </row>
    <row r="69" spans="1:38" ht="12.75" customHeight="1">
      <c r="A69" s="99"/>
      <c r="AL69" s="7"/>
    </row>
    <row r="70" spans="1:38" ht="12.75" customHeight="1">
      <c r="A70" s="99"/>
      <c r="AL70" s="7"/>
    </row>
    <row r="71" spans="1:38" ht="12.75" customHeight="1">
      <c r="A71" s="99"/>
      <c r="AL71" s="7"/>
    </row>
    <row r="72" spans="1:38" ht="12.75" customHeight="1">
      <c r="A72" s="99"/>
      <c r="AL72" s="7"/>
    </row>
    <row r="73" spans="1:38" ht="12.75" customHeight="1">
      <c r="A73" s="99"/>
      <c r="AL73" s="7"/>
    </row>
    <row r="74" spans="1:38" ht="12.75" customHeight="1">
      <c r="A74" s="99"/>
      <c r="AL74" s="7"/>
    </row>
    <row r="75" spans="1:38" ht="12.75" customHeight="1">
      <c r="A75" s="99"/>
      <c r="AL75" s="7"/>
    </row>
    <row r="76" spans="1:38" ht="12.75" customHeight="1">
      <c r="A76" s="99"/>
      <c r="AL76" s="7"/>
    </row>
    <row r="77" spans="1:38" ht="12.75" customHeight="1">
      <c r="A77" s="99"/>
      <c r="AL77" s="7"/>
    </row>
    <row r="78" spans="1:38" ht="12.75" customHeight="1">
      <c r="A78" s="99"/>
      <c r="AL78" s="7"/>
    </row>
    <row r="79" spans="1:38" ht="12.75" customHeight="1">
      <c r="A79" s="99"/>
      <c r="AL79" s="7"/>
    </row>
    <row r="80" spans="1:38" ht="12.75" customHeight="1">
      <c r="A80" s="99"/>
      <c r="AL80" s="7"/>
    </row>
    <row r="81" spans="1:38" ht="12.75" customHeight="1">
      <c r="A81" s="99"/>
      <c r="AL81" s="7"/>
    </row>
    <row r="82" spans="1:38" ht="12.75" customHeight="1">
      <c r="A82" s="99"/>
      <c r="AL82" s="7"/>
    </row>
    <row r="83" spans="1:38" ht="12.75" customHeight="1">
      <c r="A83" s="99"/>
      <c r="AL83" s="7"/>
    </row>
    <row r="84" spans="1:38" ht="12.75" customHeight="1">
      <c r="A84" s="99"/>
      <c r="AL84" s="7"/>
    </row>
    <row r="85" spans="1:38" ht="12.75" customHeight="1">
      <c r="A85" s="99"/>
      <c r="AL85" s="7"/>
    </row>
    <row r="86" spans="1:38" ht="12.75" customHeight="1">
      <c r="A86" s="99"/>
      <c r="AL86" s="7"/>
    </row>
    <row r="87" spans="1:38" ht="12.75" customHeight="1">
      <c r="A87" s="99"/>
      <c r="AL87" s="7"/>
    </row>
    <row r="88" spans="1:38" ht="12.75" customHeight="1">
      <c r="A88" s="99"/>
      <c r="AL88" s="7"/>
    </row>
    <row r="89" spans="1:38" ht="12.75" customHeight="1">
      <c r="A89" s="99"/>
      <c r="AL89" s="7"/>
    </row>
    <row r="90" spans="1:38" ht="12.75" customHeight="1">
      <c r="A90" s="99"/>
      <c r="AL90" s="7"/>
    </row>
    <row r="91" spans="1:38" ht="12.75" customHeight="1">
      <c r="A91" s="99"/>
      <c r="AL91" s="7"/>
    </row>
    <row r="92" spans="1:38" ht="12.75" customHeight="1">
      <c r="A92" s="99"/>
      <c r="AL92" s="7"/>
    </row>
    <row r="93" spans="1:38" ht="12.75" customHeight="1">
      <c r="A93" s="99"/>
      <c r="AL93" s="7"/>
    </row>
    <row r="94" spans="1:38" ht="12.75" customHeight="1">
      <c r="A94" s="99"/>
      <c r="AL94" s="7"/>
    </row>
    <row r="95" spans="1:38" ht="12.75" customHeight="1">
      <c r="A95" s="99"/>
      <c r="AL95" s="7"/>
    </row>
    <row r="96" spans="1:38" ht="12.75" customHeight="1">
      <c r="A96" s="99"/>
      <c r="AL96" s="7"/>
    </row>
    <row r="97" spans="1:38" ht="12.75" customHeight="1">
      <c r="A97" s="99"/>
      <c r="AL97" s="7"/>
    </row>
    <row r="98" spans="1:38" ht="12.75" customHeight="1">
      <c r="A98" s="99"/>
      <c r="AL98" s="7"/>
    </row>
    <row r="99" spans="1:38" ht="12.75" customHeight="1">
      <c r="A99" s="99"/>
      <c r="AL99" s="7"/>
    </row>
    <row r="100" spans="1:38" ht="12.75" customHeight="1">
      <c r="A100" s="99"/>
      <c r="AL100" s="7"/>
    </row>
    <row r="101" spans="1:38" ht="12.75" customHeight="1">
      <c r="A101" s="99"/>
      <c r="AL101" s="7"/>
    </row>
    <row r="102" spans="1:38" ht="12.75" customHeight="1">
      <c r="A102" s="99"/>
      <c r="AL102" s="7"/>
    </row>
    <row r="103" spans="1:38" ht="12.75" customHeight="1">
      <c r="A103" s="99"/>
      <c r="AL103" s="7"/>
    </row>
    <row r="104" spans="1:38" ht="12.75" customHeight="1">
      <c r="A104" s="99"/>
      <c r="AL104" s="7"/>
    </row>
    <row r="105" spans="1:38" ht="12.75" customHeight="1">
      <c r="A105" s="99"/>
      <c r="AL105" s="7"/>
    </row>
    <row r="106" spans="1:38" ht="12.75" customHeight="1">
      <c r="A106" s="99"/>
      <c r="AL106" s="7"/>
    </row>
    <row r="107" spans="1:38" ht="12.75" customHeight="1">
      <c r="A107" s="99"/>
      <c r="AL107" s="7"/>
    </row>
    <row r="108" spans="1:38" ht="12.75" customHeight="1">
      <c r="A108" s="99"/>
      <c r="AL108" s="7"/>
    </row>
    <row r="109" spans="1:38" ht="12.75" customHeight="1">
      <c r="A109" s="99"/>
      <c r="AL109" s="7"/>
    </row>
    <row r="110" spans="1:38" ht="12.75" customHeight="1">
      <c r="A110" s="99"/>
      <c r="AL110" s="7"/>
    </row>
    <row r="111" spans="1:38" ht="12.75" customHeight="1">
      <c r="A111" s="99"/>
      <c r="AL111" s="7"/>
    </row>
    <row r="112" spans="1:38" ht="12.75" customHeight="1">
      <c r="A112" s="99"/>
      <c r="AL112" s="7"/>
    </row>
    <row r="113" spans="1:38" ht="12.75" customHeight="1">
      <c r="A113" s="99"/>
      <c r="AL113" s="7"/>
    </row>
    <row r="114" spans="1:38" ht="12.75" customHeight="1">
      <c r="A114" s="99"/>
      <c r="AL114" s="7"/>
    </row>
    <row r="115" spans="1:38" ht="12.75" customHeight="1">
      <c r="A115" s="99"/>
      <c r="AL115" s="7"/>
    </row>
    <row r="116" spans="1:38" ht="12.75" customHeight="1">
      <c r="A116" s="99"/>
      <c r="AL116" s="7"/>
    </row>
    <row r="117" spans="1:38" ht="12.75" customHeight="1">
      <c r="A117" s="99"/>
      <c r="AL117" s="7"/>
    </row>
    <row r="118" spans="1:38" ht="12.75" customHeight="1">
      <c r="A118" s="99"/>
      <c r="AL118" s="7"/>
    </row>
    <row r="119" spans="1:38" ht="12.75" customHeight="1">
      <c r="A119" s="99"/>
      <c r="AL119" s="7"/>
    </row>
    <row r="120" spans="1:38" ht="12.75" customHeight="1">
      <c r="A120" s="99"/>
      <c r="AL120" s="7"/>
    </row>
    <row r="121" spans="1:38" ht="12.75" customHeight="1">
      <c r="A121" s="99"/>
      <c r="AL121" s="7"/>
    </row>
    <row r="122" spans="1:38" ht="12.75" customHeight="1">
      <c r="A122" s="99"/>
      <c r="AL122" s="7"/>
    </row>
    <row r="123" spans="1:38" ht="12.75" customHeight="1">
      <c r="A123" s="99"/>
      <c r="AL123" s="7"/>
    </row>
    <row r="124" spans="1:38" ht="12.75" customHeight="1">
      <c r="A124" s="99"/>
      <c r="AL124" s="7"/>
    </row>
    <row r="125" spans="1:38" ht="12.75" customHeight="1">
      <c r="A125" s="99"/>
      <c r="AL125" s="7"/>
    </row>
    <row r="126" spans="1:38" ht="12.75" customHeight="1">
      <c r="A126" s="99"/>
      <c r="AL126" s="7"/>
    </row>
    <row r="127" spans="1:38" ht="12.75" customHeight="1">
      <c r="A127" s="99"/>
      <c r="AL127" s="7"/>
    </row>
    <row r="128" spans="1:38" ht="12.75" customHeight="1">
      <c r="A128" s="99"/>
      <c r="AL128" s="7"/>
    </row>
    <row r="129" spans="1:38" ht="12.75" customHeight="1">
      <c r="A129" s="99"/>
      <c r="AL129" s="7"/>
    </row>
    <row r="130" spans="1:38" ht="12.75" customHeight="1">
      <c r="A130" s="99"/>
      <c r="AL130" s="7"/>
    </row>
    <row r="131" spans="1:38" ht="12.75" customHeight="1">
      <c r="A131" s="99"/>
      <c r="AL131" s="7"/>
    </row>
    <row r="132" spans="1:38" ht="12.75" customHeight="1">
      <c r="A132" s="99"/>
      <c r="AL132" s="7"/>
    </row>
    <row r="133" spans="1:38" ht="12.75" customHeight="1">
      <c r="A133" s="99"/>
      <c r="AL133" s="7"/>
    </row>
    <row r="134" spans="1:38" ht="12.75" customHeight="1">
      <c r="A134" s="99"/>
      <c r="AL134" s="7"/>
    </row>
    <row r="135" spans="1:38" ht="12.75" customHeight="1">
      <c r="A135" s="99"/>
      <c r="AL135" s="7"/>
    </row>
    <row r="136" spans="1:38" ht="12.75" customHeight="1">
      <c r="A136" s="99"/>
      <c r="AL136" s="7"/>
    </row>
    <row r="137" spans="1:38" ht="12.75" customHeight="1">
      <c r="A137" s="99"/>
      <c r="AL137" s="7"/>
    </row>
    <row r="138" spans="1:38" ht="12.75" customHeight="1">
      <c r="A138" s="99"/>
      <c r="AL138" s="7"/>
    </row>
    <row r="139" spans="1:38" ht="12.75" customHeight="1">
      <c r="A139" s="99"/>
      <c r="AL139" s="7"/>
    </row>
    <row r="140" spans="1:38" ht="12.75" customHeight="1">
      <c r="A140" s="99"/>
      <c r="AL140" s="7"/>
    </row>
    <row r="141" spans="1:38" ht="12.75" customHeight="1">
      <c r="A141" s="99"/>
      <c r="AL141" s="7"/>
    </row>
    <row r="142" spans="1:38" ht="12.75" customHeight="1">
      <c r="A142" s="99"/>
      <c r="AL142" s="7"/>
    </row>
    <row r="143" spans="1:38" ht="12.75" customHeight="1">
      <c r="A143" s="99"/>
      <c r="AL143" s="7"/>
    </row>
    <row r="144" spans="1:38" ht="12.75" customHeight="1">
      <c r="A144" s="99"/>
      <c r="AL144" s="7"/>
    </row>
    <row r="145" spans="1:38" ht="12.75" customHeight="1">
      <c r="A145" s="99"/>
      <c r="AL145" s="7"/>
    </row>
    <row r="146" spans="1:38" ht="12.75" customHeight="1">
      <c r="A146" s="99"/>
      <c r="AL146" s="7"/>
    </row>
    <row r="147" spans="1:38" ht="12.75" customHeight="1">
      <c r="A147" s="99"/>
      <c r="AL147" s="7"/>
    </row>
    <row r="148" spans="1:38" ht="12.75" customHeight="1">
      <c r="A148" s="99"/>
      <c r="AL148" s="7"/>
    </row>
    <row r="149" spans="1:38" ht="12.75" customHeight="1">
      <c r="A149" s="99"/>
      <c r="AL149" s="7"/>
    </row>
    <row r="150" spans="1:38" ht="12.75" customHeight="1">
      <c r="A150" s="99"/>
      <c r="AL150" s="7"/>
    </row>
    <row r="151" spans="1:38" ht="12.75" customHeight="1">
      <c r="A151" s="99"/>
      <c r="AL151" s="7"/>
    </row>
    <row r="152" spans="1:38" ht="12.75" customHeight="1">
      <c r="A152" s="99"/>
      <c r="AL152" s="7"/>
    </row>
    <row r="153" spans="1:38" ht="12.75" customHeight="1">
      <c r="A153" s="99"/>
      <c r="AL153" s="7"/>
    </row>
    <row r="154" spans="1:38" ht="12.75" customHeight="1">
      <c r="A154" s="99"/>
      <c r="AL154" s="7"/>
    </row>
    <row r="155" spans="1:38" ht="12.75" customHeight="1">
      <c r="A155" s="99"/>
      <c r="AL155" s="7"/>
    </row>
    <row r="156" spans="1:38" ht="12.75" customHeight="1">
      <c r="A156" s="99"/>
      <c r="AL156" s="7"/>
    </row>
    <row r="157" spans="1:38" ht="12.75" customHeight="1">
      <c r="A157" s="99"/>
      <c r="AL157" s="7"/>
    </row>
    <row r="158" spans="1:38" ht="12.75" customHeight="1">
      <c r="A158" s="99"/>
      <c r="AL158" s="7"/>
    </row>
    <row r="159" spans="1:38" ht="12.75" customHeight="1">
      <c r="A159" s="99"/>
      <c r="AL159" s="7"/>
    </row>
    <row r="160" spans="1:38" ht="12.75" customHeight="1">
      <c r="A160" s="99"/>
      <c r="AL160" s="7"/>
    </row>
    <row r="161" spans="1:38" ht="12.75" customHeight="1">
      <c r="A161" s="99"/>
      <c r="AL161" s="7"/>
    </row>
    <row r="162" spans="1:38" ht="12.75" customHeight="1">
      <c r="A162" s="99"/>
      <c r="AL162" s="7"/>
    </row>
    <row r="163" spans="1:38" ht="12.75" customHeight="1">
      <c r="A163" s="99"/>
      <c r="AL163" s="7"/>
    </row>
    <row r="164" spans="1:38" ht="12.75" customHeight="1">
      <c r="A164" s="99"/>
      <c r="AL164" s="7"/>
    </row>
    <row r="165" spans="1:38" ht="12.75" customHeight="1">
      <c r="A165" s="99"/>
      <c r="AL165" s="7"/>
    </row>
    <row r="166" spans="1:38" ht="12.75" customHeight="1">
      <c r="A166" s="99"/>
      <c r="AL166" s="7"/>
    </row>
    <row r="167" spans="1:38" ht="12.75" customHeight="1">
      <c r="A167" s="99"/>
      <c r="AL167" s="7"/>
    </row>
    <row r="168" spans="1:38" ht="12.75" customHeight="1">
      <c r="A168" s="99"/>
      <c r="AL168" s="7"/>
    </row>
    <row r="169" spans="1:38" ht="12.75" customHeight="1">
      <c r="A169" s="99"/>
      <c r="AL169" s="7"/>
    </row>
    <row r="170" spans="1:38" ht="12.75" customHeight="1">
      <c r="A170" s="99"/>
      <c r="AL170" s="7"/>
    </row>
    <row r="171" spans="1:38" ht="12.75" customHeight="1">
      <c r="A171" s="99"/>
      <c r="AL171" s="7"/>
    </row>
    <row r="172" spans="1:38" ht="12.75" customHeight="1">
      <c r="A172" s="99"/>
      <c r="AL172" s="7"/>
    </row>
    <row r="173" spans="1:38" ht="12.75" customHeight="1">
      <c r="A173" s="99"/>
      <c r="AL173" s="7"/>
    </row>
    <row r="174" spans="1:38" ht="12.75" customHeight="1">
      <c r="A174" s="99"/>
      <c r="AL174" s="7"/>
    </row>
    <row r="175" spans="1:38" ht="12.75" customHeight="1">
      <c r="A175" s="99"/>
      <c r="AL175" s="7"/>
    </row>
    <row r="176" spans="1:38" ht="12.75" customHeight="1">
      <c r="A176" s="99"/>
      <c r="AL176" s="7"/>
    </row>
    <row r="177" spans="1:38" ht="12.75" customHeight="1">
      <c r="A177" s="99"/>
      <c r="AL177" s="7"/>
    </row>
    <row r="178" spans="1:38" ht="12.75" customHeight="1">
      <c r="A178" s="99"/>
      <c r="AL178" s="7"/>
    </row>
    <row r="179" spans="1:38" ht="12.75" customHeight="1">
      <c r="A179" s="99"/>
      <c r="AL179" s="7"/>
    </row>
    <row r="180" spans="1:38" ht="12.75" customHeight="1">
      <c r="A180" s="99"/>
      <c r="AL180" s="7"/>
    </row>
    <row r="181" spans="1:38" ht="12.75" customHeight="1">
      <c r="A181" s="99"/>
      <c r="AL181" s="7"/>
    </row>
    <row r="182" spans="1:38" ht="12.75" customHeight="1">
      <c r="A182" s="99"/>
      <c r="AL182" s="7"/>
    </row>
    <row r="183" spans="1:38" ht="12.75" customHeight="1">
      <c r="A183" s="99"/>
      <c r="AL183" s="7"/>
    </row>
    <row r="184" spans="1:38" ht="12.75" customHeight="1">
      <c r="A184" s="99"/>
      <c r="AL184" s="7"/>
    </row>
    <row r="185" spans="1:38" ht="12.75" customHeight="1">
      <c r="A185" s="99"/>
      <c r="AL185" s="7"/>
    </row>
    <row r="186" spans="1:38" ht="12.75" customHeight="1">
      <c r="A186" s="99"/>
      <c r="AL186" s="7"/>
    </row>
    <row r="187" spans="1:38" ht="12.75" customHeight="1">
      <c r="A187" s="99"/>
      <c r="AL187" s="7"/>
    </row>
    <row r="188" spans="1:38" ht="12.75" customHeight="1">
      <c r="A188" s="99"/>
      <c r="AL188" s="7"/>
    </row>
    <row r="189" spans="1:38" ht="12.75" customHeight="1">
      <c r="A189" s="99"/>
      <c r="AL189" s="7"/>
    </row>
    <row r="190" spans="1:38" ht="12.75" customHeight="1">
      <c r="A190" s="99"/>
      <c r="AL190" s="7"/>
    </row>
    <row r="191" spans="1:38" ht="12.75" customHeight="1">
      <c r="A191" s="99"/>
      <c r="AL191" s="7"/>
    </row>
    <row r="192" spans="1:38" ht="12.75" customHeight="1">
      <c r="A192" s="99"/>
      <c r="AL192" s="7"/>
    </row>
    <row r="193" spans="1:38" ht="12.75" customHeight="1">
      <c r="A193" s="99"/>
      <c r="AL193" s="7"/>
    </row>
    <row r="194" spans="1:38" ht="12.75" customHeight="1">
      <c r="A194" s="99"/>
      <c r="AL194" s="7"/>
    </row>
    <row r="195" spans="1:38" ht="12.75" customHeight="1">
      <c r="A195" s="99"/>
      <c r="AL195" s="7"/>
    </row>
    <row r="196" spans="1:38" ht="12.75" customHeight="1">
      <c r="A196" s="99"/>
      <c r="AL196" s="7"/>
    </row>
    <row r="197" spans="1:38" ht="12.75" customHeight="1">
      <c r="A197" s="99"/>
      <c r="AL197" s="7"/>
    </row>
    <row r="198" spans="1:38" ht="12.75" customHeight="1">
      <c r="A198" s="99"/>
      <c r="AL198" s="7"/>
    </row>
    <row r="199" spans="1:38" ht="12.75" customHeight="1">
      <c r="A199" s="99"/>
      <c r="AL199" s="7"/>
    </row>
    <row r="200" spans="1:38" ht="12.75" customHeight="1">
      <c r="A200" s="99"/>
      <c r="AL200" s="7"/>
    </row>
    <row r="201" spans="1:38" ht="12.75" customHeight="1">
      <c r="A201" s="99"/>
      <c r="AL201" s="7"/>
    </row>
    <row r="202" spans="1:38" ht="12.75" customHeight="1">
      <c r="A202" s="99"/>
      <c r="AL202" s="7"/>
    </row>
    <row r="203" spans="1:38" ht="12.75" customHeight="1">
      <c r="A203" s="99"/>
      <c r="AL203" s="7"/>
    </row>
    <row r="204" spans="1:38" ht="12.75" customHeight="1">
      <c r="A204" s="99"/>
      <c r="AL204" s="7"/>
    </row>
    <row r="205" spans="1:38" ht="12.75" customHeight="1">
      <c r="A205" s="99"/>
      <c r="AL205" s="7"/>
    </row>
    <row r="206" spans="1:38" ht="12.75" customHeight="1">
      <c r="A206" s="99"/>
      <c r="AL206" s="7"/>
    </row>
    <row r="207" spans="1:38" ht="12.75" customHeight="1">
      <c r="A207" s="99"/>
      <c r="AL207" s="7"/>
    </row>
    <row r="208" spans="1:38" ht="12.75" customHeight="1">
      <c r="A208" s="99"/>
      <c r="AL208" s="7"/>
    </row>
    <row r="209" spans="1:38" ht="12.75" customHeight="1">
      <c r="A209" s="99"/>
      <c r="AL209" s="7"/>
    </row>
    <row r="210" spans="1:38" ht="12.75" customHeight="1">
      <c r="A210" s="99"/>
      <c r="AL210" s="7"/>
    </row>
    <row r="211" spans="1:38" ht="12.75" customHeight="1">
      <c r="A211" s="99"/>
      <c r="AL211" s="7"/>
    </row>
    <row r="212" spans="1:38" ht="12.75" customHeight="1">
      <c r="A212" s="99"/>
      <c r="AL212" s="7"/>
    </row>
    <row r="213" spans="1:38" ht="12.75" customHeight="1">
      <c r="A213" s="99"/>
      <c r="AL213" s="7"/>
    </row>
    <row r="214" spans="1:38" ht="12.75" customHeight="1">
      <c r="A214" s="99"/>
      <c r="AL214" s="7"/>
    </row>
    <row r="215" spans="1:38" ht="12.75" customHeight="1">
      <c r="A215" s="99"/>
      <c r="AL215" s="7"/>
    </row>
    <row r="216" spans="1:38" ht="12.75" customHeight="1">
      <c r="A216" s="99"/>
      <c r="AL216" s="7"/>
    </row>
    <row r="217" spans="1:38" ht="12.75" customHeight="1">
      <c r="A217" s="99"/>
      <c r="AL217" s="7"/>
    </row>
    <row r="218" spans="1:38" ht="12.75" customHeight="1">
      <c r="A218" s="99"/>
      <c r="AL218" s="7"/>
    </row>
    <row r="219" spans="1:38" ht="12.75" customHeight="1">
      <c r="A219" s="99"/>
      <c r="AL219" s="7"/>
    </row>
    <row r="220" spans="1:38" ht="12.75" customHeight="1">
      <c r="A220" s="99"/>
      <c r="AL220" s="7"/>
    </row>
    <row r="221" spans="1:38" ht="12.75" customHeight="1">
      <c r="A221" s="99"/>
      <c r="AL221" s="7"/>
    </row>
    <row r="222" spans="1:38" ht="12.75" customHeight="1">
      <c r="A222" s="99"/>
      <c r="AL222" s="7"/>
    </row>
    <row r="223" spans="1:38" ht="12.75" customHeight="1">
      <c r="A223" s="99"/>
      <c r="AL223" s="7"/>
    </row>
    <row r="224" spans="1:38" ht="12.75" customHeight="1">
      <c r="A224" s="99"/>
      <c r="AL224" s="7"/>
    </row>
    <row r="225" spans="1:38" ht="12.75" customHeight="1">
      <c r="A225" s="99"/>
      <c r="AL225" s="7"/>
    </row>
    <row r="226" spans="1:38" ht="12.75" customHeight="1">
      <c r="A226" s="99"/>
      <c r="AL226" s="7"/>
    </row>
    <row r="227" spans="1:38" ht="12.75" customHeight="1">
      <c r="A227" s="99"/>
      <c r="AL227" s="7"/>
    </row>
    <row r="228" spans="1:38" ht="12.75" customHeight="1">
      <c r="A228" s="99"/>
      <c r="AL228" s="7"/>
    </row>
    <row r="229" spans="1:38" ht="12.75" customHeight="1">
      <c r="A229" s="99"/>
      <c r="AL229" s="7"/>
    </row>
    <row r="230" spans="1:38" ht="12.75" customHeight="1">
      <c r="A230" s="99"/>
      <c r="AL230" s="7"/>
    </row>
    <row r="231" spans="1:38" ht="12.75" customHeight="1">
      <c r="A231" s="99"/>
      <c r="AL231" s="7"/>
    </row>
    <row r="232" spans="1:38" ht="12.75" customHeight="1">
      <c r="A232" s="99"/>
      <c r="AL232" s="7"/>
    </row>
    <row r="233" spans="1:38" ht="12.75" customHeight="1">
      <c r="A233" s="99"/>
      <c r="AL233" s="7"/>
    </row>
    <row r="234" spans="1:38" ht="12.75" customHeight="1">
      <c r="A234" s="99"/>
      <c r="AL234" s="7"/>
    </row>
    <row r="235" spans="1:38" ht="12.75" customHeight="1">
      <c r="A235" s="99"/>
      <c r="AL235" s="7"/>
    </row>
    <row r="236" spans="1:38" ht="12.75" customHeight="1">
      <c r="A236" s="99"/>
      <c r="AL236" s="7"/>
    </row>
    <row r="237" spans="1:38" ht="12.75" customHeight="1">
      <c r="A237" s="99"/>
      <c r="AL237" s="7"/>
    </row>
    <row r="238" spans="1:38" ht="12.75" customHeight="1">
      <c r="A238" s="99"/>
      <c r="AL238" s="7"/>
    </row>
    <row r="239" spans="1:38" ht="12.75" customHeight="1">
      <c r="A239" s="99"/>
      <c r="AL239" s="7"/>
    </row>
    <row r="240" spans="1:38" ht="12.75" customHeight="1">
      <c r="A240" s="99"/>
      <c r="AL240" s="7"/>
    </row>
    <row r="241" spans="1:38" ht="12.75" customHeight="1">
      <c r="A241" s="99"/>
      <c r="AL241" s="7"/>
    </row>
    <row r="242" spans="1:38" ht="12.75" customHeight="1">
      <c r="A242" s="99"/>
      <c r="AL242" s="7"/>
    </row>
    <row r="243" spans="1:38" ht="12.75" customHeight="1">
      <c r="A243" s="99"/>
      <c r="AL243" s="7"/>
    </row>
    <row r="244" spans="1:38" ht="12.75" customHeight="1">
      <c r="A244" s="99"/>
      <c r="AL244" s="7"/>
    </row>
    <row r="245" spans="1:38" ht="12.75" customHeight="1">
      <c r="A245" s="99"/>
      <c r="AL245" s="7"/>
    </row>
    <row r="246" spans="1:38" ht="12.75" customHeight="1">
      <c r="A246" s="99"/>
      <c r="AL246" s="7"/>
    </row>
    <row r="247" spans="1:38" ht="12.75" customHeight="1">
      <c r="A247" s="99"/>
      <c r="AL247" s="7"/>
    </row>
    <row r="248" spans="1:38" ht="12.75" customHeight="1">
      <c r="A248" s="99"/>
      <c r="AL248" s="7"/>
    </row>
    <row r="249" spans="1:38" ht="12.75" customHeight="1">
      <c r="A249" s="99"/>
      <c r="AL249" s="7"/>
    </row>
    <row r="250" spans="1:38" ht="12.75" customHeight="1">
      <c r="A250" s="99"/>
      <c r="AL250" s="7"/>
    </row>
    <row r="251" spans="1:38" ht="12.75" customHeight="1">
      <c r="A251" s="99"/>
      <c r="AL251" s="7"/>
    </row>
    <row r="252" spans="1:38" ht="12.75" customHeight="1">
      <c r="A252" s="99"/>
      <c r="AL252" s="7"/>
    </row>
    <row r="253" spans="1:38" ht="12.75" customHeight="1">
      <c r="A253" s="99"/>
      <c r="AL253" s="7"/>
    </row>
    <row r="254" spans="1:38" ht="12.75" customHeight="1">
      <c r="A254" s="99"/>
      <c r="AL254" s="7"/>
    </row>
    <row r="255" spans="1:38" ht="12.75" customHeight="1">
      <c r="A255" s="99"/>
      <c r="AL255" s="7"/>
    </row>
    <row r="256" spans="1:38" ht="12.75" customHeight="1">
      <c r="A256" s="99"/>
      <c r="AL256" s="7"/>
    </row>
    <row r="257" spans="1:38" ht="12.75" customHeight="1">
      <c r="A257" s="99"/>
      <c r="AL257" s="7"/>
    </row>
    <row r="258" spans="1:38" ht="12.75" customHeight="1">
      <c r="A258" s="99"/>
      <c r="AL258" s="7"/>
    </row>
    <row r="259" spans="1:38" ht="12.75" customHeight="1">
      <c r="A259" s="99"/>
      <c r="AL259" s="7"/>
    </row>
    <row r="260" spans="1:38" ht="12.75" customHeight="1">
      <c r="A260" s="99"/>
      <c r="AL260" s="7"/>
    </row>
    <row r="261" spans="1:38" ht="12.75" customHeight="1">
      <c r="A261" s="99"/>
      <c r="AL261" s="7"/>
    </row>
    <row r="262" spans="1:38" ht="12.75" customHeight="1">
      <c r="A262" s="99"/>
      <c r="AL262" s="7"/>
    </row>
    <row r="263" spans="1:38" ht="12.75" customHeight="1">
      <c r="A263" s="99"/>
      <c r="AL263" s="7"/>
    </row>
    <row r="264" spans="1:38" ht="12.75" customHeight="1">
      <c r="A264" s="99"/>
      <c r="AL264" s="7"/>
    </row>
    <row r="265" spans="1:38" ht="12.75" customHeight="1">
      <c r="A265" s="99"/>
      <c r="AL265" s="7"/>
    </row>
    <row r="266" spans="1:38" ht="12.75" customHeight="1">
      <c r="A266" s="99"/>
      <c r="AL266" s="7"/>
    </row>
    <row r="267" spans="1:38" ht="12.75" customHeight="1">
      <c r="A267" s="99"/>
      <c r="AL267" s="7"/>
    </row>
    <row r="268" spans="1:38" ht="12.75" customHeight="1">
      <c r="A268" s="99"/>
      <c r="AL268" s="7"/>
    </row>
    <row r="269" spans="1:38" ht="12.75" customHeight="1">
      <c r="A269" s="99"/>
      <c r="AL269" s="7"/>
    </row>
    <row r="270" spans="1:38" ht="12.75" customHeight="1">
      <c r="A270" s="99"/>
      <c r="AL270" s="7"/>
    </row>
    <row r="271" spans="1:38" ht="12.75" customHeight="1">
      <c r="A271" s="99"/>
      <c r="AL271" s="7"/>
    </row>
    <row r="272" spans="1:38" ht="12.75" customHeight="1">
      <c r="A272" s="99"/>
      <c r="AL272" s="7"/>
    </row>
    <row r="273" spans="1:38" ht="12.75" customHeight="1">
      <c r="A273" s="99"/>
      <c r="AL273" s="7"/>
    </row>
    <row r="274" spans="1:38" ht="12.75" customHeight="1">
      <c r="A274" s="99"/>
      <c r="AL274" s="7"/>
    </row>
    <row r="275" spans="1:38" ht="12.75" customHeight="1">
      <c r="A275" s="99"/>
      <c r="AL275" s="7"/>
    </row>
    <row r="276" spans="1:38" ht="12.75" customHeight="1">
      <c r="A276" s="99"/>
      <c r="AL276" s="7"/>
    </row>
    <row r="277" spans="1:38" ht="12.75" customHeight="1">
      <c r="A277" s="99"/>
      <c r="AL277" s="7"/>
    </row>
    <row r="278" spans="1:38" ht="12.75" customHeight="1">
      <c r="A278" s="99"/>
      <c r="AL278" s="7"/>
    </row>
    <row r="279" spans="1:38" ht="12.75" customHeight="1">
      <c r="A279" s="99"/>
      <c r="AL279" s="7"/>
    </row>
    <row r="280" spans="1:38" ht="12.75" customHeight="1">
      <c r="A280" s="99"/>
      <c r="AL280" s="7"/>
    </row>
    <row r="281" spans="1:38" ht="12.75" customHeight="1">
      <c r="A281" s="99"/>
      <c r="AL281" s="7"/>
    </row>
    <row r="282" spans="1:38" ht="12.75" customHeight="1">
      <c r="A282" s="99"/>
      <c r="AL282" s="7"/>
    </row>
    <row r="283" spans="1:38" ht="12.75" customHeight="1">
      <c r="A283" s="99"/>
      <c r="AL283" s="7"/>
    </row>
    <row r="284" spans="1:38" ht="12.75" customHeight="1">
      <c r="A284" s="99"/>
      <c r="AL284" s="7"/>
    </row>
    <row r="285" spans="1:38" ht="12.75" customHeight="1">
      <c r="A285" s="99"/>
      <c r="AL285" s="7"/>
    </row>
    <row r="286" spans="1:38" ht="12.75" customHeight="1">
      <c r="A286" s="99"/>
      <c r="AL286" s="7"/>
    </row>
    <row r="287" spans="1:38" ht="12.75" customHeight="1">
      <c r="A287" s="99"/>
      <c r="AL287" s="7"/>
    </row>
    <row r="288" spans="1:38" ht="12.75" customHeight="1">
      <c r="A288" s="99"/>
      <c r="AL288" s="7"/>
    </row>
    <row r="289" spans="1:38" ht="12.75" customHeight="1">
      <c r="A289" s="99"/>
      <c r="AL289" s="7"/>
    </row>
    <row r="290" spans="1:38" ht="12.75" customHeight="1">
      <c r="A290" s="99"/>
      <c r="AL290" s="7"/>
    </row>
    <row r="291" spans="1:38" ht="12.75" customHeight="1">
      <c r="A291" s="99"/>
      <c r="AL291" s="7"/>
    </row>
    <row r="292" spans="1:38" ht="12.75" customHeight="1">
      <c r="A292" s="99"/>
      <c r="AL292" s="7"/>
    </row>
    <row r="293" spans="1:38" ht="12.75" customHeight="1">
      <c r="A293" s="99"/>
      <c r="AL293" s="7"/>
    </row>
    <row r="294" spans="1:38" ht="12.75" customHeight="1">
      <c r="A294" s="99"/>
      <c r="AL294" s="7"/>
    </row>
    <row r="295" spans="1:38" ht="12.75" customHeight="1">
      <c r="A295" s="99"/>
      <c r="AL295" s="7"/>
    </row>
    <row r="296" spans="1:38" ht="12.75" customHeight="1">
      <c r="A296" s="99"/>
      <c r="AL296" s="7"/>
    </row>
    <row r="297" spans="1:38" ht="12.75" customHeight="1">
      <c r="A297" s="99"/>
      <c r="AL297" s="7"/>
    </row>
    <row r="298" spans="1:38" ht="12.75" customHeight="1">
      <c r="A298" s="99"/>
      <c r="AL298" s="7"/>
    </row>
    <row r="299" spans="1:38" ht="12.75" customHeight="1">
      <c r="A299" s="99"/>
      <c r="AL299" s="7"/>
    </row>
    <row r="300" spans="1:38" ht="12.75" customHeight="1">
      <c r="A300" s="99"/>
      <c r="AL300" s="7"/>
    </row>
    <row r="301" spans="1:38" ht="12.75" customHeight="1">
      <c r="A301" s="99"/>
      <c r="AL301" s="7"/>
    </row>
    <row r="302" spans="1:38" ht="12.75" customHeight="1">
      <c r="A302" s="99"/>
      <c r="AL302" s="7"/>
    </row>
    <row r="303" spans="1:38" ht="12.75" customHeight="1">
      <c r="A303" s="99"/>
      <c r="AL303" s="7"/>
    </row>
    <row r="304" spans="1:38" ht="12.75" customHeight="1">
      <c r="A304" s="99"/>
      <c r="AL304" s="7"/>
    </row>
    <row r="305" spans="1:38" ht="12.75" customHeight="1">
      <c r="A305" s="99"/>
      <c r="AL305" s="7"/>
    </row>
    <row r="306" spans="1:38" ht="12.75" customHeight="1">
      <c r="A306" s="99"/>
      <c r="AL306" s="7"/>
    </row>
    <row r="307" spans="1:38" ht="12.75" customHeight="1">
      <c r="A307" s="99"/>
      <c r="AL307" s="7"/>
    </row>
    <row r="308" spans="1:38" ht="12.75" customHeight="1">
      <c r="A308" s="99"/>
      <c r="AL308" s="7"/>
    </row>
    <row r="309" spans="1:38" ht="12.75" customHeight="1">
      <c r="A309" s="99"/>
      <c r="AL309" s="7"/>
    </row>
    <row r="310" spans="1:38" ht="12.75" customHeight="1">
      <c r="A310" s="99"/>
      <c r="AL310" s="7"/>
    </row>
    <row r="311" spans="1:38" ht="12.75" customHeight="1">
      <c r="A311" s="99"/>
      <c r="AL311" s="7"/>
    </row>
    <row r="312" spans="1:38" ht="12.75" customHeight="1">
      <c r="A312" s="99"/>
      <c r="AL312" s="7"/>
    </row>
    <row r="313" spans="1:38" ht="12.75" customHeight="1">
      <c r="A313" s="99"/>
      <c r="AL313" s="7"/>
    </row>
    <row r="314" spans="1:38" ht="12.75" customHeight="1">
      <c r="A314" s="99"/>
      <c r="AL314" s="7"/>
    </row>
    <row r="315" spans="1:38" ht="12.75" customHeight="1">
      <c r="A315" s="99"/>
      <c r="AL315" s="7"/>
    </row>
    <row r="316" spans="1:38" ht="12.75" customHeight="1">
      <c r="A316" s="99"/>
      <c r="AL316" s="7"/>
    </row>
    <row r="317" spans="1:38" ht="12.75" customHeight="1">
      <c r="A317" s="99"/>
      <c r="AL317" s="7"/>
    </row>
    <row r="318" spans="1:38" ht="12.75" customHeight="1">
      <c r="A318" s="99"/>
      <c r="AL318" s="7"/>
    </row>
    <row r="319" spans="1:38" ht="12.75" customHeight="1">
      <c r="A319" s="99"/>
      <c r="AL319" s="7"/>
    </row>
    <row r="320" spans="1:38" ht="12.75" customHeight="1">
      <c r="A320" s="99"/>
      <c r="AL320" s="7"/>
    </row>
    <row r="321" spans="1:38" ht="12.75" customHeight="1">
      <c r="A321" s="99"/>
      <c r="AL321" s="7"/>
    </row>
    <row r="322" spans="1:38" ht="12.75" customHeight="1">
      <c r="A322" s="99"/>
      <c r="AL322" s="7"/>
    </row>
    <row r="323" spans="1:38" ht="12.75" customHeight="1">
      <c r="A323" s="99"/>
      <c r="AL323" s="7"/>
    </row>
    <row r="324" spans="1:38" ht="12.75" customHeight="1">
      <c r="A324" s="99"/>
      <c r="AL324" s="7"/>
    </row>
    <row r="325" spans="1:38" ht="12.75" customHeight="1">
      <c r="A325" s="99"/>
      <c r="AL325" s="7"/>
    </row>
    <row r="326" spans="1:38" ht="12.75" customHeight="1">
      <c r="A326" s="99"/>
      <c r="AL326" s="7"/>
    </row>
    <row r="327" spans="1:38" ht="12.75" customHeight="1">
      <c r="A327" s="99"/>
      <c r="AL327" s="7"/>
    </row>
    <row r="328" spans="1:38" ht="12.75" customHeight="1">
      <c r="A328" s="99"/>
      <c r="AL328" s="7"/>
    </row>
    <row r="329" spans="1:38" ht="12.75" customHeight="1">
      <c r="A329" s="99"/>
      <c r="AL329" s="7"/>
    </row>
    <row r="330" spans="1:38" ht="12.75" customHeight="1">
      <c r="A330" s="99"/>
      <c r="AL330" s="7"/>
    </row>
    <row r="331" spans="1:38" ht="12.75" customHeight="1">
      <c r="A331" s="99"/>
      <c r="AL331" s="7"/>
    </row>
    <row r="332" spans="1:38" ht="12.75" customHeight="1">
      <c r="A332" s="99"/>
      <c r="AL332" s="7"/>
    </row>
    <row r="333" spans="1:38" ht="12.75" customHeight="1">
      <c r="A333" s="99"/>
      <c r="AL333" s="7"/>
    </row>
    <row r="334" spans="1:38" ht="12.75" customHeight="1">
      <c r="A334" s="99"/>
      <c r="AL334" s="7"/>
    </row>
    <row r="335" spans="1:38" ht="12.75" customHeight="1">
      <c r="A335" s="99"/>
      <c r="AL335" s="7"/>
    </row>
    <row r="336" spans="1:38" ht="12.75" customHeight="1">
      <c r="A336" s="99"/>
      <c r="AL336" s="7"/>
    </row>
    <row r="337" spans="1:38" ht="12.75" customHeight="1">
      <c r="A337" s="99"/>
      <c r="AL337" s="7"/>
    </row>
    <row r="338" spans="1:38" ht="12.75" customHeight="1">
      <c r="A338" s="99"/>
      <c r="AL338" s="7"/>
    </row>
    <row r="339" spans="1:38" ht="12.75" customHeight="1">
      <c r="A339" s="99"/>
      <c r="AL339" s="7"/>
    </row>
    <row r="340" spans="1:38" ht="12.75" customHeight="1">
      <c r="A340" s="99"/>
      <c r="AL340" s="7"/>
    </row>
    <row r="341" spans="1:38" ht="12.75" customHeight="1">
      <c r="A341" s="99"/>
      <c r="AL341" s="7"/>
    </row>
    <row r="342" spans="1:38" ht="12.75" customHeight="1">
      <c r="A342" s="99"/>
      <c r="AL342" s="7"/>
    </row>
    <row r="343" spans="1:38" ht="12.75" customHeight="1">
      <c r="A343" s="99"/>
      <c r="AL343" s="7"/>
    </row>
    <row r="344" spans="1:38" ht="12.75" customHeight="1">
      <c r="A344" s="99"/>
      <c r="AL344" s="7"/>
    </row>
    <row r="345" spans="1:38" ht="12.75" customHeight="1">
      <c r="A345" s="99"/>
      <c r="AL345" s="7"/>
    </row>
    <row r="346" spans="1:38" ht="12.75" customHeight="1">
      <c r="A346" s="99"/>
      <c r="AL346" s="7"/>
    </row>
    <row r="347" spans="1:38" ht="12.75" customHeight="1">
      <c r="A347" s="99"/>
      <c r="AL347" s="7"/>
    </row>
    <row r="348" spans="1:38" ht="12.75" customHeight="1">
      <c r="A348" s="99"/>
      <c r="AL348" s="7"/>
    </row>
    <row r="349" spans="1:38" ht="12.75" customHeight="1">
      <c r="A349" s="99"/>
      <c r="AL349" s="7"/>
    </row>
    <row r="350" spans="1:38" ht="12.75" customHeight="1">
      <c r="A350" s="99"/>
      <c r="AL350" s="7"/>
    </row>
    <row r="351" spans="1:38" ht="12.75" customHeight="1">
      <c r="A351" s="99"/>
      <c r="AL351" s="7"/>
    </row>
    <row r="352" spans="1:38" ht="12.75" customHeight="1">
      <c r="A352" s="99"/>
      <c r="AL352" s="7"/>
    </row>
    <row r="353" spans="1:38" ht="12.75" customHeight="1">
      <c r="A353" s="99"/>
      <c r="AL353" s="7"/>
    </row>
    <row r="354" spans="1:38" ht="12.75" customHeight="1">
      <c r="A354" s="99"/>
      <c r="AL354" s="7"/>
    </row>
    <row r="355" spans="1:38" ht="12.75" customHeight="1">
      <c r="A355" s="99"/>
      <c r="AL355" s="7"/>
    </row>
    <row r="356" spans="1:38" ht="12.75" customHeight="1">
      <c r="A356" s="99"/>
      <c r="AL356" s="7"/>
    </row>
    <row r="357" spans="1:38" ht="12.75" customHeight="1">
      <c r="A357" s="99"/>
      <c r="AL357" s="7"/>
    </row>
    <row r="358" spans="1:38" ht="12.75" customHeight="1">
      <c r="A358" s="99"/>
      <c r="AL358" s="7"/>
    </row>
    <row r="359" spans="1:38" ht="12.75" customHeight="1">
      <c r="A359" s="99"/>
      <c r="AL359" s="7"/>
    </row>
    <row r="360" spans="1:38" ht="12.75" customHeight="1">
      <c r="A360" s="99"/>
      <c r="AL360" s="7"/>
    </row>
    <row r="361" spans="1:38" ht="12.75" customHeight="1">
      <c r="A361" s="99"/>
      <c r="AL361" s="7"/>
    </row>
    <row r="362" spans="1:38" ht="12.75" customHeight="1">
      <c r="A362" s="99"/>
      <c r="AL362" s="7"/>
    </row>
    <row r="363" spans="1:38" ht="12.75" customHeight="1">
      <c r="A363" s="99"/>
      <c r="AL363" s="7"/>
    </row>
    <row r="364" spans="1:38" ht="12.75" customHeight="1">
      <c r="A364" s="99"/>
      <c r="AL364" s="7"/>
    </row>
    <row r="365" spans="1:38" ht="12.75" customHeight="1">
      <c r="A365" s="99"/>
      <c r="AL365" s="7"/>
    </row>
    <row r="366" spans="1:38" ht="12.75" customHeight="1">
      <c r="A366" s="99"/>
      <c r="AL366" s="7"/>
    </row>
    <row r="367" spans="1:38" ht="12.75" customHeight="1">
      <c r="A367" s="99"/>
      <c r="AL367" s="7"/>
    </row>
    <row r="368" spans="1:38" ht="12.75" customHeight="1">
      <c r="A368" s="99"/>
      <c r="AL368" s="7"/>
    </row>
    <row r="369" spans="1:38" ht="12.75" customHeight="1">
      <c r="A369" s="99"/>
      <c r="AL369" s="7"/>
    </row>
    <row r="370" spans="1:38" ht="12.75" customHeight="1">
      <c r="A370" s="99"/>
      <c r="AL370" s="7"/>
    </row>
    <row r="371" spans="1:38" ht="12.75" customHeight="1">
      <c r="A371" s="99"/>
      <c r="AL371" s="7"/>
    </row>
    <row r="372" spans="1:38" ht="12.75" customHeight="1">
      <c r="A372" s="99"/>
      <c r="AL372" s="7"/>
    </row>
    <row r="373" spans="1:38" ht="12.75" customHeight="1">
      <c r="A373" s="99"/>
      <c r="AL373" s="7"/>
    </row>
    <row r="374" spans="1:38" ht="12.75" customHeight="1">
      <c r="A374" s="99"/>
      <c r="AL374" s="7"/>
    </row>
    <row r="375" spans="1:38" ht="12.75" customHeight="1">
      <c r="A375" s="99"/>
      <c r="AL375" s="7"/>
    </row>
    <row r="376" spans="1:38" ht="12.75" customHeight="1">
      <c r="A376" s="99"/>
      <c r="AL376" s="7"/>
    </row>
    <row r="377" spans="1:38" ht="12.75" customHeight="1">
      <c r="A377" s="99"/>
      <c r="AL377" s="7"/>
    </row>
    <row r="378" spans="1:38" ht="12.75" customHeight="1">
      <c r="A378" s="99"/>
      <c r="AL378" s="7"/>
    </row>
    <row r="379" spans="1:38" ht="12.75" customHeight="1">
      <c r="A379" s="99"/>
      <c r="AL379" s="7"/>
    </row>
    <row r="380" spans="1:38" ht="12.75" customHeight="1">
      <c r="A380" s="99"/>
      <c r="AL380" s="7"/>
    </row>
    <row r="381" spans="1:38" ht="12.75" customHeight="1">
      <c r="A381" s="99"/>
      <c r="AL381" s="7"/>
    </row>
    <row r="382" spans="1:38" ht="12.75" customHeight="1">
      <c r="A382" s="99"/>
      <c r="AL382" s="7"/>
    </row>
    <row r="383" spans="1:38" ht="12.75" customHeight="1">
      <c r="A383" s="99"/>
      <c r="AL383" s="7"/>
    </row>
    <row r="384" spans="1:38" ht="12.75" customHeight="1">
      <c r="A384" s="99"/>
      <c r="AL384" s="7"/>
    </row>
    <row r="385" spans="1:38" ht="12.75" customHeight="1">
      <c r="A385" s="99"/>
      <c r="AL385" s="7"/>
    </row>
    <row r="386" spans="1:38" ht="12.75" customHeight="1">
      <c r="A386" s="99"/>
      <c r="AL386" s="7"/>
    </row>
    <row r="387" spans="1:38" ht="12.75" customHeight="1">
      <c r="A387" s="99"/>
      <c r="AL387" s="7"/>
    </row>
    <row r="388" spans="1:38" ht="12.75" customHeight="1">
      <c r="A388" s="99"/>
      <c r="AL388" s="7"/>
    </row>
    <row r="389" spans="1:38" ht="12.75" customHeight="1">
      <c r="A389" s="99"/>
      <c r="AL389" s="7"/>
    </row>
    <row r="390" spans="1:38" ht="12.75" customHeight="1">
      <c r="A390" s="99"/>
      <c r="AL390" s="7"/>
    </row>
    <row r="391" spans="1:38" ht="12.75" customHeight="1">
      <c r="A391" s="99"/>
      <c r="AL391" s="7"/>
    </row>
    <row r="392" spans="1:38" ht="12.75" customHeight="1">
      <c r="A392" s="99"/>
      <c r="AL392" s="7"/>
    </row>
    <row r="393" spans="1:38" ht="12.75" customHeight="1">
      <c r="A393" s="99"/>
      <c r="AL393" s="7"/>
    </row>
    <row r="394" spans="1:38" ht="12.75" customHeight="1">
      <c r="A394" s="99"/>
      <c r="AL394" s="7"/>
    </row>
    <row r="395" spans="1:38" ht="12.75" customHeight="1">
      <c r="A395" s="99"/>
      <c r="AL395" s="7"/>
    </row>
    <row r="396" spans="1:38" ht="12.75" customHeight="1">
      <c r="A396" s="99"/>
      <c r="AL396" s="7"/>
    </row>
    <row r="397" spans="1:38" ht="12.75" customHeight="1">
      <c r="A397" s="99"/>
      <c r="AL397" s="7"/>
    </row>
    <row r="398" spans="1:38" ht="12.75" customHeight="1">
      <c r="A398" s="99"/>
      <c r="AL398" s="7"/>
    </row>
    <row r="399" spans="1:38" ht="12.75" customHeight="1">
      <c r="A399" s="99"/>
      <c r="AL399" s="7"/>
    </row>
    <row r="400" spans="1:38" ht="12.75" customHeight="1">
      <c r="A400" s="99"/>
      <c r="AL400" s="7"/>
    </row>
    <row r="401" spans="1:38" ht="12.75" customHeight="1">
      <c r="A401" s="99"/>
      <c r="AL401" s="7"/>
    </row>
    <row r="402" spans="1:38" ht="12.75" customHeight="1">
      <c r="A402" s="99"/>
      <c r="AL402" s="7"/>
    </row>
    <row r="403" spans="1:38" ht="12.75" customHeight="1">
      <c r="A403" s="99"/>
      <c r="AL403" s="7"/>
    </row>
    <row r="404" spans="1:38" ht="12.75" customHeight="1">
      <c r="A404" s="99"/>
      <c r="AL404" s="7"/>
    </row>
    <row r="405" spans="1:38" ht="12.75" customHeight="1">
      <c r="A405" s="99"/>
      <c r="AL405" s="7"/>
    </row>
    <row r="406" spans="1:38" ht="12.75" customHeight="1">
      <c r="A406" s="99"/>
      <c r="AL406" s="7"/>
    </row>
    <row r="407" spans="1:38" ht="12.75" customHeight="1">
      <c r="A407" s="99"/>
      <c r="AL407" s="7"/>
    </row>
    <row r="408" spans="1:38" ht="12.75" customHeight="1">
      <c r="A408" s="99"/>
      <c r="AL408" s="7"/>
    </row>
    <row r="409" spans="1:38" ht="12.75" customHeight="1">
      <c r="A409" s="99"/>
      <c r="AL409" s="7"/>
    </row>
    <row r="410" spans="1:38" ht="12.75" customHeight="1">
      <c r="A410" s="99"/>
      <c r="AL410" s="7"/>
    </row>
    <row r="411" spans="1:38" ht="12.75" customHeight="1">
      <c r="A411" s="99"/>
      <c r="AL411" s="7"/>
    </row>
    <row r="412" spans="1:38" ht="12.75" customHeight="1">
      <c r="A412" s="99"/>
      <c r="AL412" s="7"/>
    </row>
    <row r="413" spans="1:38" ht="12.75" customHeight="1">
      <c r="A413" s="99"/>
      <c r="AL413" s="7"/>
    </row>
    <row r="414" spans="1:38" ht="12.75" customHeight="1">
      <c r="A414" s="99"/>
      <c r="AL414" s="7"/>
    </row>
    <row r="415" spans="1:38" ht="12.75" customHeight="1">
      <c r="A415" s="99"/>
      <c r="AL415" s="7"/>
    </row>
    <row r="416" spans="1:38" ht="12.75" customHeight="1">
      <c r="A416" s="99"/>
      <c r="AL416" s="7"/>
    </row>
    <row r="417" spans="1:38" ht="12.75" customHeight="1">
      <c r="A417" s="99"/>
      <c r="AL417" s="7"/>
    </row>
    <row r="418" spans="1:38" ht="12.75" customHeight="1">
      <c r="A418" s="99"/>
      <c r="AL418" s="7"/>
    </row>
    <row r="419" spans="1:38" ht="12.75" customHeight="1">
      <c r="A419" s="99"/>
      <c r="AL419" s="7"/>
    </row>
    <row r="420" spans="1:38" ht="12.75" customHeight="1">
      <c r="A420" s="99"/>
      <c r="AL420" s="7"/>
    </row>
    <row r="421" spans="1:38" ht="12.75" customHeight="1">
      <c r="A421" s="99"/>
      <c r="AL421" s="7"/>
    </row>
    <row r="422" spans="1:38" ht="12.75" customHeight="1">
      <c r="A422" s="99"/>
      <c r="AL422" s="7"/>
    </row>
    <row r="423" spans="1:38" ht="12.75" customHeight="1">
      <c r="A423" s="99"/>
      <c r="AL423" s="7"/>
    </row>
    <row r="424" spans="1:38" ht="12.75" customHeight="1">
      <c r="A424" s="99"/>
      <c r="AL424" s="7"/>
    </row>
    <row r="425" spans="1:38" ht="12.75" customHeight="1">
      <c r="A425" s="99"/>
      <c r="AL425" s="7"/>
    </row>
    <row r="426" spans="1:38" ht="12.75" customHeight="1">
      <c r="A426" s="99"/>
      <c r="AL426" s="7"/>
    </row>
    <row r="427" spans="1:38" ht="12.75" customHeight="1">
      <c r="A427" s="99"/>
      <c r="AL427" s="7"/>
    </row>
    <row r="428" spans="1:38" ht="12.75" customHeight="1">
      <c r="A428" s="99"/>
      <c r="AL428" s="7"/>
    </row>
    <row r="429" spans="1:38" ht="12.75" customHeight="1">
      <c r="A429" s="99"/>
      <c r="AL429" s="7"/>
    </row>
    <row r="430" spans="1:38" ht="12.75" customHeight="1">
      <c r="A430" s="99"/>
      <c r="AL430" s="7"/>
    </row>
    <row r="431" spans="1:38" ht="12.75" customHeight="1">
      <c r="A431" s="99"/>
      <c r="AL431" s="7"/>
    </row>
    <row r="432" spans="1:38" ht="12.75" customHeight="1">
      <c r="A432" s="99"/>
      <c r="AL432" s="7"/>
    </row>
    <row r="433" spans="1:38" ht="12.75" customHeight="1">
      <c r="A433" s="99"/>
      <c r="AL433" s="7"/>
    </row>
    <row r="434" spans="1:38" ht="12.75" customHeight="1">
      <c r="A434" s="99"/>
      <c r="AL434" s="7"/>
    </row>
    <row r="435" spans="1:38" ht="12.75" customHeight="1">
      <c r="A435" s="99"/>
      <c r="AL435" s="7"/>
    </row>
    <row r="436" spans="1:38" ht="12.75" customHeight="1">
      <c r="A436" s="99"/>
      <c r="AL436" s="7"/>
    </row>
    <row r="437" spans="1:38" ht="12.75" customHeight="1">
      <c r="A437" s="99"/>
      <c r="AL437" s="7"/>
    </row>
    <row r="438" spans="1:38" ht="12.75" customHeight="1">
      <c r="A438" s="99"/>
      <c r="AL438" s="7"/>
    </row>
    <row r="439" spans="1:38" ht="12.75" customHeight="1">
      <c r="A439" s="99"/>
      <c r="AL439" s="7"/>
    </row>
    <row r="440" spans="1:38" ht="12.75" customHeight="1">
      <c r="A440" s="99"/>
      <c r="AL440" s="7"/>
    </row>
    <row r="441" spans="1:38" ht="12.75" customHeight="1">
      <c r="A441" s="99"/>
      <c r="AL441" s="7"/>
    </row>
    <row r="442" spans="1:38" ht="12.75" customHeight="1">
      <c r="A442" s="99"/>
      <c r="AL442" s="7"/>
    </row>
    <row r="443" spans="1:38" ht="12.75" customHeight="1">
      <c r="A443" s="99"/>
      <c r="AL443" s="7"/>
    </row>
    <row r="444" spans="1:38" ht="12.75" customHeight="1">
      <c r="A444" s="99"/>
      <c r="AL444" s="7"/>
    </row>
    <row r="445" spans="1:38" ht="12.75" customHeight="1">
      <c r="A445" s="99"/>
      <c r="AL445" s="7"/>
    </row>
    <row r="446" spans="1:38" ht="12.75" customHeight="1">
      <c r="A446" s="99"/>
      <c r="AL446" s="7"/>
    </row>
    <row r="447" spans="1:38" ht="12.75" customHeight="1">
      <c r="A447" s="99"/>
      <c r="AL447" s="7"/>
    </row>
    <row r="448" spans="1:38" ht="12.75" customHeight="1">
      <c r="A448" s="99"/>
      <c r="AL448" s="7"/>
    </row>
    <row r="449" spans="1:38" ht="12.75" customHeight="1">
      <c r="A449" s="99"/>
      <c r="AL449" s="7"/>
    </row>
    <row r="450" spans="1:38" ht="12.75" customHeight="1">
      <c r="A450" s="99"/>
      <c r="AL450" s="7"/>
    </row>
    <row r="451" spans="1:38" ht="12.75" customHeight="1">
      <c r="A451" s="99"/>
      <c r="AL451" s="7"/>
    </row>
    <row r="452" spans="1:38" ht="12.75" customHeight="1">
      <c r="A452" s="99"/>
      <c r="AL452" s="7"/>
    </row>
    <row r="453" spans="1:38" ht="12.75" customHeight="1">
      <c r="A453" s="99"/>
      <c r="AL453" s="7"/>
    </row>
    <row r="454" spans="1:38" ht="12.75" customHeight="1">
      <c r="A454" s="99"/>
      <c r="AL454" s="7"/>
    </row>
    <row r="455" spans="1:38" ht="12.75" customHeight="1">
      <c r="A455" s="99"/>
      <c r="AL455" s="7"/>
    </row>
    <row r="456" spans="1:38" ht="12.75" customHeight="1">
      <c r="A456" s="99"/>
      <c r="AL456" s="7"/>
    </row>
    <row r="457" spans="1:38" ht="12.75" customHeight="1">
      <c r="A457" s="99"/>
      <c r="AL457" s="7"/>
    </row>
    <row r="458" spans="1:38" ht="12.75" customHeight="1">
      <c r="A458" s="99"/>
      <c r="AL458" s="7"/>
    </row>
    <row r="459" spans="1:38" ht="12.75" customHeight="1">
      <c r="A459" s="99"/>
      <c r="AL459" s="7"/>
    </row>
    <row r="460" spans="1:38" ht="12.75" customHeight="1">
      <c r="A460" s="99"/>
      <c r="AL460" s="7"/>
    </row>
    <row r="461" spans="1:38" ht="12.75" customHeight="1">
      <c r="A461" s="99"/>
      <c r="AL461" s="7"/>
    </row>
    <row r="462" spans="1:38" ht="12.75" customHeight="1">
      <c r="A462" s="99"/>
      <c r="AL462" s="7"/>
    </row>
    <row r="463" spans="1:38" ht="12.75" customHeight="1">
      <c r="A463" s="99"/>
      <c r="AL463" s="7"/>
    </row>
    <row r="464" spans="1:38" ht="12.75" customHeight="1">
      <c r="A464" s="99"/>
      <c r="AL464" s="7"/>
    </row>
    <row r="465" spans="1:38" ht="12.75" customHeight="1">
      <c r="A465" s="99"/>
      <c r="AL465" s="7"/>
    </row>
    <row r="466" spans="1:38" ht="12.75" customHeight="1">
      <c r="A466" s="99"/>
      <c r="AL466" s="7"/>
    </row>
    <row r="467" spans="1:38" ht="12.75" customHeight="1">
      <c r="A467" s="99"/>
      <c r="AL467" s="7"/>
    </row>
    <row r="468" spans="1:38" ht="12.75" customHeight="1">
      <c r="A468" s="99"/>
      <c r="AL468" s="7"/>
    </row>
    <row r="469" spans="1:38" ht="12.75" customHeight="1">
      <c r="A469" s="99"/>
      <c r="AL469" s="7"/>
    </row>
    <row r="470" spans="1:38" ht="12.75" customHeight="1">
      <c r="A470" s="99"/>
      <c r="AL470" s="7"/>
    </row>
    <row r="471" spans="1:38" ht="12.75" customHeight="1">
      <c r="A471" s="99"/>
      <c r="AL471" s="7"/>
    </row>
    <row r="472" spans="1:38" ht="12.75" customHeight="1">
      <c r="A472" s="99"/>
      <c r="AL472" s="7"/>
    </row>
    <row r="473" spans="1:38" ht="12.75" customHeight="1">
      <c r="A473" s="99"/>
      <c r="AL473" s="7"/>
    </row>
    <row r="474" spans="1:38" ht="12.75" customHeight="1">
      <c r="A474" s="99"/>
      <c r="AL474" s="7"/>
    </row>
    <row r="475" spans="1:38" ht="12.75" customHeight="1">
      <c r="A475" s="99"/>
      <c r="AL475" s="7"/>
    </row>
    <row r="476" spans="1:38" ht="12.75" customHeight="1">
      <c r="A476" s="99"/>
      <c r="AL476" s="7"/>
    </row>
    <row r="477" spans="1:38" ht="12.75" customHeight="1">
      <c r="A477" s="99"/>
      <c r="AL477" s="7"/>
    </row>
    <row r="478" spans="1:38" ht="12.75" customHeight="1">
      <c r="A478" s="99"/>
      <c r="AL478" s="7"/>
    </row>
    <row r="479" spans="1:38" ht="12.75" customHeight="1">
      <c r="A479" s="99"/>
      <c r="AL479" s="7"/>
    </row>
    <row r="480" spans="1:38" ht="12.75" customHeight="1">
      <c r="A480" s="99"/>
      <c r="AL480" s="7"/>
    </row>
    <row r="481" spans="1:38" ht="12.75" customHeight="1">
      <c r="A481" s="99"/>
      <c r="AL481" s="7"/>
    </row>
    <row r="482" spans="1:38" ht="12.75" customHeight="1">
      <c r="A482" s="99"/>
      <c r="AL482" s="7"/>
    </row>
    <row r="483" spans="1:38" ht="12.75" customHeight="1">
      <c r="A483" s="99"/>
      <c r="AL483" s="7"/>
    </row>
    <row r="484" spans="1:38" ht="12.75" customHeight="1">
      <c r="A484" s="99"/>
      <c r="AL484" s="7"/>
    </row>
    <row r="485" spans="1:38" ht="12.75" customHeight="1">
      <c r="A485" s="99"/>
      <c r="AL485" s="7"/>
    </row>
    <row r="486" spans="1:38" ht="12.75" customHeight="1">
      <c r="A486" s="99"/>
      <c r="AL486" s="7"/>
    </row>
    <row r="487" spans="1:38" ht="12.75" customHeight="1">
      <c r="A487" s="99"/>
      <c r="AL487" s="7"/>
    </row>
    <row r="488" spans="1:38" ht="12.75" customHeight="1">
      <c r="A488" s="99"/>
      <c r="AL488" s="7"/>
    </row>
    <row r="489" spans="1:38" ht="12.75" customHeight="1">
      <c r="A489" s="99"/>
      <c r="AL489" s="7"/>
    </row>
    <row r="490" spans="1:38" ht="12.75" customHeight="1">
      <c r="A490" s="99"/>
      <c r="AL490" s="7"/>
    </row>
    <row r="491" spans="1:38" ht="12.75" customHeight="1">
      <c r="A491" s="99"/>
      <c r="AL491" s="7"/>
    </row>
    <row r="492" spans="1:38" ht="12.75" customHeight="1">
      <c r="A492" s="99"/>
      <c r="AL492" s="7"/>
    </row>
    <row r="493" spans="1:38" ht="12.75" customHeight="1">
      <c r="A493" s="99"/>
      <c r="AL493" s="7"/>
    </row>
    <row r="494" spans="1:38" ht="12.75" customHeight="1">
      <c r="A494" s="99"/>
      <c r="AL494" s="7"/>
    </row>
    <row r="495" spans="1:38" ht="12.75" customHeight="1">
      <c r="A495" s="99"/>
      <c r="AL495" s="7"/>
    </row>
    <row r="496" spans="1:38" ht="12.75" customHeight="1">
      <c r="A496" s="99"/>
      <c r="AL496" s="7"/>
    </row>
    <row r="497" spans="1:38" ht="12.75" customHeight="1">
      <c r="A497" s="99"/>
      <c r="AL497" s="7"/>
    </row>
    <row r="498" spans="1:38" ht="12.75" customHeight="1">
      <c r="A498" s="99"/>
      <c r="AL498" s="7"/>
    </row>
    <row r="499" spans="1:38" ht="12.75" customHeight="1">
      <c r="A499" s="99"/>
      <c r="AL499" s="7"/>
    </row>
    <row r="500" spans="1:38" ht="12.75" customHeight="1">
      <c r="A500" s="99"/>
      <c r="AL500" s="7"/>
    </row>
    <row r="501" spans="1:38" ht="12.75" customHeight="1">
      <c r="A501" s="99"/>
      <c r="AL501" s="7"/>
    </row>
    <row r="502" spans="1:38" ht="12.75" customHeight="1">
      <c r="A502" s="99"/>
      <c r="AL502" s="7"/>
    </row>
    <row r="503" spans="1:38" ht="12.75" customHeight="1">
      <c r="A503" s="99"/>
      <c r="AL503" s="7"/>
    </row>
    <row r="504" spans="1:38" ht="12.75" customHeight="1">
      <c r="A504" s="99"/>
      <c r="AL504" s="7"/>
    </row>
    <row r="505" spans="1:38" ht="12.75" customHeight="1">
      <c r="A505" s="99"/>
      <c r="AL505" s="7"/>
    </row>
    <row r="506" spans="1:38" ht="12.75" customHeight="1">
      <c r="A506" s="99"/>
      <c r="AL506" s="7"/>
    </row>
    <row r="507" spans="1:38" ht="12.75" customHeight="1">
      <c r="A507" s="99"/>
      <c r="AL507" s="7"/>
    </row>
    <row r="508" spans="1:38" ht="12.75" customHeight="1">
      <c r="A508" s="99"/>
      <c r="AL508" s="7"/>
    </row>
    <row r="509" spans="1:38" ht="12.75" customHeight="1">
      <c r="A509" s="99"/>
      <c r="AL509" s="7"/>
    </row>
    <row r="510" spans="1:38" ht="12.75" customHeight="1">
      <c r="A510" s="99"/>
      <c r="AL510" s="7"/>
    </row>
    <row r="511" spans="1:38" ht="12.75" customHeight="1">
      <c r="A511" s="99"/>
      <c r="AL511" s="7"/>
    </row>
    <row r="512" spans="1:38" ht="12.75" customHeight="1">
      <c r="A512" s="99"/>
      <c r="AL512" s="7"/>
    </row>
    <row r="513" spans="1:38" ht="12.75" customHeight="1">
      <c r="A513" s="99"/>
      <c r="AL513" s="7"/>
    </row>
    <row r="514" spans="1:38" ht="12.75" customHeight="1">
      <c r="A514" s="99"/>
      <c r="AL514" s="7"/>
    </row>
    <row r="515" spans="1:38" ht="12.75" customHeight="1">
      <c r="A515" s="99"/>
      <c r="AL515" s="7"/>
    </row>
    <row r="516" spans="1:38" ht="12.75" customHeight="1">
      <c r="A516" s="99"/>
      <c r="AL516" s="7"/>
    </row>
    <row r="517" spans="1:38" ht="12.75" customHeight="1">
      <c r="A517" s="99"/>
      <c r="AL517" s="7"/>
    </row>
    <row r="518" spans="1:38" ht="12.75" customHeight="1">
      <c r="A518" s="99"/>
      <c r="AL518" s="7"/>
    </row>
    <row r="519" spans="1:38" ht="12.75" customHeight="1">
      <c r="A519" s="99"/>
      <c r="AL519" s="7"/>
    </row>
    <row r="520" spans="1:38" ht="12.75" customHeight="1">
      <c r="A520" s="99"/>
      <c r="AL520" s="7"/>
    </row>
    <row r="521" spans="1:38" ht="12.75" customHeight="1">
      <c r="A521" s="99"/>
      <c r="AL521" s="7"/>
    </row>
    <row r="522" spans="1:38" ht="12.75" customHeight="1">
      <c r="A522" s="99"/>
      <c r="AL522" s="7"/>
    </row>
    <row r="523" spans="1:38" ht="12.75" customHeight="1">
      <c r="A523" s="99"/>
      <c r="AL523" s="7"/>
    </row>
    <row r="524" spans="1:38" ht="12.75" customHeight="1">
      <c r="A524" s="99"/>
      <c r="AL524" s="7"/>
    </row>
    <row r="525" spans="1:38" ht="12.75" customHeight="1">
      <c r="A525" s="99"/>
      <c r="AL525" s="7"/>
    </row>
    <row r="526" spans="1:38" ht="12.75" customHeight="1">
      <c r="A526" s="99"/>
      <c r="AL526" s="7"/>
    </row>
    <row r="527" spans="1:38" ht="12.75" customHeight="1">
      <c r="A527" s="99"/>
      <c r="AL527" s="7"/>
    </row>
    <row r="528" spans="1:38" ht="12.75" customHeight="1">
      <c r="A528" s="99"/>
      <c r="AL528" s="7"/>
    </row>
    <row r="529" spans="1:38" ht="12.75" customHeight="1">
      <c r="A529" s="99"/>
      <c r="AL529" s="7"/>
    </row>
    <row r="530" spans="1:38" ht="12.75" customHeight="1">
      <c r="A530" s="99"/>
      <c r="AL530" s="7"/>
    </row>
    <row r="531" spans="1:38" ht="12.75" customHeight="1">
      <c r="A531" s="99"/>
      <c r="AL531" s="7"/>
    </row>
    <row r="532" spans="1:38" ht="12.75" customHeight="1">
      <c r="A532" s="99"/>
      <c r="AL532" s="7"/>
    </row>
    <row r="533" spans="1:38" ht="12.75" customHeight="1">
      <c r="A533" s="99"/>
      <c r="AL533" s="7"/>
    </row>
    <row r="534" spans="1:38" ht="12.75" customHeight="1">
      <c r="A534" s="99"/>
      <c r="AL534" s="7"/>
    </row>
    <row r="535" spans="1:38" ht="12.75" customHeight="1">
      <c r="A535" s="99"/>
      <c r="AL535" s="7"/>
    </row>
    <row r="536" spans="1:38" ht="12.75" customHeight="1">
      <c r="A536" s="99"/>
      <c r="AL536" s="7"/>
    </row>
    <row r="537" spans="1:38" ht="12.75" customHeight="1">
      <c r="A537" s="99"/>
      <c r="AL537" s="7"/>
    </row>
    <row r="538" spans="1:38" ht="12.75" customHeight="1">
      <c r="A538" s="99"/>
      <c r="AL538" s="7"/>
    </row>
    <row r="539" spans="1:38" ht="12.75" customHeight="1">
      <c r="A539" s="99"/>
      <c r="AL539" s="7"/>
    </row>
    <row r="540" spans="1:38" ht="12.75" customHeight="1">
      <c r="A540" s="99"/>
      <c r="AL540" s="7"/>
    </row>
    <row r="541" spans="1:38" ht="12.75" customHeight="1">
      <c r="A541" s="99"/>
      <c r="AL541" s="7"/>
    </row>
    <row r="542" spans="1:38" ht="12.75" customHeight="1">
      <c r="A542" s="99"/>
      <c r="AL542" s="7"/>
    </row>
    <row r="543" spans="1:38" ht="12.75" customHeight="1">
      <c r="A543" s="99"/>
      <c r="AL543" s="7"/>
    </row>
    <row r="544" spans="1:38" ht="12.75" customHeight="1">
      <c r="A544" s="99"/>
      <c r="AL544" s="7"/>
    </row>
    <row r="545" spans="1:38" ht="12.75" customHeight="1">
      <c r="A545" s="99"/>
      <c r="AL545" s="7"/>
    </row>
    <row r="546" spans="1:38" ht="12.75" customHeight="1">
      <c r="A546" s="99"/>
      <c r="AL546" s="7"/>
    </row>
    <row r="547" spans="1:38" ht="12.75" customHeight="1">
      <c r="A547" s="99"/>
      <c r="AL547" s="7"/>
    </row>
    <row r="548" spans="1:38" ht="12.75" customHeight="1">
      <c r="A548" s="99"/>
      <c r="AL548" s="7"/>
    </row>
    <row r="549" spans="1:38" ht="12.75" customHeight="1">
      <c r="A549" s="99"/>
      <c r="AL549" s="7"/>
    </row>
    <row r="550" spans="1:38" ht="12.75" customHeight="1">
      <c r="A550" s="99"/>
      <c r="AL550" s="7"/>
    </row>
    <row r="551" spans="1:38" ht="12.75" customHeight="1">
      <c r="A551" s="99"/>
      <c r="AL551" s="7"/>
    </row>
    <row r="552" spans="1:38" ht="12.75" customHeight="1">
      <c r="A552" s="99"/>
      <c r="AL552" s="7"/>
    </row>
    <row r="553" spans="1:38" ht="12.75" customHeight="1">
      <c r="A553" s="99"/>
      <c r="AL553" s="7"/>
    </row>
    <row r="554" spans="1:38" ht="12.75" customHeight="1">
      <c r="A554" s="99"/>
      <c r="AL554" s="7"/>
    </row>
    <row r="555" spans="1:38" ht="12.75" customHeight="1">
      <c r="A555" s="99"/>
      <c r="AL555" s="7"/>
    </row>
    <row r="556" spans="1:38" ht="12.75" customHeight="1">
      <c r="A556" s="99"/>
      <c r="AL556" s="7"/>
    </row>
    <row r="557" spans="1:38" ht="12.75" customHeight="1">
      <c r="A557" s="99"/>
      <c r="AL557" s="7"/>
    </row>
    <row r="558" spans="1:38" ht="12.75" customHeight="1">
      <c r="A558" s="99"/>
      <c r="AL558" s="7"/>
    </row>
    <row r="559" spans="1:38" ht="12.75" customHeight="1">
      <c r="A559" s="99"/>
      <c r="AL559" s="7"/>
    </row>
    <row r="560" spans="1:38" ht="12.75" customHeight="1">
      <c r="A560" s="99"/>
      <c r="AL560" s="7"/>
    </row>
    <row r="561" spans="1:38" ht="12.75" customHeight="1">
      <c r="A561" s="99"/>
      <c r="AL561" s="7"/>
    </row>
    <row r="562" spans="1:38" ht="12.75" customHeight="1">
      <c r="A562" s="99"/>
      <c r="AL562" s="7"/>
    </row>
    <row r="563" spans="1:38" ht="12.75" customHeight="1">
      <c r="A563" s="99"/>
      <c r="AL563" s="7"/>
    </row>
    <row r="564" spans="1:38" ht="12.75" customHeight="1">
      <c r="A564" s="99"/>
      <c r="AL564" s="7"/>
    </row>
    <row r="565" spans="1:38" ht="12.75" customHeight="1">
      <c r="A565" s="99"/>
      <c r="AL565" s="7"/>
    </row>
    <row r="566" spans="1:38" ht="12.75" customHeight="1">
      <c r="A566" s="99"/>
      <c r="AL566" s="7"/>
    </row>
    <row r="567" spans="1:38" ht="12.75" customHeight="1">
      <c r="A567" s="99"/>
      <c r="AL567" s="7"/>
    </row>
    <row r="568" spans="1:38" ht="12.75" customHeight="1">
      <c r="A568" s="99"/>
      <c r="AL568" s="7"/>
    </row>
    <row r="569" spans="1:38" ht="12.75" customHeight="1">
      <c r="A569" s="99"/>
      <c r="AL569" s="7"/>
    </row>
    <row r="570" spans="1:38" ht="12.75" customHeight="1">
      <c r="A570" s="99"/>
      <c r="AL570" s="7"/>
    </row>
    <row r="571" spans="1:38" ht="12.75" customHeight="1">
      <c r="A571" s="99"/>
      <c r="AL571" s="7"/>
    </row>
    <row r="572" spans="1:38" ht="12.75" customHeight="1">
      <c r="A572" s="99"/>
      <c r="AL572" s="7"/>
    </row>
    <row r="573" spans="1:38" ht="12.75" customHeight="1">
      <c r="A573" s="99"/>
      <c r="AL573" s="7"/>
    </row>
    <row r="574" spans="1:38" ht="12.75" customHeight="1">
      <c r="A574" s="99"/>
      <c r="AL574" s="7"/>
    </row>
    <row r="575" spans="1:38" ht="12.75" customHeight="1">
      <c r="A575" s="99"/>
      <c r="AL575" s="7"/>
    </row>
    <row r="576" spans="1:38" ht="12.75" customHeight="1">
      <c r="A576" s="99"/>
      <c r="AL576" s="7"/>
    </row>
    <row r="577" spans="1:38" ht="12.75" customHeight="1">
      <c r="A577" s="99"/>
      <c r="AL577" s="7"/>
    </row>
    <row r="578" spans="1:38" ht="12.75" customHeight="1">
      <c r="A578" s="99"/>
      <c r="AL578" s="7"/>
    </row>
    <row r="579" spans="1:38" ht="12.75" customHeight="1">
      <c r="A579" s="99"/>
      <c r="AL579" s="7"/>
    </row>
    <row r="580" spans="1:38" ht="12.75" customHeight="1">
      <c r="A580" s="99"/>
      <c r="AL580" s="7"/>
    </row>
    <row r="581" spans="1:38" ht="12.75" customHeight="1">
      <c r="A581" s="99"/>
      <c r="AL581" s="7"/>
    </row>
    <row r="582" spans="1:38" ht="12.75" customHeight="1">
      <c r="A582" s="99"/>
      <c r="AL582" s="7"/>
    </row>
    <row r="583" spans="1:38" ht="12.75" customHeight="1">
      <c r="A583" s="99"/>
      <c r="AL583" s="7"/>
    </row>
    <row r="584" spans="1:38" ht="12.75" customHeight="1">
      <c r="A584" s="99"/>
      <c r="AL584" s="7"/>
    </row>
    <row r="585" spans="1:38" ht="12.75" customHeight="1">
      <c r="A585" s="99"/>
      <c r="AL585" s="7"/>
    </row>
    <row r="586" spans="1:38" ht="12.75" customHeight="1">
      <c r="A586" s="99"/>
      <c r="AL586" s="7"/>
    </row>
    <row r="587" spans="1:38" ht="12.75" customHeight="1">
      <c r="A587" s="99"/>
      <c r="AL587" s="7"/>
    </row>
    <row r="588" spans="1:38" ht="12.75" customHeight="1">
      <c r="A588" s="99"/>
      <c r="AL588" s="7"/>
    </row>
    <row r="589" spans="1:38" ht="12.75" customHeight="1">
      <c r="A589" s="99"/>
      <c r="AL589" s="7"/>
    </row>
    <row r="590" spans="1:38" ht="12.75" customHeight="1">
      <c r="A590" s="99"/>
      <c r="AL590" s="7"/>
    </row>
    <row r="591" spans="1:38" ht="12.75" customHeight="1">
      <c r="A591" s="99"/>
      <c r="AL591" s="7"/>
    </row>
    <row r="592" spans="1:38" ht="12.75" customHeight="1">
      <c r="A592" s="99"/>
      <c r="AL592" s="7"/>
    </row>
    <row r="593" spans="1:38" ht="12.75" customHeight="1">
      <c r="A593" s="99"/>
      <c r="AL593" s="7"/>
    </row>
    <row r="594" spans="1:38" ht="12.75" customHeight="1">
      <c r="A594" s="99"/>
      <c r="AL594" s="7"/>
    </row>
    <row r="595" spans="1:38" ht="12.75" customHeight="1">
      <c r="A595" s="99"/>
      <c r="AL595" s="7"/>
    </row>
    <row r="596" spans="1:38" ht="12.75" customHeight="1">
      <c r="A596" s="99"/>
      <c r="AL596" s="7"/>
    </row>
    <row r="597" spans="1:38" ht="12.75" customHeight="1">
      <c r="A597" s="99"/>
      <c r="AL597" s="7"/>
    </row>
    <row r="598" spans="1:38" ht="12.75" customHeight="1">
      <c r="A598" s="99"/>
      <c r="AL598" s="7"/>
    </row>
    <row r="599" spans="1:38" ht="12.75" customHeight="1">
      <c r="A599" s="99"/>
      <c r="AL599" s="7"/>
    </row>
    <row r="600" spans="1:38" ht="12.75" customHeight="1">
      <c r="A600" s="99"/>
      <c r="AL600" s="7"/>
    </row>
    <row r="601" spans="1:38" ht="12.75" customHeight="1">
      <c r="A601" s="99"/>
      <c r="AL601" s="7"/>
    </row>
    <row r="602" spans="1:38" ht="12.75" customHeight="1">
      <c r="A602" s="99"/>
      <c r="AL602" s="7"/>
    </row>
    <row r="603" spans="1:38" ht="12.75" customHeight="1">
      <c r="A603" s="99"/>
      <c r="AL603" s="7"/>
    </row>
    <row r="604" spans="1:38" ht="12.75" customHeight="1">
      <c r="A604" s="99"/>
      <c r="AL604" s="7"/>
    </row>
    <row r="605" spans="1:38" ht="12.75" customHeight="1">
      <c r="A605" s="99"/>
      <c r="AL605" s="7"/>
    </row>
    <row r="606" spans="1:38" ht="12.75" customHeight="1">
      <c r="A606" s="99"/>
      <c r="AL606" s="7"/>
    </row>
    <row r="607" spans="1:38" ht="12.75" customHeight="1">
      <c r="A607" s="99"/>
      <c r="AL607" s="7"/>
    </row>
    <row r="608" spans="1:38" ht="12.75" customHeight="1">
      <c r="A608" s="99"/>
      <c r="AL608" s="7"/>
    </row>
    <row r="609" spans="1:38" ht="12.75" customHeight="1">
      <c r="A609" s="99"/>
      <c r="AL609" s="7"/>
    </row>
    <row r="610" spans="1:38" ht="12.75" customHeight="1">
      <c r="A610" s="99"/>
      <c r="AL610" s="7"/>
    </row>
    <row r="611" spans="1:38" ht="12.75" customHeight="1">
      <c r="A611" s="99"/>
      <c r="AL611" s="7"/>
    </row>
    <row r="612" spans="1:38" ht="12.75" customHeight="1">
      <c r="A612" s="99"/>
      <c r="AL612" s="7"/>
    </row>
    <row r="613" spans="1:38" ht="12.75" customHeight="1">
      <c r="A613" s="99"/>
      <c r="AL613" s="7"/>
    </row>
    <row r="614" spans="1:38" ht="12.75" customHeight="1">
      <c r="A614" s="99"/>
      <c r="AL614" s="7"/>
    </row>
    <row r="615" spans="1:38" ht="12.75" customHeight="1">
      <c r="A615" s="99"/>
      <c r="AL615" s="7"/>
    </row>
    <row r="616" spans="1:38" ht="12.75" customHeight="1">
      <c r="A616" s="99"/>
      <c r="AL616" s="7"/>
    </row>
    <row r="617" spans="1:38" ht="12.75" customHeight="1">
      <c r="A617" s="99"/>
      <c r="AL617" s="7"/>
    </row>
    <row r="618" spans="1:38" ht="12.75" customHeight="1">
      <c r="A618" s="99"/>
      <c r="AL618" s="7"/>
    </row>
    <row r="619" spans="1:38" ht="12.75" customHeight="1">
      <c r="A619" s="99"/>
      <c r="AL619" s="7"/>
    </row>
    <row r="620" spans="1:38" ht="12.75" customHeight="1">
      <c r="A620" s="99"/>
      <c r="AL620" s="7"/>
    </row>
    <row r="621" spans="1:38" ht="12.75" customHeight="1">
      <c r="A621" s="99"/>
      <c r="AL621" s="7"/>
    </row>
    <row r="622" spans="1:38" ht="12.75" customHeight="1">
      <c r="A622" s="99"/>
      <c r="AL622" s="7"/>
    </row>
    <row r="623" spans="1:38" ht="12.75" customHeight="1">
      <c r="A623" s="99"/>
      <c r="AL623" s="7"/>
    </row>
    <row r="624" spans="1:38" ht="12.75" customHeight="1">
      <c r="A624" s="99"/>
      <c r="AL624" s="7"/>
    </row>
    <row r="625" spans="1:38" ht="12.75" customHeight="1">
      <c r="A625" s="99"/>
      <c r="AL625" s="7"/>
    </row>
    <row r="626" spans="1:38" ht="12.75" customHeight="1">
      <c r="A626" s="99"/>
      <c r="AL626" s="7"/>
    </row>
    <row r="627" spans="1:38" ht="12.75" customHeight="1">
      <c r="A627" s="99"/>
      <c r="AL627" s="7"/>
    </row>
    <row r="628" spans="1:38" ht="12.75" customHeight="1">
      <c r="A628" s="99"/>
      <c r="AL628" s="7"/>
    </row>
    <row r="629" spans="1:38" ht="12.75" customHeight="1">
      <c r="A629" s="99"/>
      <c r="AL629" s="7"/>
    </row>
    <row r="630" spans="1:38" ht="12.75" customHeight="1">
      <c r="A630" s="99"/>
      <c r="AL630" s="7"/>
    </row>
    <row r="631" spans="1:38" ht="12.75" customHeight="1">
      <c r="A631" s="99"/>
      <c r="AL631" s="7"/>
    </row>
    <row r="632" spans="1:38" ht="12.75" customHeight="1">
      <c r="A632" s="99"/>
      <c r="AL632" s="7"/>
    </row>
    <row r="633" spans="1:38" ht="12.75" customHeight="1">
      <c r="A633" s="99"/>
      <c r="AL633" s="7"/>
    </row>
    <row r="634" spans="1:38" ht="12.75" customHeight="1">
      <c r="A634" s="99"/>
      <c r="AL634" s="7"/>
    </row>
    <row r="635" spans="1:38" ht="12.75" customHeight="1">
      <c r="A635" s="99"/>
      <c r="AL635" s="7"/>
    </row>
    <row r="636" spans="1:38" ht="12.75" customHeight="1">
      <c r="A636" s="99"/>
      <c r="AL636" s="7"/>
    </row>
    <row r="637" spans="1:38" ht="12.75" customHeight="1">
      <c r="A637" s="99"/>
      <c r="AL637" s="7"/>
    </row>
    <row r="638" spans="1:38" ht="12.75" customHeight="1">
      <c r="A638" s="99"/>
      <c r="AL638" s="7"/>
    </row>
    <row r="639" spans="1:38" ht="12.75" customHeight="1">
      <c r="A639" s="99"/>
      <c r="AL639" s="7"/>
    </row>
    <row r="640" spans="1:38" ht="12.75" customHeight="1">
      <c r="A640" s="99"/>
      <c r="AL640" s="7"/>
    </row>
    <row r="641" spans="1:38" ht="12.75" customHeight="1">
      <c r="A641" s="99"/>
      <c r="AL641" s="7"/>
    </row>
    <row r="642" spans="1:38" ht="12.75" customHeight="1">
      <c r="A642" s="99"/>
      <c r="AL642" s="7"/>
    </row>
    <row r="643" spans="1:38" ht="12.75" customHeight="1">
      <c r="A643" s="99"/>
      <c r="AL643" s="7"/>
    </row>
    <row r="644" spans="1:38" ht="12.75" customHeight="1">
      <c r="A644" s="99"/>
      <c r="AL644" s="7"/>
    </row>
    <row r="645" spans="1:38" ht="12.75" customHeight="1">
      <c r="A645" s="99"/>
      <c r="AL645" s="7"/>
    </row>
    <row r="646" spans="1:38" ht="12.75" customHeight="1">
      <c r="A646" s="99"/>
      <c r="AL646" s="7"/>
    </row>
    <row r="647" spans="1:38" ht="12.75" customHeight="1">
      <c r="A647" s="99"/>
      <c r="AL647" s="7"/>
    </row>
    <row r="648" spans="1:38" ht="12.75" customHeight="1">
      <c r="A648" s="99"/>
      <c r="AL648" s="7"/>
    </row>
    <row r="649" spans="1:38" ht="12.75" customHeight="1">
      <c r="A649" s="99"/>
      <c r="AL649" s="7"/>
    </row>
    <row r="650" spans="1:38" ht="12.75" customHeight="1">
      <c r="A650" s="99"/>
      <c r="AL650" s="7"/>
    </row>
    <row r="651" spans="1:38" ht="12.75" customHeight="1">
      <c r="A651" s="99"/>
      <c r="AL651" s="7"/>
    </row>
    <row r="652" spans="1:38" ht="12.75" customHeight="1">
      <c r="A652" s="99"/>
      <c r="AL652" s="7"/>
    </row>
    <row r="653" spans="1:38" ht="12.75" customHeight="1">
      <c r="A653" s="99"/>
      <c r="AL653" s="7"/>
    </row>
    <row r="654" spans="1:38" ht="12.75" customHeight="1">
      <c r="A654" s="99"/>
      <c r="AL654" s="7"/>
    </row>
    <row r="655" spans="1:38" ht="12.75" customHeight="1">
      <c r="A655" s="99"/>
      <c r="AL655" s="7"/>
    </row>
    <row r="656" spans="1:38" ht="12.75" customHeight="1">
      <c r="A656" s="99"/>
      <c r="AL656" s="7"/>
    </row>
    <row r="657" spans="1:38" ht="12.75" customHeight="1">
      <c r="A657" s="99"/>
      <c r="AL657" s="7"/>
    </row>
    <row r="658" spans="1:38" ht="12.75" customHeight="1">
      <c r="A658" s="99"/>
      <c r="AL658" s="7"/>
    </row>
    <row r="659" spans="1:38" ht="12.75" customHeight="1">
      <c r="A659" s="99"/>
      <c r="AL659" s="7"/>
    </row>
    <row r="660" spans="1:38" ht="12.75" customHeight="1">
      <c r="A660" s="99"/>
      <c r="AL660" s="7"/>
    </row>
    <row r="661" spans="1:38" ht="12.75" customHeight="1">
      <c r="A661" s="99"/>
      <c r="AL661" s="7"/>
    </row>
    <row r="662" spans="1:38" ht="12.75" customHeight="1">
      <c r="A662" s="99"/>
      <c r="AL662" s="7"/>
    </row>
    <row r="663" spans="1:38" ht="12.75" customHeight="1">
      <c r="A663" s="99"/>
      <c r="AL663" s="7"/>
    </row>
    <row r="664" spans="1:38" ht="12.75" customHeight="1">
      <c r="A664" s="99"/>
      <c r="AL664" s="7"/>
    </row>
    <row r="665" spans="1:38" ht="12.75" customHeight="1">
      <c r="A665" s="99"/>
      <c r="AL665" s="7"/>
    </row>
    <row r="666" spans="1:38" ht="12.75" customHeight="1">
      <c r="A666" s="99"/>
      <c r="AL666" s="7"/>
    </row>
    <row r="667" spans="1:38" ht="12.75" customHeight="1">
      <c r="A667" s="99"/>
      <c r="AL667" s="7"/>
    </row>
    <row r="668" spans="1:38" ht="12.75" customHeight="1">
      <c r="A668" s="99"/>
      <c r="AL668" s="7"/>
    </row>
    <row r="669" spans="1:38" ht="12.75" customHeight="1">
      <c r="A669" s="99"/>
      <c r="AL669" s="7"/>
    </row>
    <row r="670" spans="1:38" ht="12.75" customHeight="1">
      <c r="A670" s="99"/>
      <c r="AL670" s="7"/>
    </row>
    <row r="671" spans="1:38" ht="12.75" customHeight="1">
      <c r="A671" s="99"/>
      <c r="AL671" s="7"/>
    </row>
    <row r="672" spans="1:38" ht="12.75" customHeight="1">
      <c r="A672" s="99"/>
      <c r="AL672" s="7"/>
    </row>
    <row r="673" spans="1:38" ht="12.75" customHeight="1">
      <c r="A673" s="99"/>
      <c r="AL673" s="7"/>
    </row>
    <row r="674" spans="1:38" ht="12.75" customHeight="1">
      <c r="A674" s="99"/>
      <c r="AL674" s="7"/>
    </row>
    <row r="675" spans="1:38" ht="12.75" customHeight="1">
      <c r="A675" s="99"/>
      <c r="AL675" s="7"/>
    </row>
    <row r="676" spans="1:38" ht="12.75" customHeight="1">
      <c r="A676" s="99"/>
      <c r="AL676" s="7"/>
    </row>
    <row r="677" spans="1:38" ht="12.75" customHeight="1">
      <c r="A677" s="99"/>
      <c r="AL677" s="7"/>
    </row>
    <row r="678" spans="1:38" ht="12.75" customHeight="1">
      <c r="A678" s="99"/>
      <c r="AL678" s="7"/>
    </row>
    <row r="679" spans="1:38" ht="12.75" customHeight="1">
      <c r="A679" s="99"/>
      <c r="AL679" s="7"/>
    </row>
    <row r="680" spans="1:38" ht="12.75" customHeight="1">
      <c r="A680" s="99"/>
      <c r="AL680" s="7"/>
    </row>
    <row r="681" spans="1:38" ht="12.75" customHeight="1">
      <c r="A681" s="99"/>
      <c r="AL681" s="7"/>
    </row>
    <row r="682" spans="1:38" ht="12.75" customHeight="1">
      <c r="A682" s="99"/>
      <c r="AL682" s="7"/>
    </row>
    <row r="683" spans="1:38" ht="12.75" customHeight="1">
      <c r="A683" s="99"/>
      <c r="AL683" s="7"/>
    </row>
    <row r="684" spans="1:38" ht="12.75" customHeight="1">
      <c r="A684" s="99"/>
      <c r="AL684" s="7"/>
    </row>
    <row r="685" spans="1:38" ht="12.75" customHeight="1">
      <c r="A685" s="99"/>
      <c r="AL685" s="7"/>
    </row>
    <row r="686" spans="1:38" ht="12.75" customHeight="1">
      <c r="A686" s="99"/>
      <c r="AL686" s="7"/>
    </row>
    <row r="687" spans="1:38" ht="12.75" customHeight="1">
      <c r="A687" s="99"/>
      <c r="AL687" s="7"/>
    </row>
    <row r="688" spans="1:38" ht="12.75" customHeight="1">
      <c r="A688" s="99"/>
      <c r="AL688" s="7"/>
    </row>
    <row r="689" spans="1:38" ht="12.75" customHeight="1">
      <c r="A689" s="99"/>
      <c r="AL689" s="7"/>
    </row>
    <row r="690" spans="1:38" ht="12.75" customHeight="1">
      <c r="A690" s="99"/>
      <c r="AL690" s="7"/>
    </row>
    <row r="691" spans="1:38" ht="12.75" customHeight="1">
      <c r="A691" s="99"/>
      <c r="AL691" s="7"/>
    </row>
    <row r="692" spans="1:38" ht="12.75" customHeight="1">
      <c r="A692" s="99"/>
      <c r="AL692" s="7"/>
    </row>
    <row r="693" spans="1:38" ht="12.75" customHeight="1">
      <c r="A693" s="99"/>
      <c r="AL693" s="7"/>
    </row>
    <row r="694" spans="1:38" ht="12.75" customHeight="1">
      <c r="A694" s="99"/>
      <c r="AL694" s="7"/>
    </row>
    <row r="695" spans="1:38" ht="12.75" customHeight="1">
      <c r="A695" s="99"/>
      <c r="AL695" s="7"/>
    </row>
    <row r="696" spans="1:38" ht="12.75" customHeight="1">
      <c r="A696" s="99"/>
      <c r="AL696" s="7"/>
    </row>
    <row r="697" spans="1:38" ht="12.75" customHeight="1">
      <c r="A697" s="99"/>
      <c r="AL697" s="7"/>
    </row>
    <row r="698" spans="1:38" ht="12.75" customHeight="1">
      <c r="A698" s="99"/>
      <c r="AL698" s="7"/>
    </row>
    <row r="699" spans="1:38" ht="12.75" customHeight="1">
      <c r="A699" s="99"/>
      <c r="AL699" s="7"/>
    </row>
    <row r="700" spans="1:38" ht="12.75" customHeight="1">
      <c r="A700" s="99"/>
      <c r="AL700" s="7"/>
    </row>
    <row r="701" spans="1:38" ht="12.75" customHeight="1">
      <c r="A701" s="99"/>
      <c r="AL701" s="7"/>
    </row>
    <row r="702" spans="1:38" ht="12.75" customHeight="1">
      <c r="A702" s="99"/>
      <c r="AL702" s="7"/>
    </row>
    <row r="703" spans="1:38" ht="12.75" customHeight="1">
      <c r="A703" s="99"/>
      <c r="AL703" s="7"/>
    </row>
    <row r="704" spans="1:38" ht="12.75" customHeight="1">
      <c r="A704" s="99"/>
      <c r="AL704" s="7"/>
    </row>
    <row r="705" spans="1:38" ht="12.75" customHeight="1">
      <c r="A705" s="99"/>
      <c r="AL705" s="7"/>
    </row>
    <row r="706" spans="1:38" ht="12.75" customHeight="1">
      <c r="A706" s="99"/>
      <c r="AL706" s="7"/>
    </row>
    <row r="707" spans="1:38" ht="12.75" customHeight="1">
      <c r="A707" s="99"/>
      <c r="AL707" s="7"/>
    </row>
    <row r="708" spans="1:38" ht="12.75" customHeight="1">
      <c r="A708" s="99"/>
      <c r="AL708" s="7"/>
    </row>
    <row r="709" spans="1:38" ht="12.75" customHeight="1">
      <c r="A709" s="99"/>
      <c r="AL709" s="7"/>
    </row>
    <row r="710" spans="1:38" ht="12.75" customHeight="1">
      <c r="A710" s="99"/>
      <c r="AL710" s="7"/>
    </row>
    <row r="711" spans="1:38" ht="12.75" customHeight="1">
      <c r="A711" s="99"/>
      <c r="AL711" s="7"/>
    </row>
    <row r="712" spans="1:38" ht="12.75" customHeight="1">
      <c r="A712" s="99"/>
      <c r="AL712" s="7"/>
    </row>
    <row r="713" spans="1:38" ht="12.75" customHeight="1">
      <c r="A713" s="99"/>
      <c r="AL713" s="7"/>
    </row>
    <row r="714" spans="1:38" ht="12.75" customHeight="1">
      <c r="A714" s="99"/>
      <c r="AL714" s="7"/>
    </row>
    <row r="715" spans="1:38" ht="12.75" customHeight="1">
      <c r="A715" s="99"/>
      <c r="AL715" s="7"/>
    </row>
    <row r="716" spans="1:38" ht="12.75" customHeight="1">
      <c r="A716" s="99"/>
      <c r="AL716" s="7"/>
    </row>
    <row r="717" spans="1:38" ht="12.75" customHeight="1">
      <c r="A717" s="99"/>
      <c r="AL717" s="7"/>
    </row>
    <row r="718" spans="1:38" ht="12.75" customHeight="1">
      <c r="A718" s="99"/>
      <c r="AL718" s="7"/>
    </row>
    <row r="719" spans="1:38" ht="12.75" customHeight="1">
      <c r="A719" s="99"/>
      <c r="AL719" s="7"/>
    </row>
    <row r="720" spans="1:38" ht="12.75" customHeight="1">
      <c r="A720" s="99"/>
      <c r="AL720" s="7"/>
    </row>
    <row r="721" spans="1:38" ht="12.75" customHeight="1">
      <c r="A721" s="99"/>
      <c r="AL721" s="7"/>
    </row>
    <row r="722" spans="1:38" ht="12.75" customHeight="1">
      <c r="A722" s="99"/>
      <c r="AL722" s="7"/>
    </row>
    <row r="723" spans="1:38" ht="12.75" customHeight="1">
      <c r="A723" s="99"/>
      <c r="AL723" s="7"/>
    </row>
    <row r="724" spans="1:38" ht="12.75" customHeight="1">
      <c r="A724" s="99"/>
      <c r="AL724" s="7"/>
    </row>
    <row r="725" spans="1:38" ht="12.75" customHeight="1">
      <c r="A725" s="99"/>
      <c r="AL725" s="7"/>
    </row>
    <row r="726" spans="1:38" ht="12.75" customHeight="1">
      <c r="A726" s="99"/>
      <c r="AL726" s="7"/>
    </row>
    <row r="727" spans="1:38" ht="12.75" customHeight="1">
      <c r="A727" s="99"/>
      <c r="AL727" s="7"/>
    </row>
    <row r="728" spans="1:38" ht="12.75" customHeight="1">
      <c r="A728" s="99"/>
      <c r="AL728" s="7"/>
    </row>
    <row r="729" spans="1:38" ht="12.75" customHeight="1">
      <c r="A729" s="99"/>
      <c r="AL729" s="7"/>
    </row>
    <row r="730" spans="1:38" ht="12.75" customHeight="1">
      <c r="A730" s="99"/>
      <c r="AL730" s="7"/>
    </row>
    <row r="731" spans="1:38" ht="12.75" customHeight="1">
      <c r="A731" s="99"/>
      <c r="AL731" s="7"/>
    </row>
    <row r="732" spans="1:38" ht="12.75" customHeight="1">
      <c r="A732" s="99"/>
      <c r="AL732" s="7"/>
    </row>
    <row r="733" spans="1:38" ht="12.75" customHeight="1">
      <c r="A733" s="99"/>
      <c r="AL733" s="7"/>
    </row>
    <row r="734" spans="1:38" ht="12.75" customHeight="1">
      <c r="A734" s="99"/>
      <c r="AL734" s="7"/>
    </row>
    <row r="735" spans="1:38" ht="12.75" customHeight="1">
      <c r="A735" s="99"/>
      <c r="AL735" s="7"/>
    </row>
    <row r="736" spans="1:38" ht="12.75" customHeight="1">
      <c r="A736" s="99"/>
      <c r="AL736" s="7"/>
    </row>
    <row r="737" spans="1:38" ht="12.75" customHeight="1">
      <c r="A737" s="99"/>
      <c r="AL737" s="7"/>
    </row>
    <row r="738" spans="1:38" ht="12.75" customHeight="1">
      <c r="A738" s="99"/>
      <c r="AL738" s="7"/>
    </row>
    <row r="739" spans="1:38" ht="12.75" customHeight="1">
      <c r="A739" s="99"/>
      <c r="AL739" s="7"/>
    </row>
    <row r="740" spans="1:38" ht="12.75" customHeight="1">
      <c r="A740" s="99"/>
      <c r="AL740" s="7"/>
    </row>
    <row r="741" spans="1:38" ht="12.75" customHeight="1">
      <c r="A741" s="99"/>
      <c r="AL741" s="7"/>
    </row>
    <row r="742" spans="1:38" ht="12.75" customHeight="1">
      <c r="A742" s="99"/>
      <c r="AL742" s="7"/>
    </row>
    <row r="743" spans="1:38" ht="12.75" customHeight="1">
      <c r="A743" s="99"/>
      <c r="AL743" s="7"/>
    </row>
    <row r="744" spans="1:38" ht="12.75" customHeight="1">
      <c r="A744" s="99"/>
      <c r="AL744" s="7"/>
    </row>
    <row r="745" spans="1:38" ht="12.75" customHeight="1">
      <c r="A745" s="99"/>
      <c r="AL745" s="7"/>
    </row>
    <row r="746" spans="1:38" ht="12.75" customHeight="1">
      <c r="A746" s="99"/>
      <c r="AL746" s="7"/>
    </row>
    <row r="747" spans="1:38" ht="12.75" customHeight="1">
      <c r="A747" s="99"/>
      <c r="AL747" s="7"/>
    </row>
    <row r="748" spans="1:38" ht="12.75" customHeight="1">
      <c r="A748" s="99"/>
      <c r="AL748" s="7"/>
    </row>
    <row r="749" spans="1:38" ht="12.75" customHeight="1">
      <c r="A749" s="99"/>
      <c r="AL749" s="7"/>
    </row>
    <row r="750" spans="1:38" ht="12.75" customHeight="1">
      <c r="A750" s="99"/>
      <c r="AL750" s="7"/>
    </row>
    <row r="751" spans="1:38" ht="12.75" customHeight="1">
      <c r="A751" s="99"/>
      <c r="AL751" s="7"/>
    </row>
    <row r="752" spans="1:38" ht="12.75" customHeight="1">
      <c r="A752" s="99"/>
      <c r="AL752" s="7"/>
    </row>
    <row r="753" spans="1:38" ht="12.75" customHeight="1">
      <c r="A753" s="99"/>
      <c r="AL753" s="7"/>
    </row>
    <row r="754" spans="1:38" ht="12.75" customHeight="1">
      <c r="A754" s="99"/>
      <c r="AL754" s="7"/>
    </row>
    <row r="755" spans="1:38" ht="12.75" customHeight="1">
      <c r="A755" s="99"/>
      <c r="AL755" s="7"/>
    </row>
    <row r="756" spans="1:38" ht="12.75" customHeight="1">
      <c r="A756" s="99"/>
      <c r="AL756" s="7"/>
    </row>
    <row r="757" spans="1:38" ht="12.75" customHeight="1">
      <c r="A757" s="99"/>
      <c r="AL757" s="7"/>
    </row>
    <row r="758" spans="1:38" ht="12.75" customHeight="1">
      <c r="A758" s="99"/>
      <c r="AL758" s="7"/>
    </row>
    <row r="759" spans="1:38" ht="12.75" customHeight="1">
      <c r="A759" s="99"/>
      <c r="AL759" s="7"/>
    </row>
    <row r="760" spans="1:38" ht="12.75" customHeight="1">
      <c r="A760" s="99"/>
      <c r="AL760" s="7"/>
    </row>
    <row r="761" spans="1:38" ht="12.75" customHeight="1">
      <c r="A761" s="99"/>
      <c r="AL761" s="7"/>
    </row>
    <row r="762" spans="1:38" ht="12.75" customHeight="1">
      <c r="A762" s="99"/>
      <c r="AL762" s="7"/>
    </row>
    <row r="763" spans="1:38" ht="12.75" customHeight="1">
      <c r="A763" s="99"/>
      <c r="AL763" s="7"/>
    </row>
    <row r="764" spans="1:38" ht="12.75" customHeight="1">
      <c r="A764" s="99"/>
      <c r="AL764" s="7"/>
    </row>
    <row r="765" spans="1:38" ht="12.75" customHeight="1">
      <c r="A765" s="99"/>
      <c r="AL765" s="7"/>
    </row>
    <row r="766" spans="1:38" ht="12.75" customHeight="1">
      <c r="A766" s="99"/>
      <c r="AL766" s="7"/>
    </row>
    <row r="767" spans="1:38" ht="12.75" customHeight="1">
      <c r="A767" s="99"/>
      <c r="AL767" s="7"/>
    </row>
    <row r="768" spans="1:38" ht="12.75" customHeight="1">
      <c r="A768" s="99"/>
      <c r="AL768" s="7"/>
    </row>
    <row r="769" spans="1:38" ht="12.75" customHeight="1">
      <c r="A769" s="99"/>
      <c r="AL769" s="7"/>
    </row>
    <row r="770" spans="1:38" ht="12.75" customHeight="1">
      <c r="A770" s="99"/>
      <c r="AL770" s="7"/>
    </row>
    <row r="771" spans="1:38" ht="12.75" customHeight="1">
      <c r="A771" s="99"/>
      <c r="AL771" s="7"/>
    </row>
    <row r="772" spans="1:38" ht="12.75" customHeight="1">
      <c r="A772" s="99"/>
      <c r="AL772" s="7"/>
    </row>
    <row r="773" spans="1:38" ht="12.75" customHeight="1">
      <c r="A773" s="99"/>
      <c r="AL773" s="7"/>
    </row>
    <row r="774" spans="1:38" ht="12.75" customHeight="1">
      <c r="A774" s="99"/>
      <c r="AL774" s="7"/>
    </row>
    <row r="775" spans="1:38" ht="12.75" customHeight="1">
      <c r="A775" s="99"/>
      <c r="AL775" s="7"/>
    </row>
    <row r="776" spans="1:38" ht="12.75" customHeight="1">
      <c r="A776" s="99"/>
      <c r="AL776" s="7"/>
    </row>
    <row r="777" spans="1:38" ht="12.75" customHeight="1">
      <c r="A777" s="99"/>
      <c r="AL777" s="7"/>
    </row>
    <row r="778" spans="1:38" ht="12.75" customHeight="1">
      <c r="A778" s="99"/>
      <c r="AL778" s="7"/>
    </row>
    <row r="779" spans="1:38" ht="12.75" customHeight="1">
      <c r="A779" s="99"/>
      <c r="AL779" s="7"/>
    </row>
    <row r="780" spans="1:38" ht="12.75" customHeight="1">
      <c r="A780" s="99"/>
      <c r="AL780" s="7"/>
    </row>
    <row r="781" spans="1:38" ht="12.75" customHeight="1">
      <c r="A781" s="99"/>
      <c r="AL781" s="7"/>
    </row>
    <row r="782" spans="1:38" ht="12.75" customHeight="1">
      <c r="A782" s="99"/>
      <c r="AL782" s="7"/>
    </row>
    <row r="783" spans="1:38" ht="12.75" customHeight="1">
      <c r="A783" s="99"/>
      <c r="AL783" s="7"/>
    </row>
    <row r="784" spans="1:38" ht="12.75" customHeight="1">
      <c r="A784" s="99"/>
      <c r="AL784" s="7"/>
    </row>
    <row r="785" spans="1:38" ht="12.75" customHeight="1">
      <c r="A785" s="99"/>
      <c r="AL785" s="7"/>
    </row>
    <row r="786" spans="1:38" ht="12.75" customHeight="1">
      <c r="A786" s="99"/>
      <c r="AL786" s="7"/>
    </row>
    <row r="787" spans="1:38" ht="12.75" customHeight="1">
      <c r="A787" s="99"/>
      <c r="AL787" s="7"/>
    </row>
    <row r="788" spans="1:38" ht="12.75" customHeight="1">
      <c r="A788" s="99"/>
      <c r="AL788" s="7"/>
    </row>
    <row r="789" spans="1:38" ht="12.75" customHeight="1">
      <c r="A789" s="99"/>
      <c r="AL789" s="7"/>
    </row>
    <row r="790" spans="1:38" ht="12.75" customHeight="1">
      <c r="A790" s="99"/>
      <c r="AL790" s="7"/>
    </row>
    <row r="791" spans="1:38" ht="12.75" customHeight="1">
      <c r="A791" s="99"/>
      <c r="AL791" s="7"/>
    </row>
    <row r="792" spans="1:38" ht="12.75" customHeight="1">
      <c r="A792" s="99"/>
      <c r="AL792" s="7"/>
    </row>
    <row r="793" spans="1:38" ht="12.75" customHeight="1">
      <c r="A793" s="99"/>
      <c r="AL793" s="7"/>
    </row>
    <row r="794" spans="1:38" ht="12.75" customHeight="1">
      <c r="A794" s="99"/>
      <c r="AL794" s="7"/>
    </row>
    <row r="795" spans="1:38" ht="12.75" customHeight="1">
      <c r="A795" s="99"/>
      <c r="AL795" s="7"/>
    </row>
    <row r="796" spans="1:38" ht="12.75" customHeight="1">
      <c r="A796" s="99"/>
      <c r="AL796" s="7"/>
    </row>
    <row r="797" spans="1:38" ht="12.75" customHeight="1">
      <c r="A797" s="99"/>
      <c r="AL797" s="7"/>
    </row>
    <row r="798" spans="1:38" ht="12.75" customHeight="1">
      <c r="A798" s="99"/>
      <c r="AL798" s="7"/>
    </row>
    <row r="799" spans="1:38" ht="12.75" customHeight="1">
      <c r="A799" s="99"/>
      <c r="AL799" s="7"/>
    </row>
    <row r="800" spans="1:38" ht="12.75" customHeight="1">
      <c r="A800" s="99"/>
      <c r="AL800" s="7"/>
    </row>
    <row r="801" spans="1:38" ht="12.75" customHeight="1">
      <c r="A801" s="99"/>
      <c r="AL801" s="7"/>
    </row>
    <row r="802" spans="1:38" ht="12.75" customHeight="1">
      <c r="A802" s="99"/>
      <c r="AL802" s="7"/>
    </row>
    <row r="803" spans="1:38" ht="12.75" customHeight="1">
      <c r="A803" s="99"/>
      <c r="AL803" s="7"/>
    </row>
    <row r="804" spans="1:38" ht="12.75" customHeight="1">
      <c r="A804" s="99"/>
      <c r="AL804" s="7"/>
    </row>
    <row r="805" spans="1:38" ht="12.75" customHeight="1">
      <c r="A805" s="99"/>
      <c r="AL805" s="7"/>
    </row>
    <row r="806" spans="1:38" ht="12.75" customHeight="1">
      <c r="A806" s="99"/>
      <c r="AL806" s="7"/>
    </row>
    <row r="807" spans="1:38" ht="12.75" customHeight="1">
      <c r="A807" s="99"/>
      <c r="AL807" s="7"/>
    </row>
    <row r="808" spans="1:38" ht="12.75" customHeight="1">
      <c r="A808" s="99"/>
      <c r="AL808" s="7"/>
    </row>
    <row r="809" spans="1:38" ht="12.75" customHeight="1">
      <c r="A809" s="99"/>
      <c r="AL809" s="7"/>
    </row>
    <row r="810" spans="1:38" ht="12.75" customHeight="1">
      <c r="A810" s="99"/>
      <c r="AL810" s="7"/>
    </row>
    <row r="811" spans="1:38" ht="12.75" customHeight="1">
      <c r="A811" s="99"/>
      <c r="AL811" s="7"/>
    </row>
    <row r="812" spans="1:38" ht="12.75" customHeight="1">
      <c r="A812" s="99"/>
      <c r="AL812" s="7"/>
    </row>
    <row r="813" spans="1:38" ht="12.75" customHeight="1">
      <c r="A813" s="99"/>
      <c r="AL813" s="7"/>
    </row>
    <row r="814" spans="1:38" ht="12.75" customHeight="1">
      <c r="A814" s="99"/>
      <c r="AL814" s="7"/>
    </row>
    <row r="815" spans="1:38" ht="12.75" customHeight="1">
      <c r="A815" s="99"/>
      <c r="AL815" s="7"/>
    </row>
    <row r="816" spans="1:38" ht="12.75" customHeight="1">
      <c r="A816" s="99"/>
      <c r="AL816" s="7"/>
    </row>
    <row r="817" spans="1:38" ht="12.75" customHeight="1">
      <c r="A817" s="99"/>
      <c r="AL817" s="7"/>
    </row>
    <row r="818" spans="1:38" ht="12.75" customHeight="1">
      <c r="A818" s="99"/>
      <c r="AL818" s="7"/>
    </row>
    <row r="819" spans="1:38" ht="12.75" customHeight="1">
      <c r="A819" s="99"/>
      <c r="AL819" s="7"/>
    </row>
    <row r="820" spans="1:38" ht="12.75" customHeight="1">
      <c r="A820" s="99"/>
      <c r="AL820" s="7"/>
    </row>
    <row r="821" spans="1:38" ht="12.75" customHeight="1">
      <c r="A821" s="99"/>
      <c r="AL821" s="7"/>
    </row>
    <row r="822" spans="1:38" ht="12.75" customHeight="1">
      <c r="A822" s="99"/>
      <c r="AL822" s="7"/>
    </row>
    <row r="823" spans="1:38" ht="12.75" customHeight="1">
      <c r="A823" s="99"/>
      <c r="AL823" s="7"/>
    </row>
    <row r="824" spans="1:38" ht="12.75" customHeight="1">
      <c r="A824" s="99"/>
      <c r="AL824" s="7"/>
    </row>
    <row r="825" spans="1:38" ht="12.75" customHeight="1">
      <c r="A825" s="99"/>
      <c r="AL825" s="7"/>
    </row>
    <row r="826" spans="1:38" ht="12.75" customHeight="1">
      <c r="A826" s="99"/>
      <c r="AL826" s="7"/>
    </row>
    <row r="827" spans="1:38" ht="12.75" customHeight="1">
      <c r="A827" s="99"/>
      <c r="AL827" s="7"/>
    </row>
    <row r="828" spans="1:38" ht="12.75" customHeight="1">
      <c r="A828" s="99"/>
      <c r="AL828" s="7"/>
    </row>
    <row r="829" spans="1:38" ht="12.75" customHeight="1">
      <c r="A829" s="99"/>
      <c r="AL829" s="7"/>
    </row>
    <row r="830" spans="1:38" ht="12.75" customHeight="1">
      <c r="A830" s="99"/>
      <c r="AL830" s="7"/>
    </row>
    <row r="831" spans="1:38" ht="12.75" customHeight="1">
      <c r="A831" s="99"/>
      <c r="AL831" s="7"/>
    </row>
    <row r="832" spans="1:38" ht="12.75" customHeight="1">
      <c r="A832" s="99"/>
      <c r="AL832" s="7"/>
    </row>
    <row r="833" spans="1:38" ht="12.75" customHeight="1">
      <c r="A833" s="99"/>
      <c r="AL833" s="7"/>
    </row>
    <row r="834" spans="1:38" ht="12.75" customHeight="1">
      <c r="A834" s="99"/>
      <c r="AL834" s="7"/>
    </row>
    <row r="835" spans="1:38" ht="12.75" customHeight="1">
      <c r="A835" s="99"/>
      <c r="AL835" s="7"/>
    </row>
    <row r="836" spans="1:38" ht="12.75" customHeight="1">
      <c r="A836" s="99"/>
      <c r="AL836" s="7"/>
    </row>
    <row r="837" spans="1:38" ht="12.75" customHeight="1">
      <c r="A837" s="99"/>
      <c r="AL837" s="7"/>
    </row>
    <row r="838" spans="1:38" ht="12.75" customHeight="1">
      <c r="A838" s="99"/>
      <c r="AL838" s="7"/>
    </row>
    <row r="839" spans="1:38" ht="12.75" customHeight="1">
      <c r="A839" s="99"/>
      <c r="AL839" s="7"/>
    </row>
    <row r="840" spans="1:38" ht="12.75" customHeight="1">
      <c r="A840" s="99"/>
      <c r="AL840" s="7"/>
    </row>
    <row r="841" spans="1:38" ht="12.75" customHeight="1">
      <c r="A841" s="99"/>
      <c r="AL841" s="7"/>
    </row>
    <row r="842" spans="1:38" ht="12.75" customHeight="1">
      <c r="A842" s="99"/>
      <c r="AL842" s="7"/>
    </row>
    <row r="843" spans="1:38" ht="12.75" customHeight="1">
      <c r="A843" s="99"/>
      <c r="AL843" s="7"/>
    </row>
    <row r="844" spans="1:38" ht="12.75" customHeight="1">
      <c r="A844" s="99"/>
      <c r="AL844" s="7"/>
    </row>
    <row r="845" spans="1:38" ht="12.75" customHeight="1">
      <c r="A845" s="99"/>
      <c r="AL845" s="7"/>
    </row>
    <row r="846" spans="1:38" ht="12.75" customHeight="1">
      <c r="A846" s="99"/>
      <c r="AL846" s="7"/>
    </row>
    <row r="847" spans="1:38" ht="12.75" customHeight="1">
      <c r="A847" s="99"/>
      <c r="AL847" s="7"/>
    </row>
    <row r="848" spans="1:38" ht="12.75" customHeight="1">
      <c r="A848" s="99"/>
      <c r="AL848" s="7"/>
    </row>
    <row r="849" spans="1:38" ht="12.75" customHeight="1">
      <c r="A849" s="99"/>
      <c r="AL849" s="7"/>
    </row>
    <row r="850" spans="1:38" ht="12.75" customHeight="1">
      <c r="A850" s="99"/>
      <c r="AL850" s="7"/>
    </row>
    <row r="851" spans="1:38" ht="12.75" customHeight="1">
      <c r="A851" s="99"/>
      <c r="AL851" s="7"/>
    </row>
    <row r="852" spans="1:38" ht="12.75" customHeight="1">
      <c r="A852" s="99"/>
      <c r="AL852" s="7"/>
    </row>
    <row r="853" spans="1:38" ht="12.75" customHeight="1">
      <c r="A853" s="99"/>
      <c r="AL853" s="7"/>
    </row>
    <row r="854" spans="1:38" ht="12.75" customHeight="1">
      <c r="A854" s="99"/>
      <c r="AL854" s="7"/>
    </row>
    <row r="855" spans="1:38" ht="12.75" customHeight="1">
      <c r="A855" s="99"/>
      <c r="AL855" s="7"/>
    </row>
    <row r="856" spans="1:38" ht="12.75" customHeight="1">
      <c r="A856" s="99"/>
      <c r="AL856" s="7"/>
    </row>
    <row r="857" spans="1:38" ht="12.75" customHeight="1">
      <c r="A857" s="99"/>
      <c r="AL857" s="7"/>
    </row>
    <row r="858" spans="1:38" ht="12.75" customHeight="1">
      <c r="A858" s="99"/>
      <c r="AL858" s="7"/>
    </row>
    <row r="859" spans="1:38" ht="12.75" customHeight="1">
      <c r="A859" s="99"/>
      <c r="AL859" s="7"/>
    </row>
    <row r="860" spans="1:38" ht="12.75" customHeight="1">
      <c r="A860" s="99"/>
      <c r="AL860" s="7"/>
    </row>
    <row r="861" spans="1:38" ht="12.75" customHeight="1">
      <c r="A861" s="99"/>
      <c r="AL861" s="7"/>
    </row>
    <row r="862" spans="1:38" ht="12.75" customHeight="1">
      <c r="A862" s="99"/>
      <c r="AL862" s="7"/>
    </row>
    <row r="863" spans="1:38" ht="12.75" customHeight="1">
      <c r="A863" s="99"/>
      <c r="AL863" s="7"/>
    </row>
    <row r="864" spans="1:38" ht="12.75" customHeight="1">
      <c r="A864" s="99"/>
      <c r="AL864" s="7"/>
    </row>
    <row r="865" spans="1:38" ht="12.75" customHeight="1">
      <c r="A865" s="99"/>
      <c r="AL865" s="7"/>
    </row>
    <row r="866" spans="1:38" ht="12.75" customHeight="1">
      <c r="A866" s="99"/>
      <c r="AL866" s="7"/>
    </row>
    <row r="867" spans="1:38" ht="12.75" customHeight="1">
      <c r="A867" s="99"/>
      <c r="AL867" s="7"/>
    </row>
    <row r="868" spans="1:38" ht="12.75" customHeight="1">
      <c r="A868" s="99"/>
      <c r="AL868" s="7"/>
    </row>
    <row r="869" spans="1:38" ht="12.75" customHeight="1">
      <c r="A869" s="99"/>
      <c r="AL869" s="7"/>
    </row>
    <row r="870" spans="1:38" ht="12.75" customHeight="1">
      <c r="A870" s="99"/>
      <c r="AL870" s="7"/>
    </row>
    <row r="871" spans="1:38" ht="12.75" customHeight="1">
      <c r="A871" s="99"/>
      <c r="AL871" s="7"/>
    </row>
    <row r="872" spans="1:38" ht="12.75" customHeight="1">
      <c r="A872" s="99"/>
      <c r="AL872" s="7"/>
    </row>
    <row r="873" spans="1:38" ht="12.75" customHeight="1">
      <c r="A873" s="99"/>
      <c r="AL873" s="7"/>
    </row>
    <row r="874" spans="1:38" ht="12.75" customHeight="1">
      <c r="A874" s="99"/>
      <c r="AL874" s="7"/>
    </row>
    <row r="875" spans="1:38" ht="12.75" customHeight="1">
      <c r="A875" s="99"/>
      <c r="AL875" s="7"/>
    </row>
    <row r="876" spans="1:38" ht="12.75" customHeight="1">
      <c r="A876" s="99"/>
      <c r="AL876" s="7"/>
    </row>
    <row r="877" spans="1:38" ht="12.75" customHeight="1">
      <c r="A877" s="99"/>
      <c r="AL877" s="7"/>
    </row>
    <row r="878" spans="1:38" ht="12.75" customHeight="1">
      <c r="A878" s="99"/>
      <c r="AL878" s="7"/>
    </row>
    <row r="879" spans="1:38" ht="12.75" customHeight="1">
      <c r="A879" s="99"/>
      <c r="AL879" s="7"/>
    </row>
    <row r="880" spans="1:38" ht="12.75" customHeight="1">
      <c r="A880" s="99"/>
      <c r="AL880" s="7"/>
    </row>
    <row r="881" spans="1:38" ht="12.75" customHeight="1">
      <c r="A881" s="99"/>
      <c r="AL881" s="7"/>
    </row>
    <row r="882" spans="1:38" ht="12.75" customHeight="1">
      <c r="A882" s="99"/>
      <c r="AL882" s="7"/>
    </row>
    <row r="883" spans="1:38" ht="12.75" customHeight="1">
      <c r="A883" s="99"/>
      <c r="AL883" s="7"/>
    </row>
    <row r="884" spans="1:38" ht="12.75" customHeight="1">
      <c r="A884" s="99"/>
      <c r="AL884" s="7"/>
    </row>
    <row r="885" spans="1:38" ht="12.75" customHeight="1">
      <c r="A885" s="99"/>
      <c r="AL885" s="7"/>
    </row>
    <row r="886" spans="1:38" ht="12.75" customHeight="1">
      <c r="A886" s="99"/>
      <c r="AL886" s="7"/>
    </row>
    <row r="887" spans="1:38" ht="12.75" customHeight="1">
      <c r="A887" s="99"/>
      <c r="AL887" s="7"/>
    </row>
    <row r="888" spans="1:38" ht="12.75" customHeight="1">
      <c r="A888" s="99"/>
      <c r="AL888" s="7"/>
    </row>
    <row r="889" spans="1:38" ht="12.75" customHeight="1">
      <c r="A889" s="99"/>
      <c r="AL889" s="7"/>
    </row>
    <row r="890" spans="1:38" ht="12.75" customHeight="1">
      <c r="A890" s="99"/>
      <c r="AL890" s="7"/>
    </row>
    <row r="891" spans="1:38" ht="12.75" customHeight="1">
      <c r="A891" s="99"/>
      <c r="AL891" s="7"/>
    </row>
    <row r="892" spans="1:38" ht="12.75" customHeight="1">
      <c r="A892" s="99"/>
      <c r="AL892" s="7"/>
    </row>
    <row r="893" spans="1:38" ht="12.75" customHeight="1">
      <c r="A893" s="99"/>
      <c r="AL893" s="7"/>
    </row>
    <row r="894" spans="1:38" ht="12.75" customHeight="1">
      <c r="A894" s="99"/>
      <c r="AL894" s="7"/>
    </row>
    <row r="895" spans="1:38" ht="12.75" customHeight="1">
      <c r="A895" s="99"/>
      <c r="AL895" s="7"/>
    </row>
    <row r="896" spans="1:38" ht="12.75" customHeight="1">
      <c r="A896" s="99"/>
      <c r="AL896" s="7"/>
    </row>
    <row r="897" spans="1:38" ht="12.75" customHeight="1">
      <c r="A897" s="99"/>
      <c r="AL897" s="7"/>
    </row>
    <row r="898" spans="1:38" ht="12.75" customHeight="1">
      <c r="A898" s="99"/>
      <c r="AL898" s="7"/>
    </row>
    <row r="899" spans="1:38" ht="12.75" customHeight="1">
      <c r="A899" s="99"/>
      <c r="AL899" s="7"/>
    </row>
    <row r="900" spans="1:38" ht="12.75" customHeight="1">
      <c r="A900" s="99"/>
      <c r="AL900" s="7"/>
    </row>
    <row r="901" spans="1:38" ht="12.75" customHeight="1">
      <c r="A901" s="99"/>
      <c r="AL901" s="7"/>
    </row>
    <row r="902" spans="1:38" ht="12.75" customHeight="1">
      <c r="A902" s="99"/>
      <c r="AL902" s="7"/>
    </row>
    <row r="903" spans="1:38" ht="12.75" customHeight="1">
      <c r="A903" s="99"/>
      <c r="AL903" s="7"/>
    </row>
    <row r="904" spans="1:38" ht="12.75" customHeight="1">
      <c r="A904" s="99"/>
      <c r="AL904" s="7"/>
    </row>
    <row r="905" spans="1:38" ht="12.75" customHeight="1">
      <c r="A905" s="99"/>
      <c r="AL905" s="7"/>
    </row>
    <row r="906" spans="1:38" ht="12.75" customHeight="1">
      <c r="A906" s="99"/>
      <c r="AL906" s="7"/>
    </row>
    <row r="907" spans="1:38" ht="12.75" customHeight="1">
      <c r="A907" s="99"/>
      <c r="AL907" s="7"/>
    </row>
    <row r="908" spans="1:38" ht="12.75" customHeight="1">
      <c r="A908" s="99"/>
      <c r="AL908" s="7"/>
    </row>
    <row r="909" spans="1:38" ht="12.75" customHeight="1">
      <c r="A909" s="99"/>
      <c r="AL909" s="7"/>
    </row>
    <row r="910" spans="1:38" ht="12.75" customHeight="1">
      <c r="A910" s="99"/>
      <c r="AL910" s="7"/>
    </row>
    <row r="911" spans="1:38" ht="12.75" customHeight="1">
      <c r="A911" s="99"/>
      <c r="AL911" s="7"/>
    </row>
    <row r="912" spans="1:38" ht="12.75" customHeight="1">
      <c r="A912" s="99"/>
      <c r="AL912" s="7"/>
    </row>
    <row r="913" spans="1:38" ht="12.75" customHeight="1">
      <c r="A913" s="99"/>
      <c r="AL913" s="7"/>
    </row>
    <row r="914" spans="1:38" ht="12.75" customHeight="1">
      <c r="A914" s="99"/>
      <c r="AL914" s="7"/>
    </row>
    <row r="915" spans="1:38" ht="12.75" customHeight="1">
      <c r="A915" s="99"/>
      <c r="AL915" s="7"/>
    </row>
    <row r="916" spans="1:38" ht="12.75" customHeight="1">
      <c r="A916" s="99"/>
      <c r="AL916" s="7"/>
    </row>
    <row r="917" spans="1:38" ht="12.75" customHeight="1">
      <c r="A917" s="99"/>
      <c r="AL917" s="7"/>
    </row>
    <row r="918" spans="1:38" ht="12.75" customHeight="1">
      <c r="A918" s="99"/>
      <c r="AL918" s="7"/>
    </row>
    <row r="919" spans="1:38" ht="12.75" customHeight="1">
      <c r="A919" s="99"/>
      <c r="AL919" s="7"/>
    </row>
    <row r="920" spans="1:38" ht="12.75" customHeight="1">
      <c r="A920" s="99"/>
      <c r="AL920" s="7"/>
    </row>
    <row r="921" spans="1:38" ht="12.75" customHeight="1">
      <c r="A921" s="99"/>
      <c r="AL921" s="7"/>
    </row>
    <row r="922" spans="1:38" ht="12.75" customHeight="1">
      <c r="A922" s="99"/>
      <c r="AL922" s="7"/>
    </row>
    <row r="923" spans="1:38" ht="12.75" customHeight="1">
      <c r="A923" s="99"/>
      <c r="AL923" s="7"/>
    </row>
    <row r="924" spans="1:38" ht="12.75" customHeight="1">
      <c r="A924" s="99"/>
      <c r="AL924" s="7"/>
    </row>
    <row r="925" spans="1:38" ht="12.75" customHeight="1">
      <c r="A925" s="99"/>
      <c r="AL925" s="7"/>
    </row>
    <row r="926" spans="1:38" ht="12.75" customHeight="1">
      <c r="A926" s="99"/>
      <c r="AL926" s="7"/>
    </row>
    <row r="927" spans="1:38" ht="12.75" customHeight="1">
      <c r="A927" s="99"/>
      <c r="AL927" s="7"/>
    </row>
    <row r="928" spans="1:38" ht="12.75" customHeight="1">
      <c r="A928" s="99"/>
      <c r="AL928" s="7"/>
    </row>
    <row r="929" spans="1:38" ht="12.75" customHeight="1">
      <c r="A929" s="99"/>
      <c r="AL929" s="7"/>
    </row>
    <row r="930" spans="1:38" ht="12.75" customHeight="1">
      <c r="A930" s="99"/>
      <c r="AL930" s="7"/>
    </row>
    <row r="931" spans="1:38" ht="12.75" customHeight="1">
      <c r="A931" s="99"/>
      <c r="AL931" s="7"/>
    </row>
    <row r="932" spans="1:38" ht="12.75" customHeight="1">
      <c r="A932" s="99"/>
      <c r="AL932" s="7"/>
    </row>
    <row r="933" spans="1:38" ht="12.75" customHeight="1">
      <c r="A933" s="99"/>
      <c r="AL933" s="7"/>
    </row>
    <row r="934" spans="1:38" ht="12.75" customHeight="1">
      <c r="A934" s="99"/>
      <c r="AL934" s="7"/>
    </row>
    <row r="935" spans="1:38" ht="12.75" customHeight="1">
      <c r="A935" s="99"/>
      <c r="AL935" s="7"/>
    </row>
    <row r="936" spans="1:38" ht="12.75" customHeight="1">
      <c r="A936" s="99"/>
      <c r="AL936" s="7"/>
    </row>
    <row r="937" spans="1:38" ht="12.75" customHeight="1">
      <c r="A937" s="99"/>
      <c r="AL937" s="7"/>
    </row>
    <row r="938" spans="1:38" ht="12.75" customHeight="1">
      <c r="A938" s="99"/>
      <c r="AL938" s="7"/>
    </row>
    <row r="939" spans="1:38" ht="12.75" customHeight="1">
      <c r="A939" s="99"/>
      <c r="AL939" s="7"/>
    </row>
    <row r="940" spans="1:38" ht="12.75" customHeight="1">
      <c r="A940" s="99"/>
      <c r="AL940" s="7"/>
    </row>
    <row r="941" spans="1:38" ht="12.75" customHeight="1">
      <c r="A941" s="99"/>
      <c r="AL941" s="7"/>
    </row>
    <row r="942" spans="1:38" ht="12.75" customHeight="1">
      <c r="A942" s="99"/>
      <c r="AL942" s="7"/>
    </row>
    <row r="943" spans="1:38" ht="12.75" customHeight="1">
      <c r="A943" s="99"/>
      <c r="AL943" s="7"/>
    </row>
    <row r="944" spans="1:38" ht="12.75" customHeight="1">
      <c r="A944" s="99"/>
      <c r="AL944" s="7"/>
    </row>
    <row r="945" spans="1:38" ht="12.75" customHeight="1">
      <c r="A945" s="99"/>
      <c r="AL945" s="7"/>
    </row>
    <row r="946" spans="1:38" ht="12.75" customHeight="1">
      <c r="A946" s="99"/>
      <c r="AL946" s="7"/>
    </row>
    <row r="947" spans="1:38" ht="12.75" customHeight="1">
      <c r="A947" s="99"/>
      <c r="AL947" s="7"/>
    </row>
    <row r="948" spans="1:38" ht="12.75" customHeight="1">
      <c r="A948" s="99"/>
      <c r="AL948" s="7"/>
    </row>
    <row r="949" spans="1:38" ht="12.75" customHeight="1">
      <c r="A949" s="99"/>
      <c r="AL949" s="7"/>
    </row>
    <row r="950" spans="1:38" ht="12.75" customHeight="1">
      <c r="A950" s="99"/>
      <c r="AL950" s="7"/>
    </row>
    <row r="951" spans="1:38" ht="12.75" customHeight="1">
      <c r="A951" s="99"/>
      <c r="AL951" s="7"/>
    </row>
    <row r="952" spans="1:38" ht="12.75" customHeight="1">
      <c r="A952" s="99"/>
      <c r="AL952" s="7"/>
    </row>
    <row r="953" spans="1:38" ht="12.75" customHeight="1">
      <c r="A953" s="99"/>
      <c r="AL953" s="7"/>
    </row>
    <row r="954" spans="1:38" ht="12.75" customHeight="1">
      <c r="A954" s="99"/>
      <c r="AL954" s="7"/>
    </row>
    <row r="955" spans="1:38" ht="12.75" customHeight="1">
      <c r="A955" s="99"/>
      <c r="AL955" s="7"/>
    </row>
    <row r="956" spans="1:38" ht="12.75" customHeight="1">
      <c r="A956" s="99"/>
      <c r="AL956" s="7"/>
    </row>
    <row r="957" spans="1:38" ht="12.75" customHeight="1">
      <c r="A957" s="99"/>
      <c r="AL957" s="7"/>
    </row>
    <row r="958" spans="1:38" ht="12.75" customHeight="1">
      <c r="A958" s="99"/>
      <c r="AL958" s="7"/>
    </row>
    <row r="959" spans="1:38" ht="12.75" customHeight="1">
      <c r="A959" s="99"/>
      <c r="AL959" s="7"/>
    </row>
    <row r="960" spans="1:38" ht="12.75" customHeight="1">
      <c r="A960" s="99"/>
      <c r="AL960" s="7"/>
    </row>
    <row r="961" spans="1:38" ht="12.75" customHeight="1">
      <c r="A961" s="99"/>
      <c r="AL961" s="7"/>
    </row>
    <row r="962" spans="1:38" ht="12.75" customHeight="1">
      <c r="A962" s="99"/>
      <c r="AL962" s="7"/>
    </row>
    <row r="963" spans="1:38" ht="12.75" customHeight="1">
      <c r="A963" s="99"/>
      <c r="AL963" s="7"/>
    </row>
    <row r="964" spans="1:38" ht="12.75" customHeight="1">
      <c r="A964" s="99"/>
      <c r="AL964" s="7"/>
    </row>
    <row r="965" spans="1:38" ht="12.75" customHeight="1">
      <c r="A965" s="99"/>
      <c r="AL965" s="7"/>
    </row>
    <row r="966" spans="1:38" ht="12.75" customHeight="1">
      <c r="A966" s="99"/>
      <c r="AL966" s="7"/>
    </row>
    <row r="967" spans="1:38" ht="12.75" customHeight="1">
      <c r="A967" s="99"/>
      <c r="AL967" s="7"/>
    </row>
    <row r="968" spans="1:38" ht="12.75" customHeight="1">
      <c r="A968" s="99"/>
      <c r="AL968" s="7"/>
    </row>
    <row r="969" spans="1:38" ht="12.75" customHeight="1">
      <c r="A969" s="99"/>
      <c r="AL969" s="7"/>
    </row>
    <row r="970" spans="1:38" ht="12.75" customHeight="1">
      <c r="A970" s="99"/>
      <c r="AL970" s="7"/>
    </row>
    <row r="971" spans="1:38" ht="12.75" customHeight="1">
      <c r="A971" s="99"/>
      <c r="AL971" s="7"/>
    </row>
    <row r="972" spans="1:38" ht="12.75" customHeight="1">
      <c r="A972" s="99"/>
      <c r="AL972" s="7"/>
    </row>
    <row r="973" spans="1:38" ht="12.75" customHeight="1">
      <c r="A973" s="99"/>
      <c r="AL973" s="7"/>
    </row>
    <row r="974" spans="1:38" ht="12.75" customHeight="1">
      <c r="A974" s="99"/>
      <c r="AL974" s="7"/>
    </row>
    <row r="975" spans="1:38" ht="12.75" customHeight="1">
      <c r="A975" s="99"/>
      <c r="AL975" s="7"/>
    </row>
    <row r="976" spans="1:38" ht="12.75" customHeight="1">
      <c r="A976" s="99"/>
      <c r="AL976" s="7"/>
    </row>
    <row r="977" spans="1:38" ht="12.75" customHeight="1">
      <c r="A977" s="99"/>
      <c r="AL977" s="7"/>
    </row>
    <row r="978" spans="1:38" ht="12.75" customHeight="1">
      <c r="A978" s="99"/>
      <c r="AL978" s="7"/>
    </row>
    <row r="979" spans="1:38" ht="12.75" customHeight="1">
      <c r="A979" s="99"/>
      <c r="AL979" s="7"/>
    </row>
    <row r="980" spans="1:38" ht="12.75" customHeight="1">
      <c r="A980" s="99"/>
      <c r="AL980" s="7"/>
    </row>
    <row r="981" spans="1:38" ht="12.75" customHeight="1">
      <c r="A981" s="99"/>
      <c r="AL981" s="7"/>
    </row>
    <row r="982" spans="1:38" ht="12.75" customHeight="1">
      <c r="A982" s="99"/>
      <c r="AL982" s="7"/>
    </row>
    <row r="983" spans="1:38" ht="12.75" customHeight="1">
      <c r="A983" s="99"/>
      <c r="AL983" s="7"/>
    </row>
    <row r="984" spans="1:38" ht="12.75" customHeight="1">
      <c r="A984" s="99"/>
      <c r="AL984" s="7"/>
    </row>
    <row r="985" spans="1:38" ht="12.75" customHeight="1">
      <c r="A985" s="99"/>
      <c r="AL985" s="7"/>
    </row>
    <row r="986" spans="1:38" ht="12.75" customHeight="1">
      <c r="A986" s="99"/>
      <c r="AL986" s="7"/>
    </row>
    <row r="987" spans="1:38" ht="12.75" customHeight="1">
      <c r="A987" s="99"/>
      <c r="AL987" s="7"/>
    </row>
    <row r="988" spans="1:38" ht="12.75" customHeight="1">
      <c r="A988" s="99"/>
      <c r="AL988" s="7"/>
    </row>
    <row r="989" spans="1:38" ht="12.75" customHeight="1">
      <c r="A989" s="99"/>
      <c r="AL989" s="7"/>
    </row>
    <row r="990" spans="1:38" ht="12.75" customHeight="1">
      <c r="A990" s="99"/>
      <c r="AL990" s="7"/>
    </row>
    <row r="991" spans="1:38" ht="12.75" customHeight="1">
      <c r="A991" s="99"/>
      <c r="AL991" s="7"/>
    </row>
    <row r="992" spans="1:38" ht="12.75" customHeight="1">
      <c r="A992" s="99"/>
      <c r="AL992" s="7"/>
    </row>
    <row r="993" spans="1:38" ht="12.75" customHeight="1">
      <c r="A993" s="99"/>
      <c r="AL993" s="7"/>
    </row>
    <row r="994" spans="1:38" ht="12.75" customHeight="1">
      <c r="A994" s="99"/>
      <c r="AL994" s="7"/>
    </row>
    <row r="995" spans="1:38" ht="12.75" customHeight="1">
      <c r="A995" s="99"/>
      <c r="AL995" s="7"/>
    </row>
    <row r="996" spans="1:38" ht="12.75" customHeight="1">
      <c r="A996" s="99"/>
      <c r="AL996" s="7"/>
    </row>
    <row r="997" spans="1:38" ht="12.75" customHeight="1">
      <c r="A997" s="99"/>
      <c r="AL997" s="7"/>
    </row>
    <row r="998" spans="1:38" ht="12.75" customHeight="1">
      <c r="A998" s="99"/>
      <c r="AL998" s="7"/>
    </row>
    <row r="999" spans="1:38" ht="12.75" customHeight="1">
      <c r="A999" s="99"/>
      <c r="AL999" s="7"/>
    </row>
    <row r="1000" spans="1:38" ht="12.75" customHeight="1">
      <c r="A1000" s="99"/>
      <c r="AL1000" s="7"/>
    </row>
  </sheetData>
  <mergeCells count="7">
    <mergeCell ref="P1:Q1"/>
    <mergeCell ref="V2:X2"/>
    <mergeCell ref="A1:E1"/>
    <mergeCell ref="F1:G1"/>
    <mergeCell ref="H1:I1"/>
    <mergeCell ref="J1:M1"/>
    <mergeCell ref="N1:O1"/>
  </mergeCells>
  <pageMargins left="0.19685039370078741" right="0.19685039370078741" top="0.19685039370078741" bottom="0.19685039370078741" header="0" footer="0"/>
  <pageSetup paperSize="9" orientation="landscape"/>
  <ignoredErrors>
    <ignoredError sqref="U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8DB3EC-9C54-4B7A-ABD9-33DAF3BBB3AB}">
            <xm:f>IFERROR(IF(VLOOKUP($A4,Feiertage!$B:$D,3,0)="ja",1),0)=1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D9447D00-30C0-422D-8089-6D41D805D554}">
            <xm:f>IFERROR(IF(VLOOKUP($A4,Feiertage!$B:$D,3,0)="nein",1),0)=1</xm:f>
            <x14:dxf>
              <fill>
                <patternFill>
                  <bgColor rgb="FFFFFF00"/>
                </patternFill>
              </fill>
            </x14:dxf>
          </x14:cfRule>
          <xm:sqref>C4:Q34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1"/>
  <sheetViews>
    <sheetView topLeftCell="A11" zoomScale="85" zoomScaleNormal="85" workbookViewId="0"/>
  </sheetViews>
  <sheetFormatPr baseColWidth="10" defaultColWidth="14.42578125" defaultRowHeight="15" customHeight="1"/>
  <cols>
    <col min="1" max="1" width="43" customWidth="1"/>
    <col min="2" max="2" width="17.85546875" customWidth="1"/>
    <col min="3" max="3" width="18.7109375" customWidth="1"/>
    <col min="4" max="4" width="15.42578125" customWidth="1"/>
    <col min="5" max="6" width="10.5703125" customWidth="1"/>
    <col min="7" max="7" width="14.140625" customWidth="1"/>
    <col min="8" max="26" width="10.5703125" customWidth="1"/>
  </cols>
  <sheetData>
    <row r="1" spans="1:26" ht="18" customHeight="1">
      <c r="A1" s="175" t="s">
        <v>35</v>
      </c>
      <c r="B1" s="175" t="s">
        <v>33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 ht="18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spans="1:26" ht="18" customHeight="1">
      <c r="A3" s="175" t="s">
        <v>1</v>
      </c>
      <c r="B3" s="175" t="s">
        <v>87</v>
      </c>
      <c r="C3" s="175"/>
      <c r="D3" s="175"/>
      <c r="E3" s="175"/>
      <c r="F3" s="175"/>
      <c r="G3" s="176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spans="1:26" ht="18" customHeight="1">
      <c r="A4" s="175"/>
      <c r="B4" s="175"/>
      <c r="C4" s="175"/>
      <c r="D4" s="175"/>
      <c r="E4" s="175"/>
      <c r="F4" s="175"/>
      <c r="G4" s="177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spans="1:26" ht="18" customHeight="1">
      <c r="A5" s="175" t="s">
        <v>36</v>
      </c>
      <c r="B5" s="178">
        <v>1</v>
      </c>
      <c r="C5" s="175"/>
      <c r="D5" s="175"/>
      <c r="E5" s="175"/>
      <c r="F5" s="175"/>
      <c r="G5" s="177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spans="1:26" ht="18" customHeight="1">
      <c r="A6" s="175" t="s">
        <v>37</v>
      </c>
      <c r="B6" s="175">
        <v>42</v>
      </c>
      <c r="C6" s="175"/>
      <c r="D6" s="175"/>
      <c r="E6" s="175"/>
      <c r="F6" s="175"/>
      <c r="G6" s="177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spans="1:26" ht="18" customHeight="1">
      <c r="A7" s="175"/>
      <c r="B7" s="178"/>
      <c r="C7" s="175"/>
      <c r="D7" s="175"/>
      <c r="E7" s="175"/>
      <c r="F7" s="175"/>
      <c r="G7" s="177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spans="1:26" ht="18" customHeight="1">
      <c r="A8" s="175"/>
      <c r="B8" s="179" t="s">
        <v>38</v>
      </c>
      <c r="C8" s="179" t="s">
        <v>39</v>
      </c>
      <c r="D8" s="175"/>
      <c r="E8" s="175"/>
      <c r="F8" s="175"/>
      <c r="G8" s="177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spans="1:26" ht="18" customHeight="1">
      <c r="A9" s="175" t="s">
        <v>40</v>
      </c>
      <c r="B9" s="180">
        <f>B6/5*B5</f>
        <v>8.4</v>
      </c>
      <c r="C9" s="180">
        <f t="shared" ref="C9:C12" si="0">B9*60</f>
        <v>504</v>
      </c>
      <c r="D9" s="175"/>
      <c r="E9" s="175"/>
      <c r="F9" s="175"/>
      <c r="G9" s="177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spans="1:26" ht="18" customHeight="1">
      <c r="A10" s="175" t="s">
        <v>41</v>
      </c>
      <c r="B10" s="180">
        <v>0</v>
      </c>
      <c r="C10" s="180">
        <f t="shared" si="0"/>
        <v>0</v>
      </c>
      <c r="D10" s="175"/>
      <c r="E10" s="175"/>
      <c r="F10" s="175"/>
      <c r="G10" s="177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spans="1:26" ht="18" customHeight="1">
      <c r="A11" s="175" t="s">
        <v>42</v>
      </c>
      <c r="B11" s="180">
        <f>B25/C25-B9</f>
        <v>0</v>
      </c>
      <c r="C11" s="180">
        <f t="shared" si="0"/>
        <v>0</v>
      </c>
      <c r="D11" s="175"/>
      <c r="E11" s="175"/>
      <c r="F11" s="175"/>
      <c r="G11" s="177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spans="1:26" ht="18" customHeight="1">
      <c r="A12" s="175" t="s">
        <v>43</v>
      </c>
      <c r="B12" s="180">
        <f>B9+B11</f>
        <v>8.4</v>
      </c>
      <c r="C12" s="180">
        <f t="shared" si="0"/>
        <v>504</v>
      </c>
      <c r="D12" s="181"/>
      <c r="E12" s="175"/>
      <c r="F12" s="175"/>
      <c r="G12" s="177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spans="1:26" ht="18" customHeight="1">
      <c r="A13" s="175"/>
      <c r="B13" s="175"/>
      <c r="C13" s="175"/>
      <c r="D13" s="182"/>
      <c r="E13" s="175"/>
      <c r="F13" s="175"/>
      <c r="G13" s="177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spans="1:26" ht="18" customHeight="1">
      <c r="A14" s="188" t="s">
        <v>81</v>
      </c>
      <c r="B14" s="175">
        <v>0</v>
      </c>
      <c r="C14" s="175"/>
      <c r="D14" s="182"/>
      <c r="E14" s="175"/>
      <c r="F14" s="175"/>
      <c r="G14" s="177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spans="1:26" ht="18" customHeight="1">
      <c r="A15" s="175" t="s">
        <v>44</v>
      </c>
      <c r="B15" s="175">
        <v>0</v>
      </c>
      <c r="C15" s="175"/>
      <c r="D15" s="182"/>
      <c r="E15" s="175"/>
      <c r="F15" s="175"/>
      <c r="G15" s="177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spans="1:26" ht="18" customHeight="1">
      <c r="A16" s="175" t="s">
        <v>45</v>
      </c>
      <c r="B16" s="175">
        <f>6.5/12*20-0.00333333</f>
        <v>10.830000003333332</v>
      </c>
      <c r="C16" s="175"/>
      <c r="D16" s="175"/>
      <c r="E16" s="175"/>
      <c r="F16" s="175"/>
      <c r="G16" s="177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spans="1:26" ht="18" customHeight="1">
      <c r="A17" s="175" t="s">
        <v>46</v>
      </c>
      <c r="B17" s="175">
        <v>12</v>
      </c>
      <c r="C17" s="175"/>
      <c r="D17" s="175"/>
      <c r="E17" s="175"/>
      <c r="F17" s="175"/>
      <c r="G17" s="177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spans="1:26" ht="18" customHeight="1">
      <c r="A18" s="175" t="s">
        <v>47</v>
      </c>
      <c r="B18" s="175">
        <f>ROUND(B15+B17/12*B16,1)</f>
        <v>10.8</v>
      </c>
      <c r="C18" s="175"/>
      <c r="D18" s="175"/>
      <c r="E18" s="175"/>
      <c r="F18" s="175"/>
      <c r="G18" s="177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spans="1:26" ht="18" customHeight="1">
      <c r="A19" s="188" t="s">
        <v>82</v>
      </c>
      <c r="B19" s="175">
        <f>Dez!H2+(Dez!Q35/B9)</f>
        <v>1</v>
      </c>
      <c r="C19" s="175"/>
      <c r="D19" s="175"/>
      <c r="E19" s="175"/>
      <c r="F19" s="175"/>
      <c r="G19" s="177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spans="1:26" ht="18" customHeight="1">
      <c r="A20" s="188" t="s">
        <v>83</v>
      </c>
      <c r="B20" s="175">
        <f>B18-B19</f>
        <v>9.8000000000000007</v>
      </c>
      <c r="C20" s="175"/>
      <c r="D20" s="175"/>
      <c r="E20" s="175"/>
      <c r="F20" s="175"/>
      <c r="G20" s="177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spans="1:26" ht="18" customHeight="1">
      <c r="A21" s="175"/>
      <c r="B21" s="175"/>
      <c r="C21" s="175"/>
      <c r="D21" s="175"/>
      <c r="E21" s="175"/>
      <c r="F21" s="175"/>
      <c r="G21" s="177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spans="1:26" ht="18" customHeight="1">
      <c r="A22" s="175"/>
      <c r="B22" s="179" t="s">
        <v>48</v>
      </c>
      <c r="C22" s="179" t="s">
        <v>49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spans="1:26" ht="18" customHeight="1">
      <c r="A23" s="175" t="s">
        <v>50</v>
      </c>
      <c r="B23" s="175">
        <f>(Jan!R35+Feb!R32+Mar!R35+Apr!R34+Mai!R35+Jun!R34+Jul!R35+Aug!R35+Sep!R34+Okt!R35+Nov!R34+Dez!R35)*(B17/12)</f>
        <v>1184.4000000000005</v>
      </c>
      <c r="C23" s="183">
        <f>B23/B9</f>
        <v>141.00000000000006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spans="1:26" ht="18" customHeight="1">
      <c r="A24" s="175" t="s">
        <v>51</v>
      </c>
      <c r="B24" s="175">
        <f>(Jan!R35+Feb!R32+Mar!R35+Apr!R34+Mai!R35+Jun!R34+Jul!R35+Aug!R35+Sep!R34+Okt!R35+Nov!R34+Dez!R35-B18*B9)*(B17/12)</f>
        <v>1093.6800000000005</v>
      </c>
      <c r="C24" s="183">
        <f>B24/B9</f>
        <v>130.20000000000005</v>
      </c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spans="1:26" ht="18" customHeight="1">
      <c r="A25" s="175" t="s">
        <v>52</v>
      </c>
      <c r="B25" s="175">
        <f>(Jan!R35+Feb!R32+Mar!R35+Apr!R34+Mai!R35+Jun!R34+Jul!R35+Aug!R35+Sep!R34+Okt!R35+Nov!R34+Dez!R35-B18*B9)*(B17/12)</f>
        <v>1093.6800000000005</v>
      </c>
      <c r="C25" s="183">
        <f>C24-B10</f>
        <v>130.20000000000005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spans="1:26" ht="18" customHeight="1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spans="1:26" ht="18" customHeight="1">
      <c r="A27" s="175" t="s">
        <v>53</v>
      </c>
      <c r="B27" s="182">
        <v>46023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spans="1:26" ht="18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spans="1:26" ht="18" customHeight="1">
      <c r="A29" s="179" t="s">
        <v>54</v>
      </c>
      <c r="B29" s="184" t="s">
        <v>55</v>
      </c>
      <c r="C29" s="175" t="s">
        <v>56</v>
      </c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spans="1:26" ht="18" customHeight="1">
      <c r="A30" s="185">
        <f>Jan!P1</f>
        <v>46023</v>
      </c>
      <c r="B30" s="186">
        <f>Jan!R35</f>
        <v>0</v>
      </c>
      <c r="C30" s="180">
        <f>Jan!S35</f>
        <v>0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spans="1:26" ht="18" customHeight="1">
      <c r="A31" s="185">
        <f>Feb!P1</f>
        <v>46054</v>
      </c>
      <c r="B31" s="186">
        <f>Feb!R32</f>
        <v>0</v>
      </c>
      <c r="C31" s="180">
        <f>Feb!S32</f>
        <v>0</v>
      </c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spans="1:26" ht="18" customHeight="1">
      <c r="A32" s="185">
        <f>Mar!P1</f>
        <v>46082</v>
      </c>
      <c r="B32" s="186">
        <f>Mar!R35</f>
        <v>0</v>
      </c>
      <c r="C32" s="180">
        <f>Mar!S35</f>
        <v>0</v>
      </c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spans="1:26" ht="18" customHeight="1">
      <c r="A33" s="185">
        <f>Apr!P1</f>
        <v>46113</v>
      </c>
      <c r="B33" s="186">
        <f>Apr!R34</f>
        <v>0</v>
      </c>
      <c r="C33" s="180">
        <f>Apr!S34</f>
        <v>0</v>
      </c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spans="1:26" ht="18" customHeight="1">
      <c r="A34" s="185">
        <f>Mai!P1</f>
        <v>46143</v>
      </c>
      <c r="B34" s="186">
        <f>Mai!R35</f>
        <v>0</v>
      </c>
      <c r="C34" s="180">
        <f>Mai!S35</f>
        <v>0</v>
      </c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spans="1:26" ht="18" customHeight="1">
      <c r="A35" s="185">
        <f>Jun!P1</f>
        <v>46174</v>
      </c>
      <c r="B35" s="186">
        <f>Jun!R34</f>
        <v>100.80000000000003</v>
      </c>
      <c r="C35" s="180">
        <f>Jun!S34</f>
        <v>103.29</v>
      </c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spans="1:26" ht="18" customHeight="1">
      <c r="A36" s="185">
        <f>Jul!P1</f>
        <v>46204</v>
      </c>
      <c r="B36" s="186">
        <f>Jul!R35</f>
        <v>193.20000000000007</v>
      </c>
      <c r="C36" s="180">
        <f>Jul!S35</f>
        <v>186.35000000000002</v>
      </c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spans="1:26" ht="18" customHeight="1">
      <c r="A37" s="185">
        <f>Aug!P1</f>
        <v>46235</v>
      </c>
      <c r="B37" s="186">
        <f>Aug!R35</f>
        <v>176.40000000000006</v>
      </c>
      <c r="C37" s="180">
        <f>Aug!S35</f>
        <v>84.000000000000014</v>
      </c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spans="1:26" ht="18" customHeight="1">
      <c r="A38" s="185">
        <f>Sep!P1</f>
        <v>46266</v>
      </c>
      <c r="B38" s="186">
        <f>Sep!R34</f>
        <v>176.40000000000006</v>
      </c>
      <c r="C38" s="180">
        <f>Sep!S34</f>
        <v>0</v>
      </c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spans="1:26" ht="18" customHeight="1">
      <c r="A39" s="185">
        <f>Okt!P1</f>
        <v>46296</v>
      </c>
      <c r="B39" s="186">
        <f>Okt!R35</f>
        <v>184.80000000000007</v>
      </c>
      <c r="C39" s="180">
        <f>Okt!S35</f>
        <v>0</v>
      </c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spans="1:26" ht="18" customHeight="1">
      <c r="A40" s="185">
        <f>Nov!P1</f>
        <v>46327</v>
      </c>
      <c r="B40" s="186">
        <f>Nov!R34</f>
        <v>176.40000000000006</v>
      </c>
      <c r="C40" s="180">
        <f>Nov!S34</f>
        <v>0</v>
      </c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spans="1:26" ht="18" customHeight="1">
      <c r="A41" s="185">
        <f>Dez!P1</f>
        <v>46357</v>
      </c>
      <c r="B41" s="186">
        <f>Dez!R35</f>
        <v>176.40000000000006</v>
      </c>
      <c r="C41" s="180">
        <f>Dez!S35</f>
        <v>0</v>
      </c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spans="1:26" ht="18" customHeight="1">
      <c r="A42" s="175"/>
      <c r="B42" s="186">
        <f t="shared" ref="B42:C42" si="1">SUM(B30:B41)</f>
        <v>1184.4000000000005</v>
      </c>
      <c r="C42" s="180">
        <f t="shared" si="1"/>
        <v>373.64000000000004</v>
      </c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spans="1:26" ht="18" customHeight="1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spans="1:26" ht="18" customHeight="1">
      <c r="A44" s="175" t="s">
        <v>57</v>
      </c>
      <c r="B44" s="175">
        <v>0.7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spans="1:26" ht="18" customHeight="1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spans="1:26" ht="18" customHeight="1">
      <c r="A46" s="175" t="s">
        <v>9</v>
      </c>
      <c r="B46" s="175" t="s">
        <v>58</v>
      </c>
      <c r="C46" s="188" t="s">
        <v>22</v>
      </c>
      <c r="D46" s="175" t="s">
        <v>59</v>
      </c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spans="1:26" ht="18" customHeight="1">
      <c r="A47" s="179" t="s">
        <v>54</v>
      </c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spans="1:26" ht="18" customHeight="1">
      <c r="A48" s="185">
        <f>Jan!P1</f>
        <v>46023</v>
      </c>
      <c r="B48" s="187">
        <f>Jan!V35</f>
        <v>0</v>
      </c>
      <c r="C48" s="187">
        <f>Jan!W35</f>
        <v>0</v>
      </c>
      <c r="D48" s="187">
        <f t="shared" ref="D48:D60" si="2">B48+C48</f>
        <v>0</v>
      </c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spans="1:26" ht="18" customHeight="1">
      <c r="A49" s="185">
        <f>Feb!P1</f>
        <v>46054</v>
      </c>
      <c r="B49" s="187">
        <f>Feb!V32</f>
        <v>0</v>
      </c>
      <c r="C49" s="187">
        <f>Feb!W32</f>
        <v>0</v>
      </c>
      <c r="D49" s="187">
        <f t="shared" si="2"/>
        <v>0</v>
      </c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spans="1:26" ht="18" customHeight="1">
      <c r="A50" s="185">
        <f>Mar!P1</f>
        <v>46082</v>
      </c>
      <c r="B50" s="187">
        <f>Mar!V35</f>
        <v>0</v>
      </c>
      <c r="C50" s="187">
        <f>Mar!W35</f>
        <v>0</v>
      </c>
      <c r="D50" s="187">
        <f t="shared" si="2"/>
        <v>0</v>
      </c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spans="1:26" ht="18" customHeight="1">
      <c r="A51" s="185">
        <f>Apr!P1</f>
        <v>46113</v>
      </c>
      <c r="B51" s="187">
        <f>Apr!V34</f>
        <v>0</v>
      </c>
      <c r="C51" s="187">
        <f>Apr!W34</f>
        <v>0</v>
      </c>
      <c r="D51" s="187">
        <f t="shared" si="2"/>
        <v>0</v>
      </c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spans="1:26" ht="18" customHeight="1">
      <c r="A52" s="185">
        <f>Mai!P1</f>
        <v>46143</v>
      </c>
      <c r="B52" s="187">
        <f>Mai!V35</f>
        <v>0</v>
      </c>
      <c r="C52" s="187">
        <f>Mai!W35</f>
        <v>0</v>
      </c>
      <c r="D52" s="187">
        <f t="shared" si="2"/>
        <v>0</v>
      </c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18" customHeight="1">
      <c r="A53" s="185">
        <f>Jun!P1</f>
        <v>46174</v>
      </c>
      <c r="B53" s="187">
        <f>Jun!V34</f>
        <v>0</v>
      </c>
      <c r="C53" s="187">
        <f>Jun!W34</f>
        <v>0</v>
      </c>
      <c r="D53" s="187">
        <f t="shared" si="2"/>
        <v>0</v>
      </c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spans="1:26" ht="18" customHeight="1">
      <c r="A54" s="185">
        <f>Jul!P1</f>
        <v>46204</v>
      </c>
      <c r="B54" s="187">
        <f>Jul!V35</f>
        <v>0</v>
      </c>
      <c r="C54" s="187">
        <f>Jul!W35</f>
        <v>0</v>
      </c>
      <c r="D54" s="187">
        <f t="shared" si="2"/>
        <v>0</v>
      </c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spans="1:26" ht="18" customHeight="1">
      <c r="A55" s="185">
        <f>Aug!P1</f>
        <v>46235</v>
      </c>
      <c r="B55" s="187">
        <f>Aug!V35</f>
        <v>0</v>
      </c>
      <c r="C55" s="187">
        <f>Aug!W35</f>
        <v>0</v>
      </c>
      <c r="D55" s="187">
        <f t="shared" si="2"/>
        <v>0</v>
      </c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spans="1:26" ht="18" customHeight="1">
      <c r="A56" s="185">
        <f>Sep!P1</f>
        <v>46266</v>
      </c>
      <c r="B56" s="187">
        <f>Sep!V34</f>
        <v>0</v>
      </c>
      <c r="C56" s="187">
        <f>Sep!W34</f>
        <v>0</v>
      </c>
      <c r="D56" s="187">
        <f t="shared" si="2"/>
        <v>0</v>
      </c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spans="1:26" ht="18" customHeight="1">
      <c r="A57" s="185">
        <f>Okt!P1</f>
        <v>46296</v>
      </c>
      <c r="B57" s="187">
        <f>Okt!V35</f>
        <v>0</v>
      </c>
      <c r="C57" s="187">
        <f>Okt!W35</f>
        <v>0</v>
      </c>
      <c r="D57" s="187">
        <f t="shared" si="2"/>
        <v>0</v>
      </c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spans="1:26" ht="18" customHeight="1">
      <c r="A58" s="185">
        <f>Nov!P1</f>
        <v>46327</v>
      </c>
      <c r="B58" s="187">
        <f>Nov!V34</f>
        <v>0</v>
      </c>
      <c r="C58" s="187">
        <f>Nov!W34</f>
        <v>0</v>
      </c>
      <c r="D58" s="187">
        <f t="shared" si="2"/>
        <v>0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spans="1:26" ht="18" customHeight="1">
      <c r="A59" s="185">
        <f>Dez!P1</f>
        <v>46357</v>
      </c>
      <c r="B59" s="187">
        <f>Dez!V35</f>
        <v>0</v>
      </c>
      <c r="C59" s="187">
        <f>Dez!W35</f>
        <v>0</v>
      </c>
      <c r="D59" s="187">
        <f t="shared" si="2"/>
        <v>0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spans="1:26" ht="18" customHeight="1">
      <c r="A60" s="185" t="s">
        <v>59</v>
      </c>
      <c r="B60" s="187">
        <f t="shared" ref="B60:C60" si="3">SUM(B48:B59)</f>
        <v>0</v>
      </c>
      <c r="C60" s="187">
        <f t="shared" si="3"/>
        <v>0</v>
      </c>
      <c r="D60" s="187">
        <f t="shared" si="2"/>
        <v>0</v>
      </c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spans="1:26" ht="18" customHeight="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spans="1:26" ht="18" customHeight="1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spans="1:26" ht="18" customHeight="1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spans="1:26" ht="18" customHeight="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spans="1:26" ht="18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spans="1:26" ht="18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spans="1:26" ht="18" customHeight="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spans="1:26" ht="18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spans="1:26" ht="18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spans="1:26" ht="18" customHeight="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spans="1:26" ht="18" customHeight="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spans="1:26" ht="18" customHeight="1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spans="1:26" ht="18" customHeight="1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spans="1:26" ht="18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spans="1:26" ht="18" customHeight="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spans="1:26" ht="18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spans="1:26" ht="18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spans="1:26" ht="18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spans="1:26" ht="18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spans="1:26" ht="18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spans="1:26" ht="18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spans="1:26" ht="18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spans="1:26" ht="18" customHeight="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spans="1:26" ht="18" customHeight="1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spans="1:26" ht="18" customHeight="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spans="1:26" ht="18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spans="1:26" ht="18" customHeight="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spans="1:26" ht="18" customHeight="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spans="1:26" ht="18" customHeight="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spans="1:26" ht="18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spans="1:26" ht="18" customHeight="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spans="1:26" ht="18" customHeight="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spans="1:26" ht="18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spans="1:26" ht="18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spans="1:26" ht="18" customHeight="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spans="1:26" ht="18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spans="1:26" ht="18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spans="1:26" ht="18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spans="1:26" ht="18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spans="1:26" ht="18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spans="1:26" ht="18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spans="1:26" ht="18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spans="1:26" ht="18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spans="1:26" ht="18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spans="1:26" ht="18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spans="1:26" ht="18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spans="1:26" ht="18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spans="1:26" ht="18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spans="1:26" ht="18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spans="1:26" ht="18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spans="1:26" ht="18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spans="1:26" ht="18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spans="1:26" ht="18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spans="1:26" ht="18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spans="1:26" ht="18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spans="1:26" ht="18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spans="1:26" ht="18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spans="1:26" ht="18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spans="1:26" ht="18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spans="1:26" ht="18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spans="1:26" ht="18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spans="1:26" ht="18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spans="1:26" ht="18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spans="1:26" ht="18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spans="1:26" ht="18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spans="1:26" ht="18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spans="1:26" ht="18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spans="1:26" ht="18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spans="1:26" ht="18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spans="1:26" ht="18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spans="1:26" ht="18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spans="1:26" ht="18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spans="1:26" ht="18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spans="1:26" ht="18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spans="1:26" ht="18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spans="1:26" ht="18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spans="1:26" ht="18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spans="1:26" ht="18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spans="1:26" ht="18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spans="1:26" ht="18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spans="1:26" ht="18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spans="1:26" ht="18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spans="1:26" ht="18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spans="1:26" ht="18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spans="1:26" ht="18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spans="1:26" ht="18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spans="1:26" ht="18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spans="1:26" ht="18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spans="1:26" ht="18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spans="1:26" ht="18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spans="1:26" ht="18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spans="1:26" ht="18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spans="1:26" ht="18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spans="1:26" ht="18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spans="1:26" ht="18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spans="1:26" ht="18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spans="1:26" ht="18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spans="1:26" ht="18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spans="1:26" ht="18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spans="1:26" ht="18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spans="1:26" ht="18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spans="1:26" ht="18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spans="1:26" ht="18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spans="1:26" ht="18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spans="1:26" ht="18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spans="1:26" ht="18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spans="1:26" ht="18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spans="1:26" ht="18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spans="1:26" ht="18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spans="1:26" ht="18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spans="1:26" ht="18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spans="1:26" ht="18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spans="1:26" ht="18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spans="1:26" ht="18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spans="1:26" ht="18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spans="1:26" ht="18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spans="1:26" ht="18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spans="1:26" ht="18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spans="1:26" ht="18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spans="1:26" ht="18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spans="1:26" ht="18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spans="1:26" ht="18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spans="1:26" ht="18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spans="1:26" ht="18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spans="1:26" ht="18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spans="1:26" ht="18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spans="1:26" ht="18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spans="1:26" ht="18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spans="1:26" ht="18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spans="1:26" ht="18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spans="1:26" ht="18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spans="1:26" ht="18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spans="1:26" ht="18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spans="1:26" ht="18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spans="1:26" ht="18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spans="1:26" ht="18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spans="1:26" ht="18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spans="1:26" ht="18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spans="1:26" ht="18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spans="1:26" ht="18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spans="1:26" ht="18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spans="1:26" ht="18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spans="1:26" ht="18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spans="1:26" ht="18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spans="1:26" ht="18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spans="1:26" ht="18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spans="1:26" ht="18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spans="1:26" ht="18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spans="1:26" ht="18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spans="1:26" ht="18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spans="1:26" ht="18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spans="1:26" ht="18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spans="1:26" ht="18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spans="1:26" ht="18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spans="1:26" ht="18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spans="1:26" ht="18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spans="1:26" ht="18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spans="1:26" ht="18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spans="1:26" ht="18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spans="1:26" ht="18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spans="1:26" ht="18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spans="1:26" ht="18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spans="1:26" ht="18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spans="1:26" ht="18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spans="1:26" ht="18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spans="1:26" ht="18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spans="1:26" ht="18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spans="1:26" ht="18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spans="1:26" ht="18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spans="1:26" ht="18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spans="1:26" ht="18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spans="1:26" ht="18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spans="1:26" ht="18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spans="1:26" ht="18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spans="1:26" ht="18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spans="1:26" ht="18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spans="1:26" ht="18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spans="1:26" ht="18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spans="1:26" ht="18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spans="1:26" ht="18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spans="1:26" ht="18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spans="1:26" ht="18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spans="1:26" ht="18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spans="1:26" ht="18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spans="1:26" ht="18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spans="1:26" ht="18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spans="1:26" ht="18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spans="1:26" ht="18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spans="1:26" ht="18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spans="1:26" ht="18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spans="1:26" ht="18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spans="1:26" ht="18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spans="1:26" ht="18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spans="1:26" ht="18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spans="1:26" ht="18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spans="1:26" ht="18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spans="1:26" ht="18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spans="1:26" ht="18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spans="1:26" ht="18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spans="1:26" ht="18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spans="1:26" ht="18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spans="1:26" ht="18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spans="1:26" ht="18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spans="1:26" ht="18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spans="1:26" ht="18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spans="1:26" ht="18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spans="1:26" ht="18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spans="1:26" ht="18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spans="1:26" ht="18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spans="1:26" ht="18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spans="1:26" ht="18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spans="1:26" ht="18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spans="1:26" ht="18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spans="1:26" ht="18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spans="1:26" ht="18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spans="1:26" ht="18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spans="1:26" ht="18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spans="1:26" ht="18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spans="1:26" ht="18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spans="1:26" ht="18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spans="1:26" ht="18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spans="1:26" ht="18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spans="1:26" ht="18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spans="1:26" ht="18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spans="1:26" ht="18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spans="1:26" ht="18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spans="1:26" ht="18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spans="1:26" ht="18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spans="1:26" ht="18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spans="1:26" ht="18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spans="1:26" ht="18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spans="1:26" ht="18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spans="1:26" ht="18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spans="1:26" ht="18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spans="1:26" ht="18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spans="1:26" ht="18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spans="1:26" ht="18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spans="1:26" ht="18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spans="1:26" ht="18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spans="1:26" ht="18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spans="1:26" ht="18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spans="1:26" ht="18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spans="1:26" ht="18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spans="1:26" ht="18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spans="1:26" ht="18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spans="1:26" ht="18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spans="1:26" ht="18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spans="1:26" ht="18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spans="1:26" ht="18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spans="1:26" ht="18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spans="1:26" ht="18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spans="1:26" ht="18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spans="1:26" ht="18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spans="1:26" ht="18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spans="1:26" ht="18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spans="1:26" ht="18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spans="1:26" ht="18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spans="1:26" ht="18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spans="1:26" ht="18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spans="1:26" ht="18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spans="1:26" ht="18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spans="1:26" ht="18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spans="1:26" ht="18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spans="1:26" ht="18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spans="1:26" ht="18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spans="1:26" ht="18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spans="1:26" ht="18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spans="1:26" ht="18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spans="1:26" ht="18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spans="1:26" ht="18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spans="1:26" ht="18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spans="1:26" ht="18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spans="1:26" ht="18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spans="1:26" ht="18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spans="1:26" ht="18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spans="1:26" ht="18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spans="1:26" ht="18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spans="1:26" ht="18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spans="1:26" ht="18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spans="1:26" ht="18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spans="1:26" ht="18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spans="1:26" ht="18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spans="1:26" ht="18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spans="1:26" ht="18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spans="1:26" ht="18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spans="1:26" ht="18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spans="1:26" ht="18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spans="1:26" ht="18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spans="1:26" ht="18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spans="1:26" ht="18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spans="1:26" ht="18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spans="1:26" ht="18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spans="1:26" ht="18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spans="1:26" ht="18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spans="1:26" ht="18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spans="1:26" ht="18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spans="1:26" ht="18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spans="1:26" ht="18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spans="1:26" ht="18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spans="1:26" ht="18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spans="1:26" ht="18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spans="1:26" ht="18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spans="1:26" ht="18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spans="1:26" ht="18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spans="1:26" ht="18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spans="1:26" ht="18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spans="1:26" ht="18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spans="1:26" ht="18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spans="1:26" ht="18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spans="1:26" ht="18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spans="1:26" ht="18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spans="1:26" ht="18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spans="1:26" ht="18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spans="1:26" ht="18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spans="1:26" ht="18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spans="1:26" ht="18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spans="1:26" ht="18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spans="1:26" ht="18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spans="1:26" ht="18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spans="1:26" ht="18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spans="1:26" ht="18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spans="1:26" ht="18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spans="1:26" ht="18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spans="1:26" ht="18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spans="1:26" ht="18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spans="1:26" ht="18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spans="1:26" ht="18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spans="1:26" ht="18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spans="1:26" ht="18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spans="1:26" ht="18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spans="1:26" ht="18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spans="1:26" ht="18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spans="1:26" ht="18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spans="1:26" ht="18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spans="1:26" ht="18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spans="1:26" ht="18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spans="1:26" ht="18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spans="1:26" ht="18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spans="1:26" ht="18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spans="1:26" ht="18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spans="1:26" ht="18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spans="1:26" ht="18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spans="1:26" ht="18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spans="1:26" ht="18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spans="1:26" ht="18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spans="1:26" ht="18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spans="1:26" ht="18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spans="1:26" ht="18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spans="1:26" ht="18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spans="1:26" ht="18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spans="1:26" ht="18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spans="1:26" ht="18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spans="1:26" ht="18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spans="1:26" ht="18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spans="1:26" ht="18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spans="1:26" ht="18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spans="1:26" ht="18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spans="1:26" ht="18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spans="1:26" ht="18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spans="1:26" ht="18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spans="1:26" ht="18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spans="1:26" ht="18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spans="1:26" ht="18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spans="1:26" ht="18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spans="1:26" ht="18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spans="1:26" ht="18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spans="1:26" ht="18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spans="1:26" ht="18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spans="1:26" ht="18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spans="1:26" ht="18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spans="1:26" ht="18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spans="1:26" ht="18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spans="1:26" ht="18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spans="1:26" ht="18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spans="1:26" ht="18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spans="1:26" ht="18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spans="1:26" ht="18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spans="1:26" ht="18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spans="1:26" ht="18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spans="1:26" ht="18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spans="1:26" ht="18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spans="1:26" ht="18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spans="1:26" ht="18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spans="1:26" ht="18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spans="1:26" ht="18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spans="1:26" ht="18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spans="1:26" ht="18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spans="1:26" ht="18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spans="1:26" ht="18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spans="1:26" ht="18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spans="1:26" ht="18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spans="1:26" ht="18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spans="1:26" ht="18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spans="1:26" ht="18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spans="1:26" ht="18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spans="1:26" ht="18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spans="1:26" ht="18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spans="1:26" ht="18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spans="1:26" ht="18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spans="1:26" ht="18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spans="1:26" ht="18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spans="1:26" ht="18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spans="1:26" ht="18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spans="1:26" ht="18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spans="1:26" ht="18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spans="1:26" ht="18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spans="1:26" ht="18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spans="1:26" ht="18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spans="1:26" ht="18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spans="1:26" ht="18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spans="1:26" ht="18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spans="1:26" ht="18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spans="1:26" ht="18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spans="1:26" ht="18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spans="1:26" ht="18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spans="1:26" ht="18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spans="1:26" ht="18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spans="1:26" ht="18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spans="1:26" ht="18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spans="1:26" ht="18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spans="1:26" ht="18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spans="1:26" ht="18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spans="1:26" ht="18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spans="1:26" ht="18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spans="1:26" ht="18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spans="1:26" ht="18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spans="1:26" ht="18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spans="1:26" ht="18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spans="1:26" ht="18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spans="1:26" ht="18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spans="1:26" ht="18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spans="1:26" ht="18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spans="1:26" ht="18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spans="1:26" ht="18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spans="1:26" ht="18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spans="1:26" ht="18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spans="1:26" ht="18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spans="1:26" ht="18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spans="1:26" ht="18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spans="1:26" ht="18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spans="1:26" ht="18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spans="1:26" ht="18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spans="1:26" ht="18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spans="1:26" ht="18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spans="1:26" ht="18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spans="1:26" ht="18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spans="1:26" ht="18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spans="1:26" ht="18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spans="1:26" ht="18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spans="1:26" ht="18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spans="1:26" ht="18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spans="1:26" ht="18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spans="1:26" ht="18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spans="1:26" ht="18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spans="1:26" ht="18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spans="1:26" ht="18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spans="1:26" ht="18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spans="1:26" ht="18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spans="1:26" ht="18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spans="1:26" ht="18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spans="1:26" ht="18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spans="1:26" ht="18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spans="1:26" ht="18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spans="1:26" ht="18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spans="1:26" ht="18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spans="1:26" ht="18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spans="1:26" ht="18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spans="1:26" ht="18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spans="1:26" ht="18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spans="1:26" ht="18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spans="1:26" ht="18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spans="1:26" ht="18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spans="1:26" ht="18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spans="1:26" ht="18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spans="1:26" ht="18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spans="1:26" ht="18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spans="1:26" ht="18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spans="1:26" ht="18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spans="1:26" ht="18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spans="1:26" ht="18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spans="1:26" ht="18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spans="1:26" ht="18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spans="1:26" ht="18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spans="1:26" ht="18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spans="1:26" ht="18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spans="1:26" ht="18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spans="1:26" ht="18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spans="1:26" ht="18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spans="1:26" ht="18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spans="1:26" ht="18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spans="1:26" ht="18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spans="1:26" ht="18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spans="1:26" ht="18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spans="1:26" ht="18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spans="1:26" ht="18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spans="1:26" ht="18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spans="1:26" ht="18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spans="1:26" ht="18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spans="1:26" ht="18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spans="1:26" ht="18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spans="1:26" ht="18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spans="1:26" ht="18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spans="1:26" ht="18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spans="1:26" ht="18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spans="1:26" ht="18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spans="1:26" ht="18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spans="1:26" ht="18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spans="1:26" ht="18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spans="1:26" ht="18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spans="1:26" ht="18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spans="1:26" ht="18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spans="1:26" ht="18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spans="1:26" ht="18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spans="1:26" ht="18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spans="1:26" ht="18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spans="1:26" ht="18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spans="1:26" ht="18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spans="1:26" ht="18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spans="1:26" ht="18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spans="1:26" ht="18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spans="1:26" ht="18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spans="1:26" ht="18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spans="1:26" ht="18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spans="1:26" ht="18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spans="1:26" ht="18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spans="1:26" ht="18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spans="1:26" ht="18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spans="1:26" ht="18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spans="1:26" ht="18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spans="1:26" ht="18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spans="1:26" ht="18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spans="1:26" ht="18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spans="1:26" ht="18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spans="1:26" ht="18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spans="1:26" ht="18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spans="1:26" ht="18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spans="1:26" ht="18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spans="1:26" ht="18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spans="1:26" ht="18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spans="1:26" ht="18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spans="1:26" ht="18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spans="1:26" ht="18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spans="1:26" ht="18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spans="1:26" ht="18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spans="1:26" ht="18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spans="1:26" ht="18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spans="1:26" ht="18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spans="1:26" ht="18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spans="1:26" ht="18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spans="1:26" ht="18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spans="1:26" ht="18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spans="1:26" ht="18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spans="1:26" ht="18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spans="1:26" ht="18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spans="1:26" ht="18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spans="1:26" ht="18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spans="1:26" ht="18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spans="1:26" ht="18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spans="1:26" ht="18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spans="1:26" ht="18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spans="1:26" ht="18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spans="1:26" ht="18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spans="1:26" ht="18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spans="1:26" ht="18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spans="1:26" ht="18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spans="1:26" ht="18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spans="1:26" ht="18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spans="1:26" ht="18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spans="1:26" ht="18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spans="1:26" ht="18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spans="1:26" ht="18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spans="1:26" ht="18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spans="1:26" ht="18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spans="1:26" ht="18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spans="1:26" ht="18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spans="1:26" ht="18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spans="1:26" ht="18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spans="1:26" ht="18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spans="1:26" ht="18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spans="1:26" ht="18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spans="1:26" ht="18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spans="1:26" ht="18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spans="1:26" ht="18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spans="1:26" ht="18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spans="1:26" ht="18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spans="1:26" ht="18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spans="1:26" ht="18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spans="1:26" ht="18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spans="1:26" ht="18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spans="1:26" ht="18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spans="1:26" ht="18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spans="1:26" ht="18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spans="1:26" ht="18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spans="1:26" ht="18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spans="1:26" ht="18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spans="1:26" ht="18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spans="1:26" ht="18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spans="1:26" ht="18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spans="1:26" ht="18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spans="1:26" ht="18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spans="1:26" ht="18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spans="1:26" ht="18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spans="1:26" ht="18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spans="1:26" ht="18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spans="1:26" ht="18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spans="1:26" ht="18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spans="1:26" ht="18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spans="1:26" ht="18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spans="1:26" ht="18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spans="1:26" ht="18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spans="1:26" ht="18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spans="1:26" ht="18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spans="1:26" ht="18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spans="1:26" ht="18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spans="1:26" ht="18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spans="1:26" ht="18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spans="1:26" ht="18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spans="1:26" ht="18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spans="1:26" ht="18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spans="1:26" ht="18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spans="1:26" ht="18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spans="1:26" ht="18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spans="1:26" ht="18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spans="1:26" ht="18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spans="1:26" ht="18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spans="1:26" ht="18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spans="1:26" ht="18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spans="1:26" ht="18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spans="1:26" ht="18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spans="1:26" ht="18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spans="1:26" ht="18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spans="1:26" ht="18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spans="1:26" ht="18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spans="1:26" ht="18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spans="1:26" ht="18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spans="1:26" ht="18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spans="1:26" ht="18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spans="1:26" ht="18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spans="1:26" ht="18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spans="1:26" ht="18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spans="1:26" ht="18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spans="1:26" ht="18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spans="1:26" ht="18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spans="1:26" ht="18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spans="1:26" ht="18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spans="1:26" ht="18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spans="1:26" ht="18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spans="1:26" ht="18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spans="1:26" ht="18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spans="1:26" ht="18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spans="1:26" ht="18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spans="1:26" ht="18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spans="1:26" ht="18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spans="1:26" ht="18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spans="1:26" ht="18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spans="1:26" ht="18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spans="1:26" ht="18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spans="1:26" ht="18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spans="1:26" ht="18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spans="1:26" ht="18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spans="1:26" ht="18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spans="1:26" ht="18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spans="1:26" ht="18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spans="1:26" ht="18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spans="1:26" ht="18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spans="1:26" ht="18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spans="1:26" ht="18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spans="1:26" ht="18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spans="1:26" ht="18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spans="1:26" ht="18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spans="1:26" ht="18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spans="1:26" ht="18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spans="1:26" ht="18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spans="1:26" ht="18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spans="1:26" ht="18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spans="1:26" ht="18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spans="1:26" ht="18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spans="1:26" ht="18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spans="1:26" ht="18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spans="1:26" ht="18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spans="1:26" ht="18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spans="1:26" ht="18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spans="1:26" ht="18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spans="1:26" ht="18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spans="1:26" ht="18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spans="1:26" ht="18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spans="1:26" ht="18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spans="1:26" ht="18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spans="1:26" ht="18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spans="1:26" ht="18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spans="1:26" ht="18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spans="1:26" ht="18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spans="1:26" ht="18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spans="1:26" ht="18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spans="1:26" ht="18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spans="1:26" ht="18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spans="1:26" ht="18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spans="1:26" ht="18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spans="1:26" ht="18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spans="1:26" ht="18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spans="1:26" ht="18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spans="1:26" ht="18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spans="1:26" ht="18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spans="1:26" ht="18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spans="1:26" ht="18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spans="1:26" ht="18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spans="1:26" ht="18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spans="1:26" ht="18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spans="1:26" ht="18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spans="1:26" ht="18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spans="1:26" ht="18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spans="1:26" ht="18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spans="1:26" ht="18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spans="1:26" ht="18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spans="1:26" ht="18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spans="1:26" ht="18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spans="1:26" ht="18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spans="1:26" ht="18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spans="1:26" ht="18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spans="1:26" ht="18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spans="1:26" ht="18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spans="1:26" ht="18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spans="1:26" ht="18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spans="1:26" ht="18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spans="1:26" ht="18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spans="1:26" ht="18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spans="1:26" ht="18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spans="1:26" ht="18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spans="1:26" ht="18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spans="1:26" ht="18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spans="1:26" ht="18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spans="1:26" ht="18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spans="1:26" ht="18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spans="1:26" ht="18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spans="1:26" ht="18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spans="1:26" ht="18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spans="1:26" ht="18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spans="1:26" ht="18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spans="1:26" ht="18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spans="1:26" ht="18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spans="1:26" ht="18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spans="1:26" ht="18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spans="1:26" ht="18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spans="1:26" ht="18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spans="1:26" ht="18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spans="1:26" ht="18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spans="1:26" ht="18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spans="1:26" ht="18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spans="1:26" ht="18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spans="1:26" ht="18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spans="1:26" ht="18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spans="1:26" ht="18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spans="1:26" ht="18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spans="1:26" ht="18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spans="1:26" ht="18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spans="1:26" ht="18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spans="1:26" ht="18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spans="1:26" ht="18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spans="1:26" ht="18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spans="1:26" ht="18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spans="1:26" ht="18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spans="1:26" ht="18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spans="1:26" ht="18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spans="1:26" ht="18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spans="1:26" ht="18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spans="1:26" ht="18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spans="1:26" ht="18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spans="1:26" ht="18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spans="1:26" ht="18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spans="1:26" ht="18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spans="1:26" ht="18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spans="1:26" ht="18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spans="1:26" ht="18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spans="1:26" ht="18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spans="1:26" ht="18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spans="1:26" ht="18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spans="1:26" ht="18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spans="1:26" ht="18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spans="1:26" ht="18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spans="1:26" ht="18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spans="1:26" ht="18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spans="1:26" ht="18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spans="1:26" ht="18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spans="1:26" ht="18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spans="1:26" ht="18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spans="1:26" ht="18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spans="1:26" ht="18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spans="1:26" ht="18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spans="1:26" ht="18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spans="1:26" ht="18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spans="1:26" ht="18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spans="1:26" ht="18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spans="1:26" ht="18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spans="1:26" ht="18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spans="1:26" ht="18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spans="1:26" ht="18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spans="1:26" ht="18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spans="1:26" ht="18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spans="1:26" ht="18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spans="1:26" ht="18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spans="1:26" ht="18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spans="1:26" ht="18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spans="1:26" ht="18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spans="1:26" ht="18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spans="1:26" ht="18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spans="1:26" ht="18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spans="1:26" ht="18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spans="1:26" ht="18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spans="1:26" ht="18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spans="1:26" ht="18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spans="1:26" ht="18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spans="1:26" ht="18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spans="1:26" ht="18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spans="1:26" ht="18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spans="1:26" ht="18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spans="1:26" ht="18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spans="1:26" ht="18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spans="1:26" ht="18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spans="1:26" ht="18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spans="1:26" ht="18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spans="1:26" ht="18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spans="1:26" ht="18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spans="1:26" ht="18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spans="1:26" ht="18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spans="1:26" ht="18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spans="1:26" ht="18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spans="1:26" ht="18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spans="1:26" ht="18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spans="1:26" ht="18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spans="1:26" ht="18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spans="1:26" ht="18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spans="1:26" ht="18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spans="1:26" ht="18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spans="1:26" ht="18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spans="1:26" ht="18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spans="1:26" ht="18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spans="1:26" ht="18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spans="1:26" ht="18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spans="1:26" ht="18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spans="1:26" ht="18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spans="1:26" ht="18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spans="1:26" ht="18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spans="1:26" ht="18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spans="1:26" ht="18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spans="1:26" ht="18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spans="1:26" ht="18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spans="1:26" ht="18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spans="1:26" ht="18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spans="1:26" ht="18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spans="1:26" ht="18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spans="1:26" ht="18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spans="1:26" ht="18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spans="1:26" ht="18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spans="1:26" ht="18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spans="1:26" ht="18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spans="1:26" ht="18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spans="1:26" ht="18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spans="1:26" ht="18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spans="1:26" ht="18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spans="1:26" ht="18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spans="1:26" ht="18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spans="1:26" ht="18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spans="1:26" ht="18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spans="1:26" ht="18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spans="1:26" ht="18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spans="1:26" ht="18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spans="1:26" ht="18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spans="1:26" ht="18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spans="1:26" ht="18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spans="1:26" ht="18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spans="1:26" ht="18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spans="1:26" ht="18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spans="1:26" ht="18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spans="1:26" ht="18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spans="1:26" ht="18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spans="1:26" ht="18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spans="1:26" ht="18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spans="1:26" ht="18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spans="1:26" ht="18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spans="1:26" ht="18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spans="1:26" ht="18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spans="1:26" ht="18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spans="1:26" ht="18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spans="1:26" ht="18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spans="1:26" ht="18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spans="1:26" ht="18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spans="1:26" ht="18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spans="1:26" ht="18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spans="1:26" ht="18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spans="1:26" ht="18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spans="1:26" ht="18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spans="1:26" ht="18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spans="1:26" ht="18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spans="1:26" ht="18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spans="1:26" ht="18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spans="1:26" ht="18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spans="1:26" ht="18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spans="1:26" ht="18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spans="1:26" ht="18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spans="1:26" ht="18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spans="1:26" ht="18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spans="1:26" ht="18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spans="1:26" ht="18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spans="1:26" ht="18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spans="1:26" ht="18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spans="1:26" ht="18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spans="1:26" ht="18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spans="1:26" ht="18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spans="1:26" ht="18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spans="1:26" ht="18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spans="1:26" ht="18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spans="1:26" ht="18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spans="1:26" ht="18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spans="1:26" ht="18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spans="1:26" ht="18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spans="1:26" ht="18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spans="1:26" ht="18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spans="1:26" ht="18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spans="1:26" ht="18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spans="1:26" ht="18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spans="1:26" ht="18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spans="1:26" ht="18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spans="1:26" ht="18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spans="1:26" ht="18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spans="1:26" ht="18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spans="1:26" ht="18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spans="1:26" ht="18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spans="1:26" ht="18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spans="1:26" ht="18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spans="1:26" ht="18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spans="1:26" ht="18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spans="1:26" ht="18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spans="1:26" ht="18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spans="1:26" ht="18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spans="1:26" ht="18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spans="1:26" ht="18" customHeight="1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spans="1:26" ht="18" customHeight="1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spans="1:26" ht="18" customHeight="1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spans="1:26" ht="18" customHeight="1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spans="1:26" ht="18" customHeight="1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  <row r="1001" spans="1:26" ht="18" customHeight="1">
      <c r="A1001" s="175"/>
      <c r="B1001" s="175"/>
      <c r="C1001" s="175"/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</row>
  </sheetData>
  <pageMargins left="0.31496062992125984" right="0.31496062992125984" top="0.19685039370078741" bottom="0.19685039370078741" header="0" footer="0"/>
  <pageSetup paperSize="9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B17" sqref="B17"/>
    </sheetView>
  </sheetViews>
  <sheetFormatPr baseColWidth="10" defaultColWidth="14.42578125" defaultRowHeight="15" customHeight="1"/>
  <cols>
    <col min="1" max="1" width="10.7109375" customWidth="1"/>
    <col min="2" max="2" width="12.85546875" customWidth="1"/>
    <col min="3" max="3" width="88.5703125" customWidth="1"/>
    <col min="4" max="4" width="17.28515625" customWidth="1"/>
    <col min="5" max="5" width="20.28515625" customWidth="1"/>
    <col min="6" max="26" width="10.7109375" customWidth="1"/>
  </cols>
  <sheetData>
    <row r="1" spans="1:4" ht="12.75" customHeight="1">
      <c r="B1" s="102"/>
    </row>
    <row r="2" spans="1:4" ht="12.75" customHeight="1">
      <c r="B2" s="102"/>
    </row>
    <row r="3" spans="1:4" ht="12.75" customHeight="1">
      <c r="B3" s="102" t="s">
        <v>60</v>
      </c>
      <c r="C3" s="118" t="s">
        <v>61</v>
      </c>
      <c r="D3" s="118" t="s">
        <v>62</v>
      </c>
    </row>
    <row r="4" spans="1:4" ht="12.75" customHeight="1">
      <c r="A4" s="102"/>
      <c r="B4" s="102">
        <v>46023</v>
      </c>
      <c r="C4" s="118" t="s">
        <v>63</v>
      </c>
      <c r="D4" s="118" t="s">
        <v>64</v>
      </c>
    </row>
    <row r="5" spans="1:4" ht="12.75" customHeight="1">
      <c r="A5" s="102"/>
      <c r="B5" s="102">
        <v>46100</v>
      </c>
      <c r="C5" s="118" t="s">
        <v>65</v>
      </c>
      <c r="D5" s="118" t="s">
        <v>64</v>
      </c>
    </row>
    <row r="6" spans="1:4" ht="12.75" customHeight="1">
      <c r="A6" s="102"/>
      <c r="B6" s="102">
        <v>46115</v>
      </c>
      <c r="C6" s="118" t="s">
        <v>66</v>
      </c>
      <c r="D6" s="118" t="s">
        <v>64</v>
      </c>
    </row>
    <row r="7" spans="1:4" ht="12.75" customHeight="1">
      <c r="A7" s="102"/>
      <c r="B7" s="102">
        <v>46118</v>
      </c>
      <c r="C7" s="118" t="s">
        <v>67</v>
      </c>
      <c r="D7" s="118" t="s">
        <v>68</v>
      </c>
    </row>
    <row r="8" spans="1:4" ht="12.75" customHeight="1">
      <c r="A8" s="102"/>
      <c r="B8" s="102">
        <v>46156</v>
      </c>
      <c r="C8" s="118" t="s">
        <v>69</v>
      </c>
      <c r="D8" s="118" t="s">
        <v>64</v>
      </c>
    </row>
    <row r="9" spans="1:4" ht="12.75" customHeight="1">
      <c r="A9" s="102"/>
      <c r="B9" s="102">
        <v>46167</v>
      </c>
      <c r="C9" s="118" t="s">
        <v>70</v>
      </c>
      <c r="D9" s="118" t="s">
        <v>68</v>
      </c>
    </row>
    <row r="10" spans="1:4" ht="12.75" customHeight="1">
      <c r="A10" s="102"/>
      <c r="B10" s="102">
        <v>46177</v>
      </c>
      <c r="C10" s="118" t="s">
        <v>71</v>
      </c>
      <c r="D10" s="118" t="s">
        <v>64</v>
      </c>
    </row>
    <row r="11" spans="1:4" ht="12.75" customHeight="1">
      <c r="A11" s="102"/>
      <c r="B11" s="102">
        <v>46235</v>
      </c>
      <c r="C11" s="118" t="s">
        <v>72</v>
      </c>
      <c r="D11" s="118" t="s">
        <v>64</v>
      </c>
    </row>
    <row r="12" spans="1:4" ht="12.75" customHeight="1">
      <c r="A12" s="102"/>
      <c r="B12" s="102">
        <v>46249</v>
      </c>
      <c r="C12" s="118" t="s">
        <v>73</v>
      </c>
      <c r="D12" s="118" t="s">
        <v>64</v>
      </c>
    </row>
    <row r="13" spans="1:4" ht="12.75" customHeight="1">
      <c r="A13" s="102"/>
      <c r="B13" s="102">
        <v>46267</v>
      </c>
      <c r="C13" s="118" t="s">
        <v>74</v>
      </c>
      <c r="D13" s="118" t="s">
        <v>64</v>
      </c>
    </row>
    <row r="14" spans="1:4" ht="12.75" customHeight="1">
      <c r="A14" s="102"/>
      <c r="B14" s="102">
        <v>46327</v>
      </c>
      <c r="C14" s="118" t="s">
        <v>75</v>
      </c>
      <c r="D14" s="118" t="s">
        <v>64</v>
      </c>
    </row>
    <row r="15" spans="1:4" ht="12.75" customHeight="1">
      <c r="A15" s="102"/>
      <c r="B15" s="102">
        <v>46364</v>
      </c>
      <c r="C15" s="118" t="s">
        <v>76</v>
      </c>
      <c r="D15" s="118" t="s">
        <v>64</v>
      </c>
    </row>
    <row r="16" spans="1:4" ht="12.75" customHeight="1">
      <c r="A16" s="102"/>
      <c r="B16" s="102">
        <v>46381</v>
      </c>
      <c r="C16" s="118" t="s">
        <v>77</v>
      </c>
      <c r="D16" s="118" t="s">
        <v>64</v>
      </c>
    </row>
    <row r="17" spans="1:8" ht="12.75" customHeight="1">
      <c r="A17" s="102"/>
      <c r="B17" s="102">
        <v>46382</v>
      </c>
      <c r="C17" s="118" t="s">
        <v>78</v>
      </c>
      <c r="D17" s="118" t="s">
        <v>64</v>
      </c>
    </row>
    <row r="18" spans="1:8" ht="12.75" customHeight="1">
      <c r="A18" s="102"/>
      <c r="B18" s="102"/>
    </row>
    <row r="19" spans="1:8" ht="12.75" customHeight="1">
      <c r="B19" s="102"/>
    </row>
    <row r="20" spans="1:8" ht="12.75" customHeight="1">
      <c r="B20" s="102"/>
    </row>
    <row r="21" spans="1:8" ht="12.75" customHeight="1">
      <c r="B21" s="102"/>
      <c r="H21" s="118" t="str">
        <f>IFERROR(VLOOKUP(A21, Feiertage!$B:$C, 2, 0),"")</f>
        <v/>
      </c>
    </row>
    <row r="22" spans="1:8" ht="12.75" customHeight="1">
      <c r="B22" s="102"/>
      <c r="C22" s="118" t="s">
        <v>79</v>
      </c>
    </row>
    <row r="23" spans="1:8" ht="12.75" customHeight="1">
      <c r="B23" s="102"/>
      <c r="C23" s="118" t="s">
        <v>80</v>
      </c>
    </row>
    <row r="24" spans="1:8" ht="12.75" customHeight="1">
      <c r="B24" s="102"/>
    </row>
    <row r="25" spans="1:8" ht="12.75" customHeight="1">
      <c r="B25" s="102"/>
    </row>
    <row r="26" spans="1:8" ht="12.75" customHeight="1">
      <c r="B26" s="102"/>
    </row>
    <row r="27" spans="1:8" ht="12.75" customHeight="1">
      <c r="B27" s="102"/>
    </row>
    <row r="28" spans="1:8" ht="12.75" customHeight="1">
      <c r="B28" s="102"/>
    </row>
    <row r="29" spans="1:8" ht="12.75" customHeight="1">
      <c r="B29" s="102"/>
    </row>
    <row r="30" spans="1:8" ht="12.75" customHeight="1">
      <c r="B30" s="102"/>
    </row>
    <row r="31" spans="1:8" ht="12.75" customHeight="1">
      <c r="B31" s="102"/>
    </row>
    <row r="32" spans="1:8" ht="12.75" customHeight="1">
      <c r="B32" s="102"/>
    </row>
    <row r="33" spans="2:2" ht="12.75" customHeight="1">
      <c r="B33" s="102"/>
    </row>
    <row r="34" spans="2:2" ht="12.75" customHeight="1">
      <c r="B34" s="102"/>
    </row>
    <row r="35" spans="2:2" ht="12.75" customHeight="1">
      <c r="B35" s="102"/>
    </row>
    <row r="36" spans="2:2" ht="12.75" customHeight="1">
      <c r="B36" s="102"/>
    </row>
    <row r="37" spans="2:2" ht="12.75" customHeight="1">
      <c r="B37" s="102"/>
    </row>
    <row r="38" spans="2:2" ht="12.75" customHeight="1">
      <c r="B38" s="102"/>
    </row>
    <row r="39" spans="2:2" ht="12.75" customHeight="1">
      <c r="B39" s="102"/>
    </row>
    <row r="40" spans="2:2" ht="12.75" customHeight="1">
      <c r="B40" s="102"/>
    </row>
    <row r="41" spans="2:2" ht="12.75" customHeight="1">
      <c r="B41" s="102"/>
    </row>
    <row r="42" spans="2:2" ht="12.75" customHeight="1">
      <c r="B42" s="102"/>
    </row>
    <row r="43" spans="2:2" ht="12.75" customHeight="1">
      <c r="B43" s="102"/>
    </row>
    <row r="44" spans="2:2" ht="12.75" customHeight="1">
      <c r="B44" s="102"/>
    </row>
    <row r="45" spans="2:2" ht="12.75" customHeight="1">
      <c r="B45" s="102"/>
    </row>
    <row r="46" spans="2:2" ht="12.75" customHeight="1">
      <c r="B46" s="102"/>
    </row>
    <row r="47" spans="2:2" ht="12.75" customHeight="1">
      <c r="B47" s="102"/>
    </row>
    <row r="48" spans="2:2" ht="12.75" customHeight="1">
      <c r="B48" s="102"/>
    </row>
    <row r="49" spans="2:2" ht="12.75" customHeight="1">
      <c r="B49" s="102"/>
    </row>
    <row r="50" spans="2:2" ht="12.75" customHeight="1">
      <c r="B50" s="102"/>
    </row>
    <row r="51" spans="2:2" ht="12.75" customHeight="1">
      <c r="B51" s="102"/>
    </row>
    <row r="52" spans="2:2" ht="12.75" customHeight="1">
      <c r="B52" s="102"/>
    </row>
    <row r="53" spans="2:2" ht="12.75" customHeight="1">
      <c r="B53" s="102"/>
    </row>
    <row r="54" spans="2:2" ht="12.75" customHeight="1">
      <c r="B54" s="102"/>
    </row>
    <row r="55" spans="2:2" ht="12.75" customHeight="1">
      <c r="B55" s="102"/>
    </row>
    <row r="56" spans="2:2" ht="12.75" customHeight="1">
      <c r="B56" s="102"/>
    </row>
    <row r="57" spans="2:2" ht="12.75" customHeight="1">
      <c r="B57" s="102"/>
    </row>
    <row r="58" spans="2:2" ht="12.75" customHeight="1">
      <c r="B58" s="102"/>
    </row>
    <row r="59" spans="2:2" ht="12.75" customHeight="1">
      <c r="B59" s="102"/>
    </row>
    <row r="60" spans="2:2" ht="12.75" customHeight="1">
      <c r="B60" s="102"/>
    </row>
    <row r="61" spans="2:2" ht="12.75" customHeight="1">
      <c r="B61" s="102"/>
    </row>
    <row r="62" spans="2:2" ht="12.75" customHeight="1">
      <c r="B62" s="102"/>
    </row>
    <row r="63" spans="2:2" ht="12.75" customHeight="1">
      <c r="B63" s="102"/>
    </row>
    <row r="64" spans="2:2" ht="12.75" customHeight="1">
      <c r="B64" s="102"/>
    </row>
    <row r="65" spans="2:2" ht="12.75" customHeight="1">
      <c r="B65" s="102"/>
    </row>
    <row r="66" spans="2:2" ht="12.75" customHeight="1">
      <c r="B66" s="102"/>
    </row>
    <row r="67" spans="2:2" ht="12.75" customHeight="1">
      <c r="B67" s="102"/>
    </row>
    <row r="68" spans="2:2" ht="12.75" customHeight="1">
      <c r="B68" s="102"/>
    </row>
    <row r="69" spans="2:2" ht="12.75" customHeight="1">
      <c r="B69" s="102"/>
    </row>
    <row r="70" spans="2:2" ht="12.75" customHeight="1">
      <c r="B70" s="102"/>
    </row>
    <row r="71" spans="2:2" ht="12.75" customHeight="1">
      <c r="B71" s="102"/>
    </row>
    <row r="72" spans="2:2" ht="12.75" customHeight="1">
      <c r="B72" s="102"/>
    </row>
    <row r="73" spans="2:2" ht="12.75" customHeight="1">
      <c r="B73" s="102"/>
    </row>
    <row r="74" spans="2:2" ht="12.75" customHeight="1">
      <c r="B74" s="102"/>
    </row>
    <row r="75" spans="2:2" ht="12.75" customHeight="1">
      <c r="B75" s="102"/>
    </row>
    <row r="76" spans="2:2" ht="12.75" customHeight="1">
      <c r="B76" s="102"/>
    </row>
    <row r="77" spans="2:2" ht="12.75" customHeight="1">
      <c r="B77" s="102"/>
    </row>
    <row r="78" spans="2:2" ht="12.75" customHeight="1">
      <c r="B78" s="102"/>
    </row>
    <row r="79" spans="2:2" ht="12.75" customHeight="1">
      <c r="B79" s="102"/>
    </row>
    <row r="80" spans="2:2" ht="12.75" customHeight="1">
      <c r="B80" s="102"/>
    </row>
    <row r="81" spans="2:2" ht="12.75" customHeight="1">
      <c r="B81" s="102"/>
    </row>
    <row r="82" spans="2:2" ht="12.75" customHeight="1">
      <c r="B82" s="102"/>
    </row>
    <row r="83" spans="2:2" ht="12.75" customHeight="1">
      <c r="B83" s="102"/>
    </row>
    <row r="84" spans="2:2" ht="12.75" customHeight="1">
      <c r="B84" s="102"/>
    </row>
    <row r="85" spans="2:2" ht="12.75" customHeight="1">
      <c r="B85" s="102"/>
    </row>
    <row r="86" spans="2:2" ht="12.75" customHeight="1">
      <c r="B86" s="102"/>
    </row>
    <row r="87" spans="2:2" ht="12.75" customHeight="1">
      <c r="B87" s="102"/>
    </row>
    <row r="88" spans="2:2" ht="12.75" customHeight="1">
      <c r="B88" s="102"/>
    </row>
    <row r="89" spans="2:2" ht="12.75" customHeight="1">
      <c r="B89" s="102"/>
    </row>
    <row r="90" spans="2:2" ht="12.75" customHeight="1">
      <c r="B90" s="102"/>
    </row>
    <row r="91" spans="2:2" ht="12.75" customHeight="1">
      <c r="B91" s="102"/>
    </row>
    <row r="92" spans="2:2" ht="12.75" customHeight="1">
      <c r="B92" s="102"/>
    </row>
    <row r="93" spans="2:2" ht="12.75" customHeight="1">
      <c r="B93" s="102"/>
    </row>
    <row r="94" spans="2:2" ht="12.75" customHeight="1">
      <c r="B94" s="102"/>
    </row>
    <row r="95" spans="2:2" ht="12.75" customHeight="1">
      <c r="B95" s="102"/>
    </row>
    <row r="96" spans="2:2" ht="12.75" customHeight="1">
      <c r="B96" s="102"/>
    </row>
    <row r="97" spans="2:2" ht="12.75" customHeight="1">
      <c r="B97" s="102"/>
    </row>
    <row r="98" spans="2:2" ht="12.75" customHeight="1">
      <c r="B98" s="102"/>
    </row>
    <row r="99" spans="2:2" ht="12.75" customHeight="1">
      <c r="B99" s="102"/>
    </row>
    <row r="100" spans="2:2" ht="12.75" customHeight="1">
      <c r="B100" s="102"/>
    </row>
    <row r="101" spans="2:2" ht="12.75" customHeight="1">
      <c r="B101" s="102"/>
    </row>
    <row r="102" spans="2:2" ht="12.75" customHeight="1">
      <c r="B102" s="102"/>
    </row>
    <row r="103" spans="2:2" ht="12.75" customHeight="1">
      <c r="B103" s="102"/>
    </row>
    <row r="104" spans="2:2" ht="12.75" customHeight="1">
      <c r="B104" s="102"/>
    </row>
    <row r="105" spans="2:2" ht="12.75" customHeight="1">
      <c r="B105" s="102"/>
    </row>
    <row r="106" spans="2:2" ht="12.75" customHeight="1">
      <c r="B106" s="102"/>
    </row>
    <row r="107" spans="2:2" ht="12.75" customHeight="1">
      <c r="B107" s="102"/>
    </row>
    <row r="108" spans="2:2" ht="12.75" customHeight="1">
      <c r="B108" s="102"/>
    </row>
    <row r="109" spans="2:2" ht="12.75" customHeight="1">
      <c r="B109" s="102"/>
    </row>
    <row r="110" spans="2:2" ht="12.75" customHeight="1">
      <c r="B110" s="102"/>
    </row>
    <row r="111" spans="2:2" ht="12.75" customHeight="1">
      <c r="B111" s="102"/>
    </row>
    <row r="112" spans="2:2" ht="12.75" customHeight="1">
      <c r="B112" s="102"/>
    </row>
    <row r="113" spans="2:2" ht="12.75" customHeight="1">
      <c r="B113" s="102"/>
    </row>
    <row r="114" spans="2:2" ht="12.75" customHeight="1">
      <c r="B114" s="102"/>
    </row>
    <row r="115" spans="2:2" ht="12.75" customHeight="1">
      <c r="B115" s="102"/>
    </row>
    <row r="116" spans="2:2" ht="12.75" customHeight="1">
      <c r="B116" s="102"/>
    </row>
    <row r="117" spans="2:2" ht="12.75" customHeight="1">
      <c r="B117" s="102"/>
    </row>
    <row r="118" spans="2:2" ht="12.75" customHeight="1">
      <c r="B118" s="102"/>
    </row>
    <row r="119" spans="2:2" ht="12.75" customHeight="1">
      <c r="B119" s="102"/>
    </row>
    <row r="120" spans="2:2" ht="12.75" customHeight="1">
      <c r="B120" s="102"/>
    </row>
    <row r="121" spans="2:2" ht="12.75" customHeight="1">
      <c r="B121" s="102"/>
    </row>
    <row r="122" spans="2:2" ht="12.75" customHeight="1">
      <c r="B122" s="102"/>
    </row>
    <row r="123" spans="2:2" ht="12.75" customHeight="1">
      <c r="B123" s="102"/>
    </row>
    <row r="124" spans="2:2" ht="12.75" customHeight="1">
      <c r="B124" s="102"/>
    </row>
    <row r="125" spans="2:2" ht="12.75" customHeight="1">
      <c r="B125" s="102"/>
    </row>
    <row r="126" spans="2:2" ht="12.75" customHeight="1">
      <c r="B126" s="102"/>
    </row>
    <row r="127" spans="2:2" ht="12.75" customHeight="1">
      <c r="B127" s="102"/>
    </row>
    <row r="128" spans="2:2" ht="12.75" customHeight="1">
      <c r="B128" s="102"/>
    </row>
    <row r="129" spans="2:2" ht="12.75" customHeight="1">
      <c r="B129" s="102"/>
    </row>
    <row r="130" spans="2:2" ht="12.75" customHeight="1">
      <c r="B130" s="102"/>
    </row>
    <row r="131" spans="2:2" ht="12.75" customHeight="1">
      <c r="B131" s="102"/>
    </row>
    <row r="132" spans="2:2" ht="12.75" customHeight="1">
      <c r="B132" s="102"/>
    </row>
    <row r="133" spans="2:2" ht="12.75" customHeight="1">
      <c r="B133" s="102"/>
    </row>
    <row r="134" spans="2:2" ht="12.75" customHeight="1">
      <c r="B134" s="102"/>
    </row>
    <row r="135" spans="2:2" ht="12.75" customHeight="1">
      <c r="B135" s="102"/>
    </row>
    <row r="136" spans="2:2" ht="12.75" customHeight="1">
      <c r="B136" s="102"/>
    </row>
    <row r="137" spans="2:2" ht="12.75" customHeight="1">
      <c r="B137" s="102"/>
    </row>
    <row r="138" spans="2:2" ht="12.75" customHeight="1">
      <c r="B138" s="102"/>
    </row>
    <row r="139" spans="2:2" ht="12.75" customHeight="1">
      <c r="B139" s="102"/>
    </row>
    <row r="140" spans="2:2" ht="12.75" customHeight="1">
      <c r="B140" s="102"/>
    </row>
    <row r="141" spans="2:2" ht="12.75" customHeight="1">
      <c r="B141" s="102"/>
    </row>
    <row r="142" spans="2:2" ht="12.75" customHeight="1">
      <c r="B142" s="102"/>
    </row>
    <row r="143" spans="2:2" ht="12.75" customHeight="1">
      <c r="B143" s="102"/>
    </row>
    <row r="144" spans="2:2" ht="12.75" customHeight="1">
      <c r="B144" s="102"/>
    </row>
    <row r="145" spans="2:2" ht="12.75" customHeight="1">
      <c r="B145" s="102"/>
    </row>
    <row r="146" spans="2:2" ht="12.75" customHeight="1">
      <c r="B146" s="102"/>
    </row>
    <row r="147" spans="2:2" ht="12.75" customHeight="1">
      <c r="B147" s="102"/>
    </row>
    <row r="148" spans="2:2" ht="12.75" customHeight="1">
      <c r="B148" s="102"/>
    </row>
    <row r="149" spans="2:2" ht="12.75" customHeight="1">
      <c r="B149" s="102"/>
    </row>
    <row r="150" spans="2:2" ht="12.75" customHeight="1">
      <c r="B150" s="102"/>
    </row>
    <row r="151" spans="2:2" ht="12.75" customHeight="1">
      <c r="B151" s="102"/>
    </row>
    <row r="152" spans="2:2" ht="12.75" customHeight="1">
      <c r="B152" s="102"/>
    </row>
    <row r="153" spans="2:2" ht="12.75" customHeight="1">
      <c r="B153" s="102"/>
    </row>
    <row r="154" spans="2:2" ht="12.75" customHeight="1">
      <c r="B154" s="102"/>
    </row>
    <row r="155" spans="2:2" ht="12.75" customHeight="1">
      <c r="B155" s="102"/>
    </row>
    <row r="156" spans="2:2" ht="12.75" customHeight="1">
      <c r="B156" s="102"/>
    </row>
    <row r="157" spans="2:2" ht="12.75" customHeight="1">
      <c r="B157" s="102"/>
    </row>
    <row r="158" spans="2:2" ht="12.75" customHeight="1">
      <c r="B158" s="102"/>
    </row>
    <row r="159" spans="2:2" ht="12.75" customHeight="1">
      <c r="B159" s="102"/>
    </row>
    <row r="160" spans="2:2" ht="12.75" customHeight="1">
      <c r="B160" s="102"/>
    </row>
    <row r="161" spans="2:2" ht="12.75" customHeight="1">
      <c r="B161" s="102"/>
    </row>
    <row r="162" spans="2:2" ht="12.75" customHeight="1">
      <c r="B162" s="102"/>
    </row>
    <row r="163" spans="2:2" ht="12.75" customHeight="1">
      <c r="B163" s="102"/>
    </row>
    <row r="164" spans="2:2" ht="12.75" customHeight="1">
      <c r="B164" s="102"/>
    </row>
    <row r="165" spans="2:2" ht="12.75" customHeight="1">
      <c r="B165" s="102"/>
    </row>
    <row r="166" spans="2:2" ht="12.75" customHeight="1">
      <c r="B166" s="102"/>
    </row>
    <row r="167" spans="2:2" ht="12.75" customHeight="1">
      <c r="B167" s="102"/>
    </row>
    <row r="168" spans="2:2" ht="12.75" customHeight="1">
      <c r="B168" s="102"/>
    </row>
    <row r="169" spans="2:2" ht="12.75" customHeight="1">
      <c r="B169" s="102"/>
    </row>
    <row r="170" spans="2:2" ht="12.75" customHeight="1">
      <c r="B170" s="102"/>
    </row>
    <row r="171" spans="2:2" ht="12.75" customHeight="1">
      <c r="B171" s="102"/>
    </row>
    <row r="172" spans="2:2" ht="12.75" customHeight="1">
      <c r="B172" s="102"/>
    </row>
    <row r="173" spans="2:2" ht="12.75" customHeight="1">
      <c r="B173" s="102"/>
    </row>
    <row r="174" spans="2:2" ht="12.75" customHeight="1">
      <c r="B174" s="102"/>
    </row>
    <row r="175" spans="2:2" ht="12.75" customHeight="1">
      <c r="B175" s="102"/>
    </row>
    <row r="176" spans="2:2" ht="12.75" customHeight="1">
      <c r="B176" s="102"/>
    </row>
    <row r="177" spans="2:2" ht="12.75" customHeight="1">
      <c r="B177" s="102"/>
    </row>
    <row r="178" spans="2:2" ht="12.75" customHeight="1">
      <c r="B178" s="102"/>
    </row>
    <row r="179" spans="2:2" ht="12.75" customHeight="1">
      <c r="B179" s="102"/>
    </row>
    <row r="180" spans="2:2" ht="12.75" customHeight="1">
      <c r="B180" s="102"/>
    </row>
    <row r="181" spans="2:2" ht="12.75" customHeight="1">
      <c r="B181" s="102"/>
    </row>
    <row r="182" spans="2:2" ht="12.75" customHeight="1">
      <c r="B182" s="102"/>
    </row>
    <row r="183" spans="2:2" ht="12.75" customHeight="1">
      <c r="B183" s="102"/>
    </row>
    <row r="184" spans="2:2" ht="12.75" customHeight="1">
      <c r="B184" s="102"/>
    </row>
    <row r="185" spans="2:2" ht="12.75" customHeight="1">
      <c r="B185" s="102"/>
    </row>
    <row r="186" spans="2:2" ht="12.75" customHeight="1">
      <c r="B186" s="102"/>
    </row>
    <row r="187" spans="2:2" ht="12.75" customHeight="1">
      <c r="B187" s="102"/>
    </row>
    <row r="188" spans="2:2" ht="12.75" customHeight="1">
      <c r="B188" s="102"/>
    </row>
    <row r="189" spans="2:2" ht="12.75" customHeight="1">
      <c r="B189" s="102"/>
    </row>
    <row r="190" spans="2:2" ht="12.75" customHeight="1">
      <c r="B190" s="102"/>
    </row>
    <row r="191" spans="2:2" ht="12.75" customHeight="1">
      <c r="B191" s="102"/>
    </row>
    <row r="192" spans="2:2" ht="12.75" customHeight="1">
      <c r="B192" s="102"/>
    </row>
    <row r="193" spans="2:2" ht="12.75" customHeight="1">
      <c r="B193" s="102"/>
    </row>
    <row r="194" spans="2:2" ht="12.75" customHeight="1">
      <c r="B194" s="102"/>
    </row>
    <row r="195" spans="2:2" ht="12.75" customHeight="1">
      <c r="B195" s="102"/>
    </row>
    <row r="196" spans="2:2" ht="12.75" customHeight="1">
      <c r="B196" s="102"/>
    </row>
    <row r="197" spans="2:2" ht="12.75" customHeight="1">
      <c r="B197" s="102"/>
    </row>
    <row r="198" spans="2:2" ht="12.75" customHeight="1">
      <c r="B198" s="102"/>
    </row>
    <row r="199" spans="2:2" ht="12.75" customHeight="1">
      <c r="B199" s="102"/>
    </row>
    <row r="200" spans="2:2" ht="12.75" customHeight="1">
      <c r="B200" s="102"/>
    </row>
    <row r="201" spans="2:2" ht="12.75" customHeight="1">
      <c r="B201" s="102"/>
    </row>
    <row r="202" spans="2:2" ht="12.75" customHeight="1">
      <c r="B202" s="102"/>
    </row>
    <row r="203" spans="2:2" ht="12.75" customHeight="1">
      <c r="B203" s="102"/>
    </row>
    <row r="204" spans="2:2" ht="12.75" customHeight="1">
      <c r="B204" s="102"/>
    </row>
    <row r="205" spans="2:2" ht="12.75" customHeight="1">
      <c r="B205" s="102"/>
    </row>
    <row r="206" spans="2:2" ht="12.75" customHeight="1">
      <c r="B206" s="102"/>
    </row>
    <row r="207" spans="2:2" ht="12.75" customHeight="1">
      <c r="B207" s="102"/>
    </row>
    <row r="208" spans="2:2" ht="12.75" customHeight="1">
      <c r="B208" s="102"/>
    </row>
    <row r="209" spans="2:2" ht="12.75" customHeight="1">
      <c r="B209" s="102"/>
    </row>
    <row r="210" spans="2:2" ht="12.75" customHeight="1">
      <c r="B210" s="102"/>
    </row>
    <row r="211" spans="2:2" ht="12.75" customHeight="1">
      <c r="B211" s="102"/>
    </row>
    <row r="212" spans="2:2" ht="12.75" customHeight="1">
      <c r="B212" s="102"/>
    </row>
    <row r="213" spans="2:2" ht="12.75" customHeight="1">
      <c r="B213" s="102"/>
    </row>
    <row r="214" spans="2:2" ht="12.75" customHeight="1">
      <c r="B214" s="102"/>
    </row>
    <row r="215" spans="2:2" ht="12.75" customHeight="1">
      <c r="B215" s="102"/>
    </row>
    <row r="216" spans="2:2" ht="12.75" customHeight="1">
      <c r="B216" s="102"/>
    </row>
    <row r="217" spans="2:2" ht="12.75" customHeight="1">
      <c r="B217" s="102"/>
    </row>
    <row r="218" spans="2:2" ht="12.75" customHeight="1">
      <c r="B218" s="102"/>
    </row>
    <row r="219" spans="2:2" ht="12.75" customHeight="1">
      <c r="B219" s="102"/>
    </row>
    <row r="220" spans="2:2" ht="12.75" customHeight="1">
      <c r="B220" s="102"/>
    </row>
    <row r="221" spans="2:2" ht="12.75" customHeight="1">
      <c r="B221" s="102"/>
    </row>
    <row r="222" spans="2:2" ht="12.75" customHeight="1">
      <c r="B222" s="102"/>
    </row>
    <row r="223" spans="2:2" ht="12.75" customHeight="1">
      <c r="B223" s="102"/>
    </row>
    <row r="224" spans="2:2" ht="12.75" customHeight="1">
      <c r="B224" s="102"/>
    </row>
    <row r="225" spans="2:2" ht="12.75" customHeight="1">
      <c r="B225" s="102"/>
    </row>
    <row r="226" spans="2:2" ht="12.75" customHeight="1">
      <c r="B226" s="102"/>
    </row>
    <row r="227" spans="2:2" ht="12.75" customHeight="1">
      <c r="B227" s="102"/>
    </row>
    <row r="228" spans="2:2" ht="12.75" customHeight="1">
      <c r="B228" s="102"/>
    </row>
    <row r="229" spans="2:2" ht="12.75" customHeight="1">
      <c r="B229" s="102"/>
    </row>
    <row r="230" spans="2:2" ht="12.75" customHeight="1">
      <c r="B230" s="102"/>
    </row>
    <row r="231" spans="2:2" ht="12.75" customHeight="1">
      <c r="B231" s="102"/>
    </row>
    <row r="232" spans="2:2" ht="12.75" customHeight="1">
      <c r="B232" s="102"/>
    </row>
    <row r="233" spans="2:2" ht="12.75" customHeight="1">
      <c r="B233" s="102"/>
    </row>
    <row r="234" spans="2:2" ht="12.75" customHeight="1">
      <c r="B234" s="102"/>
    </row>
    <row r="235" spans="2:2" ht="12.75" customHeight="1">
      <c r="B235" s="102"/>
    </row>
    <row r="236" spans="2:2" ht="12.75" customHeight="1">
      <c r="B236" s="102"/>
    </row>
    <row r="237" spans="2:2" ht="12.75" customHeight="1">
      <c r="B237" s="102"/>
    </row>
    <row r="238" spans="2:2" ht="12.75" customHeight="1">
      <c r="B238" s="102"/>
    </row>
    <row r="239" spans="2:2" ht="12.75" customHeight="1">
      <c r="B239" s="102"/>
    </row>
    <row r="240" spans="2:2" ht="12.75" customHeight="1">
      <c r="B240" s="102"/>
    </row>
    <row r="241" spans="2:2" ht="12.75" customHeight="1">
      <c r="B241" s="102"/>
    </row>
    <row r="242" spans="2:2" ht="12.75" customHeight="1">
      <c r="B242" s="102"/>
    </row>
    <row r="243" spans="2:2" ht="12.75" customHeight="1">
      <c r="B243" s="102"/>
    </row>
    <row r="244" spans="2:2" ht="12.75" customHeight="1">
      <c r="B244" s="102"/>
    </row>
    <row r="245" spans="2:2" ht="12.75" customHeight="1">
      <c r="B245" s="102"/>
    </row>
    <row r="246" spans="2:2" ht="12.75" customHeight="1">
      <c r="B246" s="102"/>
    </row>
    <row r="247" spans="2:2" ht="12.75" customHeight="1">
      <c r="B247" s="102"/>
    </row>
    <row r="248" spans="2:2" ht="12.75" customHeight="1">
      <c r="B248" s="102"/>
    </row>
    <row r="249" spans="2:2" ht="12.75" customHeight="1">
      <c r="B249" s="102"/>
    </row>
    <row r="250" spans="2:2" ht="12.75" customHeight="1">
      <c r="B250" s="102"/>
    </row>
    <row r="251" spans="2:2" ht="12.75" customHeight="1">
      <c r="B251" s="102"/>
    </row>
    <row r="252" spans="2:2" ht="12.75" customHeight="1">
      <c r="B252" s="102"/>
    </row>
    <row r="253" spans="2:2" ht="12.75" customHeight="1">
      <c r="B253" s="102"/>
    </row>
    <row r="254" spans="2:2" ht="12.75" customHeight="1">
      <c r="B254" s="102"/>
    </row>
    <row r="255" spans="2:2" ht="12.75" customHeight="1">
      <c r="B255" s="102"/>
    </row>
    <row r="256" spans="2:2" ht="12.75" customHeight="1">
      <c r="B256" s="102"/>
    </row>
    <row r="257" spans="2:2" ht="12.75" customHeight="1">
      <c r="B257" s="102"/>
    </row>
    <row r="258" spans="2:2" ht="12.75" customHeight="1">
      <c r="B258" s="102"/>
    </row>
    <row r="259" spans="2:2" ht="12.75" customHeight="1">
      <c r="B259" s="102"/>
    </row>
    <row r="260" spans="2:2" ht="12.75" customHeight="1">
      <c r="B260" s="102"/>
    </row>
    <row r="261" spans="2:2" ht="12.75" customHeight="1">
      <c r="B261" s="102"/>
    </row>
    <row r="262" spans="2:2" ht="12.75" customHeight="1">
      <c r="B262" s="102"/>
    </row>
    <row r="263" spans="2:2" ht="12.75" customHeight="1">
      <c r="B263" s="102"/>
    </row>
    <row r="264" spans="2:2" ht="12.75" customHeight="1">
      <c r="B264" s="102"/>
    </row>
    <row r="265" spans="2:2" ht="12.75" customHeight="1">
      <c r="B265" s="102"/>
    </row>
    <row r="266" spans="2:2" ht="12.75" customHeight="1">
      <c r="B266" s="102"/>
    </row>
    <row r="267" spans="2:2" ht="12.75" customHeight="1">
      <c r="B267" s="102"/>
    </row>
    <row r="268" spans="2:2" ht="12.75" customHeight="1">
      <c r="B268" s="102"/>
    </row>
    <row r="269" spans="2:2" ht="12.75" customHeight="1">
      <c r="B269" s="102"/>
    </row>
    <row r="270" spans="2:2" ht="12.75" customHeight="1">
      <c r="B270" s="102"/>
    </row>
    <row r="271" spans="2:2" ht="12.75" customHeight="1">
      <c r="B271" s="102"/>
    </row>
    <row r="272" spans="2:2" ht="12.75" customHeight="1">
      <c r="B272" s="102"/>
    </row>
    <row r="273" spans="2:2" ht="12.75" customHeight="1">
      <c r="B273" s="102"/>
    </row>
    <row r="274" spans="2:2" ht="12.75" customHeight="1">
      <c r="B274" s="102"/>
    </row>
    <row r="275" spans="2:2" ht="12.75" customHeight="1">
      <c r="B275" s="102"/>
    </row>
    <row r="276" spans="2:2" ht="12.75" customHeight="1">
      <c r="B276" s="102"/>
    </row>
    <row r="277" spans="2:2" ht="12.75" customHeight="1">
      <c r="B277" s="102"/>
    </row>
    <row r="278" spans="2:2" ht="12.75" customHeight="1">
      <c r="B278" s="102"/>
    </row>
    <row r="279" spans="2:2" ht="12.75" customHeight="1">
      <c r="B279" s="102"/>
    </row>
    <row r="280" spans="2:2" ht="12.75" customHeight="1">
      <c r="B280" s="102"/>
    </row>
    <row r="281" spans="2:2" ht="12.75" customHeight="1">
      <c r="B281" s="102"/>
    </row>
    <row r="282" spans="2:2" ht="12.75" customHeight="1">
      <c r="B282" s="102"/>
    </row>
    <row r="283" spans="2:2" ht="12.75" customHeight="1">
      <c r="B283" s="102"/>
    </row>
    <row r="284" spans="2:2" ht="12.75" customHeight="1">
      <c r="B284" s="102"/>
    </row>
    <row r="285" spans="2:2" ht="12.75" customHeight="1">
      <c r="B285" s="102"/>
    </row>
    <row r="286" spans="2:2" ht="12.75" customHeight="1">
      <c r="B286" s="102"/>
    </row>
    <row r="287" spans="2:2" ht="12.75" customHeight="1">
      <c r="B287" s="102"/>
    </row>
    <row r="288" spans="2:2" ht="12.75" customHeight="1">
      <c r="B288" s="102"/>
    </row>
    <row r="289" spans="2:2" ht="12.75" customHeight="1">
      <c r="B289" s="102"/>
    </row>
    <row r="290" spans="2:2" ht="12.75" customHeight="1">
      <c r="B290" s="102"/>
    </row>
    <row r="291" spans="2:2" ht="12.75" customHeight="1">
      <c r="B291" s="102"/>
    </row>
    <row r="292" spans="2:2" ht="12.75" customHeight="1">
      <c r="B292" s="102"/>
    </row>
    <row r="293" spans="2:2" ht="12.75" customHeight="1">
      <c r="B293" s="102"/>
    </row>
    <row r="294" spans="2:2" ht="12.75" customHeight="1">
      <c r="B294" s="102"/>
    </row>
    <row r="295" spans="2:2" ht="12.75" customHeight="1">
      <c r="B295" s="102"/>
    </row>
    <row r="296" spans="2:2" ht="12.75" customHeight="1">
      <c r="B296" s="102"/>
    </row>
    <row r="297" spans="2:2" ht="12.75" customHeight="1">
      <c r="B297" s="102"/>
    </row>
    <row r="298" spans="2:2" ht="12.75" customHeight="1">
      <c r="B298" s="102"/>
    </row>
    <row r="299" spans="2:2" ht="12.75" customHeight="1">
      <c r="B299" s="102"/>
    </row>
    <row r="300" spans="2:2" ht="12.75" customHeight="1">
      <c r="B300" s="102"/>
    </row>
    <row r="301" spans="2:2" ht="12.75" customHeight="1">
      <c r="B301" s="102"/>
    </row>
    <row r="302" spans="2:2" ht="12.75" customHeight="1">
      <c r="B302" s="102"/>
    </row>
    <row r="303" spans="2:2" ht="12.75" customHeight="1">
      <c r="B303" s="102"/>
    </row>
    <row r="304" spans="2:2" ht="12.75" customHeight="1">
      <c r="B304" s="102"/>
    </row>
    <row r="305" spans="2:2" ht="12.75" customHeight="1">
      <c r="B305" s="102"/>
    </row>
    <row r="306" spans="2:2" ht="12.75" customHeight="1">
      <c r="B306" s="102"/>
    </row>
    <row r="307" spans="2:2" ht="12.75" customHeight="1">
      <c r="B307" s="102"/>
    </row>
    <row r="308" spans="2:2" ht="12.75" customHeight="1">
      <c r="B308" s="102"/>
    </row>
    <row r="309" spans="2:2" ht="12.75" customHeight="1">
      <c r="B309" s="102"/>
    </row>
    <row r="310" spans="2:2" ht="12.75" customHeight="1">
      <c r="B310" s="102"/>
    </row>
    <row r="311" spans="2:2" ht="12.75" customHeight="1">
      <c r="B311" s="102"/>
    </row>
    <row r="312" spans="2:2" ht="12.75" customHeight="1">
      <c r="B312" s="102"/>
    </row>
    <row r="313" spans="2:2" ht="12.75" customHeight="1">
      <c r="B313" s="102"/>
    </row>
    <row r="314" spans="2:2" ht="12.75" customHeight="1">
      <c r="B314" s="102"/>
    </row>
    <row r="315" spans="2:2" ht="12.75" customHeight="1">
      <c r="B315" s="102"/>
    </row>
    <row r="316" spans="2:2" ht="12.75" customHeight="1">
      <c r="B316" s="102"/>
    </row>
    <row r="317" spans="2:2" ht="12.75" customHeight="1">
      <c r="B317" s="102"/>
    </row>
    <row r="318" spans="2:2" ht="12.75" customHeight="1">
      <c r="B318" s="102"/>
    </row>
    <row r="319" spans="2:2" ht="12.75" customHeight="1">
      <c r="B319" s="102"/>
    </row>
    <row r="320" spans="2:2" ht="12.75" customHeight="1">
      <c r="B320" s="102"/>
    </row>
    <row r="321" spans="2:2" ht="12.75" customHeight="1">
      <c r="B321" s="102"/>
    </row>
    <row r="322" spans="2:2" ht="12.75" customHeight="1">
      <c r="B322" s="102"/>
    </row>
    <row r="323" spans="2:2" ht="12.75" customHeight="1">
      <c r="B323" s="102"/>
    </row>
    <row r="324" spans="2:2" ht="12.75" customHeight="1">
      <c r="B324" s="102"/>
    </row>
    <row r="325" spans="2:2" ht="12.75" customHeight="1">
      <c r="B325" s="102"/>
    </row>
    <row r="326" spans="2:2" ht="12.75" customHeight="1">
      <c r="B326" s="102"/>
    </row>
    <row r="327" spans="2:2" ht="12.75" customHeight="1">
      <c r="B327" s="102"/>
    </row>
    <row r="328" spans="2:2" ht="12.75" customHeight="1">
      <c r="B328" s="102"/>
    </row>
    <row r="329" spans="2:2" ht="12.75" customHeight="1">
      <c r="B329" s="102"/>
    </row>
    <row r="330" spans="2:2" ht="12.75" customHeight="1">
      <c r="B330" s="102"/>
    </row>
    <row r="331" spans="2:2" ht="12.75" customHeight="1">
      <c r="B331" s="102"/>
    </row>
    <row r="332" spans="2:2" ht="12.75" customHeight="1">
      <c r="B332" s="102"/>
    </row>
    <row r="333" spans="2:2" ht="12.75" customHeight="1">
      <c r="B333" s="102"/>
    </row>
    <row r="334" spans="2:2" ht="12.75" customHeight="1">
      <c r="B334" s="102"/>
    </row>
    <row r="335" spans="2:2" ht="12.75" customHeight="1">
      <c r="B335" s="102"/>
    </row>
    <row r="336" spans="2:2" ht="12.75" customHeight="1">
      <c r="B336" s="102"/>
    </row>
    <row r="337" spans="2:2" ht="12.75" customHeight="1">
      <c r="B337" s="102"/>
    </row>
    <row r="338" spans="2:2" ht="12.75" customHeight="1">
      <c r="B338" s="102"/>
    </row>
    <row r="339" spans="2:2" ht="12.75" customHeight="1">
      <c r="B339" s="102"/>
    </row>
    <row r="340" spans="2:2" ht="12.75" customHeight="1">
      <c r="B340" s="102"/>
    </row>
    <row r="341" spans="2:2" ht="12.75" customHeight="1">
      <c r="B341" s="102"/>
    </row>
    <row r="342" spans="2:2" ht="12.75" customHeight="1">
      <c r="B342" s="102"/>
    </row>
    <row r="343" spans="2:2" ht="12.75" customHeight="1">
      <c r="B343" s="102"/>
    </row>
    <row r="344" spans="2:2" ht="12.75" customHeight="1">
      <c r="B344" s="102"/>
    </row>
    <row r="345" spans="2:2" ht="12.75" customHeight="1">
      <c r="B345" s="102"/>
    </row>
    <row r="346" spans="2:2" ht="12.75" customHeight="1">
      <c r="B346" s="102"/>
    </row>
    <row r="347" spans="2:2" ht="12.75" customHeight="1">
      <c r="B347" s="102"/>
    </row>
    <row r="348" spans="2:2" ht="12.75" customHeight="1">
      <c r="B348" s="102"/>
    </row>
    <row r="349" spans="2:2" ht="12.75" customHeight="1">
      <c r="B349" s="102"/>
    </row>
    <row r="350" spans="2:2" ht="12.75" customHeight="1">
      <c r="B350" s="102"/>
    </row>
    <row r="351" spans="2:2" ht="12.75" customHeight="1">
      <c r="B351" s="102"/>
    </row>
    <row r="352" spans="2:2" ht="12.75" customHeight="1">
      <c r="B352" s="102"/>
    </row>
    <row r="353" spans="2:2" ht="12.75" customHeight="1">
      <c r="B353" s="102"/>
    </row>
    <row r="354" spans="2:2" ht="12.75" customHeight="1">
      <c r="B354" s="102"/>
    </row>
    <row r="355" spans="2:2" ht="12.75" customHeight="1">
      <c r="B355" s="102"/>
    </row>
    <row r="356" spans="2:2" ht="12.75" customHeight="1">
      <c r="B356" s="102"/>
    </row>
    <row r="357" spans="2:2" ht="12.75" customHeight="1">
      <c r="B357" s="102"/>
    </row>
    <row r="358" spans="2:2" ht="12.75" customHeight="1">
      <c r="B358" s="102"/>
    </row>
    <row r="359" spans="2:2" ht="12.75" customHeight="1">
      <c r="B359" s="102"/>
    </row>
    <row r="360" spans="2:2" ht="12.75" customHeight="1">
      <c r="B360" s="102"/>
    </row>
    <row r="361" spans="2:2" ht="12.75" customHeight="1">
      <c r="B361" s="102"/>
    </row>
    <row r="362" spans="2:2" ht="12.75" customHeight="1">
      <c r="B362" s="102"/>
    </row>
    <row r="363" spans="2:2" ht="12.75" customHeight="1">
      <c r="B363" s="102"/>
    </row>
    <row r="364" spans="2:2" ht="12.75" customHeight="1">
      <c r="B364" s="102"/>
    </row>
    <row r="365" spans="2:2" ht="12.75" customHeight="1">
      <c r="B365" s="102"/>
    </row>
    <row r="366" spans="2:2" ht="12.75" customHeight="1">
      <c r="B366" s="102"/>
    </row>
    <row r="367" spans="2:2" ht="12.75" customHeight="1">
      <c r="B367" s="102"/>
    </row>
    <row r="368" spans="2:2" ht="12.75" customHeight="1">
      <c r="B368" s="102"/>
    </row>
    <row r="369" spans="2:2" ht="12.75" customHeight="1">
      <c r="B369" s="102"/>
    </row>
    <row r="370" spans="2:2" ht="12.75" customHeight="1">
      <c r="B370" s="102"/>
    </row>
    <row r="371" spans="2:2" ht="12.75" customHeight="1">
      <c r="B371" s="102"/>
    </row>
    <row r="372" spans="2:2" ht="12.75" customHeight="1">
      <c r="B372" s="102"/>
    </row>
    <row r="373" spans="2:2" ht="12.75" customHeight="1">
      <c r="B373" s="102"/>
    </row>
    <row r="374" spans="2:2" ht="12.75" customHeight="1">
      <c r="B374" s="102"/>
    </row>
    <row r="375" spans="2:2" ht="12.75" customHeight="1">
      <c r="B375" s="102"/>
    </row>
    <row r="376" spans="2:2" ht="12.75" customHeight="1">
      <c r="B376" s="102"/>
    </row>
    <row r="377" spans="2:2" ht="12.75" customHeight="1">
      <c r="B377" s="102"/>
    </row>
    <row r="378" spans="2:2" ht="12.75" customHeight="1">
      <c r="B378" s="102"/>
    </row>
    <row r="379" spans="2:2" ht="12.75" customHeight="1">
      <c r="B379" s="102"/>
    </row>
    <row r="380" spans="2:2" ht="12.75" customHeight="1">
      <c r="B380" s="102"/>
    </row>
    <row r="381" spans="2:2" ht="12.75" customHeight="1">
      <c r="B381" s="102"/>
    </row>
    <row r="382" spans="2:2" ht="12.75" customHeight="1">
      <c r="B382" s="102"/>
    </row>
    <row r="383" spans="2:2" ht="12.75" customHeight="1">
      <c r="B383" s="102"/>
    </row>
    <row r="384" spans="2:2" ht="12.75" customHeight="1">
      <c r="B384" s="102"/>
    </row>
    <row r="385" spans="2:2" ht="12.75" customHeight="1">
      <c r="B385" s="102"/>
    </row>
    <row r="386" spans="2:2" ht="12.75" customHeight="1">
      <c r="B386" s="102"/>
    </row>
    <row r="387" spans="2:2" ht="12.75" customHeight="1">
      <c r="B387" s="102"/>
    </row>
    <row r="388" spans="2:2" ht="12.75" customHeight="1">
      <c r="B388" s="102"/>
    </row>
    <row r="389" spans="2:2" ht="12.75" customHeight="1">
      <c r="B389" s="102"/>
    </row>
    <row r="390" spans="2:2" ht="12.75" customHeight="1">
      <c r="B390" s="102"/>
    </row>
    <row r="391" spans="2:2" ht="12.75" customHeight="1">
      <c r="B391" s="102"/>
    </row>
    <row r="392" spans="2:2" ht="12.75" customHeight="1">
      <c r="B392" s="102"/>
    </row>
    <row r="393" spans="2:2" ht="12.75" customHeight="1">
      <c r="B393" s="102"/>
    </row>
    <row r="394" spans="2:2" ht="12.75" customHeight="1">
      <c r="B394" s="102"/>
    </row>
    <row r="395" spans="2:2" ht="12.75" customHeight="1">
      <c r="B395" s="102"/>
    </row>
    <row r="396" spans="2:2" ht="12.75" customHeight="1">
      <c r="B396" s="102"/>
    </row>
    <row r="397" spans="2:2" ht="12.75" customHeight="1">
      <c r="B397" s="102"/>
    </row>
    <row r="398" spans="2:2" ht="12.75" customHeight="1">
      <c r="B398" s="102"/>
    </row>
    <row r="399" spans="2:2" ht="12.75" customHeight="1">
      <c r="B399" s="102"/>
    </row>
    <row r="400" spans="2:2" ht="12.75" customHeight="1">
      <c r="B400" s="102"/>
    </row>
    <row r="401" spans="2:2" ht="12.75" customHeight="1">
      <c r="B401" s="102"/>
    </row>
    <row r="402" spans="2:2" ht="12.75" customHeight="1">
      <c r="B402" s="102"/>
    </row>
    <row r="403" spans="2:2" ht="12.75" customHeight="1">
      <c r="B403" s="102"/>
    </row>
    <row r="404" spans="2:2" ht="12.75" customHeight="1">
      <c r="B404" s="102"/>
    </row>
    <row r="405" spans="2:2" ht="12.75" customHeight="1">
      <c r="B405" s="102"/>
    </row>
    <row r="406" spans="2:2" ht="12.75" customHeight="1">
      <c r="B406" s="102"/>
    </row>
    <row r="407" spans="2:2" ht="12.75" customHeight="1">
      <c r="B407" s="102"/>
    </row>
    <row r="408" spans="2:2" ht="12.75" customHeight="1">
      <c r="B408" s="102"/>
    </row>
    <row r="409" spans="2:2" ht="12.75" customHeight="1">
      <c r="B409" s="102"/>
    </row>
    <row r="410" spans="2:2" ht="12.75" customHeight="1">
      <c r="B410" s="102"/>
    </row>
    <row r="411" spans="2:2" ht="12.75" customHeight="1">
      <c r="B411" s="102"/>
    </row>
    <row r="412" spans="2:2" ht="12.75" customHeight="1">
      <c r="B412" s="102"/>
    </row>
    <row r="413" spans="2:2" ht="12.75" customHeight="1">
      <c r="B413" s="102"/>
    </row>
    <row r="414" spans="2:2" ht="12.75" customHeight="1">
      <c r="B414" s="102"/>
    </row>
    <row r="415" spans="2:2" ht="12.75" customHeight="1">
      <c r="B415" s="102"/>
    </row>
    <row r="416" spans="2:2" ht="12.75" customHeight="1">
      <c r="B416" s="102"/>
    </row>
    <row r="417" spans="2:2" ht="12.75" customHeight="1">
      <c r="B417" s="102"/>
    </row>
    <row r="418" spans="2:2" ht="12.75" customHeight="1">
      <c r="B418" s="102"/>
    </row>
    <row r="419" spans="2:2" ht="12.75" customHeight="1">
      <c r="B419" s="102"/>
    </row>
    <row r="420" spans="2:2" ht="12.75" customHeight="1">
      <c r="B420" s="102"/>
    </row>
    <row r="421" spans="2:2" ht="12.75" customHeight="1">
      <c r="B421" s="102"/>
    </row>
    <row r="422" spans="2:2" ht="12.75" customHeight="1">
      <c r="B422" s="102"/>
    </row>
    <row r="423" spans="2:2" ht="12.75" customHeight="1">
      <c r="B423" s="102"/>
    </row>
    <row r="424" spans="2:2" ht="12.75" customHeight="1">
      <c r="B424" s="102"/>
    </row>
    <row r="425" spans="2:2" ht="12.75" customHeight="1">
      <c r="B425" s="102"/>
    </row>
    <row r="426" spans="2:2" ht="12.75" customHeight="1">
      <c r="B426" s="102"/>
    </row>
    <row r="427" spans="2:2" ht="12.75" customHeight="1">
      <c r="B427" s="102"/>
    </row>
    <row r="428" spans="2:2" ht="12.75" customHeight="1">
      <c r="B428" s="102"/>
    </row>
    <row r="429" spans="2:2" ht="12.75" customHeight="1">
      <c r="B429" s="102"/>
    </row>
    <row r="430" spans="2:2" ht="12.75" customHeight="1">
      <c r="B430" s="102"/>
    </row>
    <row r="431" spans="2:2" ht="12.75" customHeight="1">
      <c r="B431" s="102"/>
    </row>
    <row r="432" spans="2:2" ht="12.75" customHeight="1">
      <c r="B432" s="102"/>
    </row>
    <row r="433" spans="2:2" ht="12.75" customHeight="1">
      <c r="B433" s="102"/>
    </row>
    <row r="434" spans="2:2" ht="12.75" customHeight="1">
      <c r="B434" s="102"/>
    </row>
    <row r="435" spans="2:2" ht="12.75" customHeight="1">
      <c r="B435" s="102"/>
    </row>
    <row r="436" spans="2:2" ht="12.75" customHeight="1">
      <c r="B436" s="102"/>
    </row>
    <row r="437" spans="2:2" ht="12.75" customHeight="1">
      <c r="B437" s="102"/>
    </row>
    <row r="438" spans="2:2" ht="12.75" customHeight="1">
      <c r="B438" s="102"/>
    </row>
    <row r="439" spans="2:2" ht="12.75" customHeight="1">
      <c r="B439" s="102"/>
    </row>
    <row r="440" spans="2:2" ht="12.75" customHeight="1">
      <c r="B440" s="102"/>
    </row>
    <row r="441" spans="2:2" ht="12.75" customHeight="1">
      <c r="B441" s="102"/>
    </row>
    <row r="442" spans="2:2" ht="12.75" customHeight="1">
      <c r="B442" s="102"/>
    </row>
    <row r="443" spans="2:2" ht="12.75" customHeight="1">
      <c r="B443" s="102"/>
    </row>
    <row r="444" spans="2:2" ht="12.75" customHeight="1">
      <c r="B444" s="102"/>
    </row>
    <row r="445" spans="2:2" ht="12.75" customHeight="1">
      <c r="B445" s="102"/>
    </row>
    <row r="446" spans="2:2" ht="12.75" customHeight="1">
      <c r="B446" s="102"/>
    </row>
    <row r="447" spans="2:2" ht="12.75" customHeight="1">
      <c r="B447" s="102"/>
    </row>
    <row r="448" spans="2:2" ht="12.75" customHeight="1">
      <c r="B448" s="102"/>
    </row>
    <row r="449" spans="2:2" ht="12.75" customHeight="1">
      <c r="B449" s="102"/>
    </row>
    <row r="450" spans="2:2" ht="12.75" customHeight="1">
      <c r="B450" s="102"/>
    </row>
    <row r="451" spans="2:2" ht="12.75" customHeight="1">
      <c r="B451" s="102"/>
    </row>
    <row r="452" spans="2:2" ht="12.75" customHeight="1">
      <c r="B452" s="102"/>
    </row>
    <row r="453" spans="2:2" ht="12.75" customHeight="1">
      <c r="B453" s="102"/>
    </row>
    <row r="454" spans="2:2" ht="12.75" customHeight="1">
      <c r="B454" s="102"/>
    </row>
    <row r="455" spans="2:2" ht="12.75" customHeight="1">
      <c r="B455" s="102"/>
    </row>
    <row r="456" spans="2:2" ht="12.75" customHeight="1">
      <c r="B456" s="102"/>
    </row>
    <row r="457" spans="2:2" ht="12.75" customHeight="1">
      <c r="B457" s="102"/>
    </row>
    <row r="458" spans="2:2" ht="12.75" customHeight="1">
      <c r="B458" s="102"/>
    </row>
    <row r="459" spans="2:2" ht="12.75" customHeight="1">
      <c r="B459" s="102"/>
    </row>
    <row r="460" spans="2:2" ht="12.75" customHeight="1">
      <c r="B460" s="102"/>
    </row>
    <row r="461" spans="2:2" ht="12.75" customHeight="1">
      <c r="B461" s="102"/>
    </row>
    <row r="462" spans="2:2" ht="12.75" customHeight="1">
      <c r="B462" s="102"/>
    </row>
    <row r="463" spans="2:2" ht="12.75" customHeight="1">
      <c r="B463" s="102"/>
    </row>
    <row r="464" spans="2:2" ht="12.75" customHeight="1">
      <c r="B464" s="102"/>
    </row>
    <row r="465" spans="2:2" ht="12.75" customHeight="1">
      <c r="B465" s="102"/>
    </row>
    <row r="466" spans="2:2" ht="12.75" customHeight="1">
      <c r="B466" s="102"/>
    </row>
    <row r="467" spans="2:2" ht="12.75" customHeight="1">
      <c r="B467" s="102"/>
    </row>
    <row r="468" spans="2:2" ht="12.75" customHeight="1">
      <c r="B468" s="102"/>
    </row>
    <row r="469" spans="2:2" ht="12.75" customHeight="1">
      <c r="B469" s="102"/>
    </row>
    <row r="470" spans="2:2" ht="12.75" customHeight="1">
      <c r="B470" s="102"/>
    </row>
    <row r="471" spans="2:2" ht="12.75" customHeight="1">
      <c r="B471" s="102"/>
    </row>
    <row r="472" spans="2:2" ht="12.75" customHeight="1">
      <c r="B472" s="102"/>
    </row>
    <row r="473" spans="2:2" ht="12.75" customHeight="1">
      <c r="B473" s="102"/>
    </row>
    <row r="474" spans="2:2" ht="12.75" customHeight="1">
      <c r="B474" s="102"/>
    </row>
    <row r="475" spans="2:2" ht="12.75" customHeight="1">
      <c r="B475" s="102"/>
    </row>
    <row r="476" spans="2:2" ht="12.75" customHeight="1">
      <c r="B476" s="102"/>
    </row>
    <row r="477" spans="2:2" ht="12.75" customHeight="1">
      <c r="B477" s="102"/>
    </row>
    <row r="478" spans="2:2" ht="12.75" customHeight="1">
      <c r="B478" s="102"/>
    </row>
    <row r="479" spans="2:2" ht="12.75" customHeight="1">
      <c r="B479" s="102"/>
    </row>
    <row r="480" spans="2:2" ht="12.75" customHeight="1">
      <c r="B480" s="102"/>
    </row>
    <row r="481" spans="2:2" ht="12.75" customHeight="1">
      <c r="B481" s="102"/>
    </row>
    <row r="482" spans="2:2" ht="12.75" customHeight="1">
      <c r="B482" s="102"/>
    </row>
    <row r="483" spans="2:2" ht="12.75" customHeight="1">
      <c r="B483" s="102"/>
    </row>
    <row r="484" spans="2:2" ht="12.75" customHeight="1">
      <c r="B484" s="102"/>
    </row>
    <row r="485" spans="2:2" ht="12.75" customHeight="1">
      <c r="B485" s="102"/>
    </row>
    <row r="486" spans="2:2" ht="12.75" customHeight="1">
      <c r="B486" s="102"/>
    </row>
    <row r="487" spans="2:2" ht="12.75" customHeight="1">
      <c r="B487" s="102"/>
    </row>
    <row r="488" spans="2:2" ht="12.75" customHeight="1">
      <c r="B488" s="102"/>
    </row>
    <row r="489" spans="2:2" ht="12.75" customHeight="1">
      <c r="B489" s="102"/>
    </row>
    <row r="490" spans="2:2" ht="12.75" customHeight="1">
      <c r="B490" s="102"/>
    </row>
    <row r="491" spans="2:2" ht="12.75" customHeight="1">
      <c r="B491" s="102"/>
    </row>
    <row r="492" spans="2:2" ht="12.75" customHeight="1">
      <c r="B492" s="102"/>
    </row>
    <row r="493" spans="2:2" ht="12.75" customHeight="1">
      <c r="B493" s="102"/>
    </row>
    <row r="494" spans="2:2" ht="12.75" customHeight="1">
      <c r="B494" s="102"/>
    </row>
    <row r="495" spans="2:2" ht="12.75" customHeight="1">
      <c r="B495" s="102"/>
    </row>
    <row r="496" spans="2:2" ht="12.75" customHeight="1">
      <c r="B496" s="102"/>
    </row>
    <row r="497" spans="2:2" ht="12.75" customHeight="1">
      <c r="B497" s="102"/>
    </row>
    <row r="498" spans="2:2" ht="12.75" customHeight="1">
      <c r="B498" s="102"/>
    </row>
    <row r="499" spans="2:2" ht="12.75" customHeight="1">
      <c r="B499" s="102"/>
    </row>
    <row r="500" spans="2:2" ht="12.75" customHeight="1">
      <c r="B500" s="102"/>
    </row>
    <row r="501" spans="2:2" ht="12.75" customHeight="1">
      <c r="B501" s="102"/>
    </row>
    <row r="502" spans="2:2" ht="12.75" customHeight="1">
      <c r="B502" s="102"/>
    </row>
    <row r="503" spans="2:2" ht="12.75" customHeight="1">
      <c r="B503" s="102"/>
    </row>
    <row r="504" spans="2:2" ht="12.75" customHeight="1">
      <c r="B504" s="102"/>
    </row>
    <row r="505" spans="2:2" ht="12.75" customHeight="1">
      <c r="B505" s="102"/>
    </row>
    <row r="506" spans="2:2" ht="12.75" customHeight="1">
      <c r="B506" s="102"/>
    </row>
    <row r="507" spans="2:2" ht="12.75" customHeight="1">
      <c r="B507" s="102"/>
    </row>
    <row r="508" spans="2:2" ht="12.75" customHeight="1">
      <c r="B508" s="102"/>
    </row>
    <row r="509" spans="2:2" ht="12.75" customHeight="1">
      <c r="B509" s="102"/>
    </row>
    <row r="510" spans="2:2" ht="12.75" customHeight="1">
      <c r="B510" s="102"/>
    </row>
    <row r="511" spans="2:2" ht="12.75" customHeight="1">
      <c r="B511" s="102"/>
    </row>
    <row r="512" spans="2:2" ht="12.75" customHeight="1">
      <c r="B512" s="102"/>
    </row>
    <row r="513" spans="2:2" ht="12.75" customHeight="1">
      <c r="B513" s="102"/>
    </row>
    <row r="514" spans="2:2" ht="12.75" customHeight="1">
      <c r="B514" s="102"/>
    </row>
    <row r="515" spans="2:2" ht="12.75" customHeight="1">
      <c r="B515" s="102"/>
    </row>
    <row r="516" spans="2:2" ht="12.75" customHeight="1">
      <c r="B516" s="102"/>
    </row>
    <row r="517" spans="2:2" ht="12.75" customHeight="1">
      <c r="B517" s="102"/>
    </row>
    <row r="518" spans="2:2" ht="12.75" customHeight="1">
      <c r="B518" s="102"/>
    </row>
    <row r="519" spans="2:2" ht="12.75" customHeight="1">
      <c r="B519" s="102"/>
    </row>
    <row r="520" spans="2:2" ht="12.75" customHeight="1">
      <c r="B520" s="102"/>
    </row>
    <row r="521" spans="2:2" ht="12.75" customHeight="1">
      <c r="B521" s="102"/>
    </row>
    <row r="522" spans="2:2" ht="12.75" customHeight="1">
      <c r="B522" s="102"/>
    </row>
    <row r="523" spans="2:2" ht="12.75" customHeight="1">
      <c r="B523" s="102"/>
    </row>
    <row r="524" spans="2:2" ht="12.75" customHeight="1">
      <c r="B524" s="102"/>
    </row>
    <row r="525" spans="2:2" ht="12.75" customHeight="1">
      <c r="B525" s="102"/>
    </row>
    <row r="526" spans="2:2" ht="12.75" customHeight="1">
      <c r="B526" s="102"/>
    </row>
    <row r="527" spans="2:2" ht="12.75" customHeight="1">
      <c r="B527" s="102"/>
    </row>
    <row r="528" spans="2:2" ht="12.75" customHeight="1">
      <c r="B528" s="102"/>
    </row>
    <row r="529" spans="2:2" ht="12.75" customHeight="1">
      <c r="B529" s="102"/>
    </row>
    <row r="530" spans="2:2" ht="12.75" customHeight="1">
      <c r="B530" s="102"/>
    </row>
    <row r="531" spans="2:2" ht="12.75" customHeight="1">
      <c r="B531" s="102"/>
    </row>
    <row r="532" spans="2:2" ht="12.75" customHeight="1">
      <c r="B532" s="102"/>
    </row>
    <row r="533" spans="2:2" ht="12.75" customHeight="1">
      <c r="B533" s="102"/>
    </row>
    <row r="534" spans="2:2" ht="12.75" customHeight="1">
      <c r="B534" s="102"/>
    </row>
    <row r="535" spans="2:2" ht="12.75" customHeight="1">
      <c r="B535" s="102"/>
    </row>
    <row r="536" spans="2:2" ht="12.75" customHeight="1">
      <c r="B536" s="102"/>
    </row>
    <row r="537" spans="2:2" ht="12.75" customHeight="1">
      <c r="B537" s="102"/>
    </row>
    <row r="538" spans="2:2" ht="12.75" customHeight="1">
      <c r="B538" s="102"/>
    </row>
    <row r="539" spans="2:2" ht="12.75" customHeight="1">
      <c r="B539" s="102"/>
    </row>
    <row r="540" spans="2:2" ht="12.75" customHeight="1">
      <c r="B540" s="102"/>
    </row>
    <row r="541" spans="2:2" ht="12.75" customHeight="1">
      <c r="B541" s="102"/>
    </row>
    <row r="542" spans="2:2" ht="12.75" customHeight="1">
      <c r="B542" s="102"/>
    </row>
    <row r="543" spans="2:2" ht="12.75" customHeight="1">
      <c r="B543" s="102"/>
    </row>
    <row r="544" spans="2:2" ht="12.75" customHeight="1">
      <c r="B544" s="102"/>
    </row>
    <row r="545" spans="2:2" ht="12.75" customHeight="1">
      <c r="B545" s="102"/>
    </row>
    <row r="546" spans="2:2" ht="12.75" customHeight="1">
      <c r="B546" s="102"/>
    </row>
    <row r="547" spans="2:2" ht="12.75" customHeight="1">
      <c r="B547" s="102"/>
    </row>
    <row r="548" spans="2:2" ht="12.75" customHeight="1">
      <c r="B548" s="102"/>
    </row>
    <row r="549" spans="2:2" ht="12.75" customHeight="1">
      <c r="B549" s="102"/>
    </row>
    <row r="550" spans="2:2" ht="12.75" customHeight="1">
      <c r="B550" s="102"/>
    </row>
    <row r="551" spans="2:2" ht="12.75" customHeight="1">
      <c r="B551" s="102"/>
    </row>
    <row r="552" spans="2:2" ht="12.75" customHeight="1">
      <c r="B552" s="102"/>
    </row>
    <row r="553" spans="2:2" ht="12.75" customHeight="1">
      <c r="B553" s="102"/>
    </row>
    <row r="554" spans="2:2" ht="12.75" customHeight="1">
      <c r="B554" s="102"/>
    </row>
    <row r="555" spans="2:2" ht="12.75" customHeight="1">
      <c r="B555" s="102"/>
    </row>
    <row r="556" spans="2:2" ht="12.75" customHeight="1">
      <c r="B556" s="102"/>
    </row>
    <row r="557" spans="2:2" ht="12.75" customHeight="1">
      <c r="B557" s="102"/>
    </row>
    <row r="558" spans="2:2" ht="12.75" customHeight="1">
      <c r="B558" s="102"/>
    </row>
    <row r="559" spans="2:2" ht="12.75" customHeight="1">
      <c r="B559" s="102"/>
    </row>
    <row r="560" spans="2:2" ht="12.75" customHeight="1">
      <c r="B560" s="102"/>
    </row>
    <row r="561" spans="2:2" ht="12.75" customHeight="1">
      <c r="B561" s="102"/>
    </row>
    <row r="562" spans="2:2" ht="12.75" customHeight="1">
      <c r="B562" s="102"/>
    </row>
    <row r="563" spans="2:2" ht="12.75" customHeight="1">
      <c r="B563" s="102"/>
    </row>
    <row r="564" spans="2:2" ht="12.75" customHeight="1">
      <c r="B564" s="102"/>
    </row>
    <row r="565" spans="2:2" ht="12.75" customHeight="1">
      <c r="B565" s="102"/>
    </row>
    <row r="566" spans="2:2" ht="12.75" customHeight="1">
      <c r="B566" s="102"/>
    </row>
    <row r="567" spans="2:2" ht="12.75" customHeight="1">
      <c r="B567" s="102"/>
    </row>
    <row r="568" spans="2:2" ht="12.75" customHeight="1">
      <c r="B568" s="102"/>
    </row>
    <row r="569" spans="2:2" ht="12.75" customHeight="1">
      <c r="B569" s="102"/>
    </row>
    <row r="570" spans="2:2" ht="12.75" customHeight="1">
      <c r="B570" s="102"/>
    </row>
    <row r="571" spans="2:2" ht="12.75" customHeight="1">
      <c r="B571" s="102"/>
    </row>
    <row r="572" spans="2:2" ht="12.75" customHeight="1">
      <c r="B572" s="102"/>
    </row>
    <row r="573" spans="2:2" ht="12.75" customHeight="1">
      <c r="B573" s="102"/>
    </row>
    <row r="574" spans="2:2" ht="12.75" customHeight="1">
      <c r="B574" s="102"/>
    </row>
    <row r="575" spans="2:2" ht="12.75" customHeight="1">
      <c r="B575" s="102"/>
    </row>
    <row r="576" spans="2:2" ht="12.75" customHeight="1">
      <c r="B576" s="102"/>
    </row>
    <row r="577" spans="2:2" ht="12.75" customHeight="1">
      <c r="B577" s="102"/>
    </row>
    <row r="578" spans="2:2" ht="12.75" customHeight="1">
      <c r="B578" s="102"/>
    </row>
    <row r="579" spans="2:2" ht="12.75" customHeight="1">
      <c r="B579" s="102"/>
    </row>
    <row r="580" spans="2:2" ht="12.75" customHeight="1">
      <c r="B580" s="102"/>
    </row>
    <row r="581" spans="2:2" ht="12.75" customHeight="1">
      <c r="B581" s="102"/>
    </row>
    <row r="582" spans="2:2" ht="12.75" customHeight="1">
      <c r="B582" s="102"/>
    </row>
    <row r="583" spans="2:2" ht="12.75" customHeight="1">
      <c r="B583" s="102"/>
    </row>
    <row r="584" spans="2:2" ht="12.75" customHeight="1">
      <c r="B584" s="102"/>
    </row>
    <row r="585" spans="2:2" ht="12.75" customHeight="1">
      <c r="B585" s="102"/>
    </row>
    <row r="586" spans="2:2" ht="12.75" customHeight="1">
      <c r="B586" s="102"/>
    </row>
    <row r="587" spans="2:2" ht="12.75" customHeight="1">
      <c r="B587" s="102"/>
    </row>
    <row r="588" spans="2:2" ht="12.75" customHeight="1">
      <c r="B588" s="102"/>
    </row>
    <row r="589" spans="2:2" ht="12.75" customHeight="1">
      <c r="B589" s="102"/>
    </row>
    <row r="590" spans="2:2" ht="12.75" customHeight="1">
      <c r="B590" s="102"/>
    </row>
    <row r="591" spans="2:2" ht="12.75" customHeight="1">
      <c r="B591" s="102"/>
    </row>
    <row r="592" spans="2:2" ht="12.75" customHeight="1">
      <c r="B592" s="102"/>
    </row>
    <row r="593" spans="2:2" ht="12.75" customHeight="1">
      <c r="B593" s="102"/>
    </row>
    <row r="594" spans="2:2" ht="12.75" customHeight="1">
      <c r="B594" s="102"/>
    </row>
    <row r="595" spans="2:2" ht="12.75" customHeight="1">
      <c r="B595" s="102"/>
    </row>
    <row r="596" spans="2:2" ht="12.75" customHeight="1">
      <c r="B596" s="102"/>
    </row>
    <row r="597" spans="2:2" ht="12.75" customHeight="1">
      <c r="B597" s="102"/>
    </row>
    <row r="598" spans="2:2" ht="12.75" customHeight="1">
      <c r="B598" s="102"/>
    </row>
    <row r="599" spans="2:2" ht="12.75" customHeight="1">
      <c r="B599" s="102"/>
    </row>
    <row r="600" spans="2:2" ht="12.75" customHeight="1">
      <c r="B600" s="102"/>
    </row>
    <row r="601" spans="2:2" ht="12.75" customHeight="1">
      <c r="B601" s="102"/>
    </row>
    <row r="602" spans="2:2" ht="12.75" customHeight="1">
      <c r="B602" s="102"/>
    </row>
    <row r="603" spans="2:2" ht="12.75" customHeight="1">
      <c r="B603" s="102"/>
    </row>
    <row r="604" spans="2:2" ht="12.75" customHeight="1">
      <c r="B604" s="102"/>
    </row>
    <row r="605" spans="2:2" ht="12.75" customHeight="1">
      <c r="B605" s="102"/>
    </row>
    <row r="606" spans="2:2" ht="12.75" customHeight="1">
      <c r="B606" s="102"/>
    </row>
    <row r="607" spans="2:2" ht="12.75" customHeight="1">
      <c r="B607" s="102"/>
    </row>
    <row r="608" spans="2:2" ht="12.75" customHeight="1">
      <c r="B608" s="102"/>
    </row>
    <row r="609" spans="2:2" ht="12.75" customHeight="1">
      <c r="B609" s="102"/>
    </row>
    <row r="610" spans="2:2" ht="12.75" customHeight="1">
      <c r="B610" s="102"/>
    </row>
    <row r="611" spans="2:2" ht="12.75" customHeight="1">
      <c r="B611" s="102"/>
    </row>
    <row r="612" spans="2:2" ht="12.75" customHeight="1">
      <c r="B612" s="102"/>
    </row>
    <row r="613" spans="2:2" ht="12.75" customHeight="1">
      <c r="B613" s="102"/>
    </row>
    <row r="614" spans="2:2" ht="12.75" customHeight="1">
      <c r="B614" s="102"/>
    </row>
    <row r="615" spans="2:2" ht="12.75" customHeight="1">
      <c r="B615" s="102"/>
    </row>
    <row r="616" spans="2:2" ht="12.75" customHeight="1">
      <c r="B616" s="102"/>
    </row>
    <row r="617" spans="2:2" ht="12.75" customHeight="1">
      <c r="B617" s="102"/>
    </row>
    <row r="618" spans="2:2" ht="12.75" customHeight="1">
      <c r="B618" s="102"/>
    </row>
    <row r="619" spans="2:2" ht="12.75" customHeight="1">
      <c r="B619" s="102"/>
    </row>
    <row r="620" spans="2:2" ht="12.75" customHeight="1">
      <c r="B620" s="102"/>
    </row>
    <row r="621" spans="2:2" ht="12.75" customHeight="1">
      <c r="B621" s="102"/>
    </row>
    <row r="622" spans="2:2" ht="12.75" customHeight="1">
      <c r="B622" s="102"/>
    </row>
    <row r="623" spans="2:2" ht="12.75" customHeight="1">
      <c r="B623" s="102"/>
    </row>
    <row r="624" spans="2:2" ht="12.75" customHeight="1">
      <c r="B624" s="102"/>
    </row>
    <row r="625" spans="2:2" ht="12.75" customHeight="1">
      <c r="B625" s="102"/>
    </row>
    <row r="626" spans="2:2" ht="12.75" customHeight="1">
      <c r="B626" s="102"/>
    </row>
    <row r="627" spans="2:2" ht="12.75" customHeight="1">
      <c r="B627" s="102"/>
    </row>
    <row r="628" spans="2:2" ht="12.75" customHeight="1">
      <c r="B628" s="102"/>
    </row>
    <row r="629" spans="2:2" ht="12.75" customHeight="1">
      <c r="B629" s="102"/>
    </row>
    <row r="630" spans="2:2" ht="12.75" customHeight="1">
      <c r="B630" s="102"/>
    </row>
    <row r="631" spans="2:2" ht="12.75" customHeight="1">
      <c r="B631" s="102"/>
    </row>
    <row r="632" spans="2:2" ht="12.75" customHeight="1">
      <c r="B632" s="102"/>
    </row>
    <row r="633" spans="2:2" ht="12.75" customHeight="1">
      <c r="B633" s="102"/>
    </row>
    <row r="634" spans="2:2" ht="12.75" customHeight="1">
      <c r="B634" s="102"/>
    </row>
    <row r="635" spans="2:2" ht="12.75" customHeight="1">
      <c r="B635" s="102"/>
    </row>
    <row r="636" spans="2:2" ht="12.75" customHeight="1">
      <c r="B636" s="102"/>
    </row>
    <row r="637" spans="2:2" ht="12.75" customHeight="1">
      <c r="B637" s="102"/>
    </row>
    <row r="638" spans="2:2" ht="12.75" customHeight="1">
      <c r="B638" s="102"/>
    </row>
    <row r="639" spans="2:2" ht="12.75" customHeight="1">
      <c r="B639" s="102"/>
    </row>
    <row r="640" spans="2:2" ht="12.75" customHeight="1">
      <c r="B640" s="102"/>
    </row>
    <row r="641" spans="2:2" ht="12.75" customHeight="1">
      <c r="B641" s="102"/>
    </row>
    <row r="642" spans="2:2" ht="12.75" customHeight="1">
      <c r="B642" s="102"/>
    </row>
    <row r="643" spans="2:2" ht="12.75" customHeight="1">
      <c r="B643" s="102"/>
    </row>
    <row r="644" spans="2:2" ht="12.75" customHeight="1">
      <c r="B644" s="102"/>
    </row>
    <row r="645" spans="2:2" ht="12.75" customHeight="1">
      <c r="B645" s="102"/>
    </row>
    <row r="646" spans="2:2" ht="12.75" customHeight="1">
      <c r="B646" s="102"/>
    </row>
    <row r="647" spans="2:2" ht="12.75" customHeight="1">
      <c r="B647" s="102"/>
    </row>
    <row r="648" spans="2:2" ht="12.75" customHeight="1">
      <c r="B648" s="102"/>
    </row>
    <row r="649" spans="2:2" ht="12.75" customHeight="1">
      <c r="B649" s="102"/>
    </row>
    <row r="650" spans="2:2" ht="12.75" customHeight="1">
      <c r="B650" s="102"/>
    </row>
    <row r="651" spans="2:2" ht="12.75" customHeight="1">
      <c r="B651" s="102"/>
    </row>
    <row r="652" spans="2:2" ht="12.75" customHeight="1">
      <c r="B652" s="102"/>
    </row>
    <row r="653" spans="2:2" ht="12.75" customHeight="1">
      <c r="B653" s="102"/>
    </row>
    <row r="654" spans="2:2" ht="12.75" customHeight="1">
      <c r="B654" s="102"/>
    </row>
    <row r="655" spans="2:2" ht="12.75" customHeight="1">
      <c r="B655" s="102"/>
    </row>
    <row r="656" spans="2:2" ht="12.75" customHeight="1">
      <c r="B656" s="102"/>
    </row>
    <row r="657" spans="2:2" ht="12.75" customHeight="1">
      <c r="B657" s="102"/>
    </row>
    <row r="658" spans="2:2" ht="12.75" customHeight="1">
      <c r="B658" s="102"/>
    </row>
    <row r="659" spans="2:2" ht="12.75" customHeight="1">
      <c r="B659" s="102"/>
    </row>
    <row r="660" spans="2:2" ht="12.75" customHeight="1">
      <c r="B660" s="102"/>
    </row>
    <row r="661" spans="2:2" ht="12.75" customHeight="1">
      <c r="B661" s="102"/>
    </row>
    <row r="662" spans="2:2" ht="12.75" customHeight="1">
      <c r="B662" s="102"/>
    </row>
    <row r="663" spans="2:2" ht="12.75" customHeight="1">
      <c r="B663" s="102"/>
    </row>
    <row r="664" spans="2:2" ht="12.75" customHeight="1">
      <c r="B664" s="102"/>
    </row>
    <row r="665" spans="2:2" ht="12.75" customHeight="1">
      <c r="B665" s="102"/>
    </row>
    <row r="666" spans="2:2" ht="12.75" customHeight="1">
      <c r="B666" s="102"/>
    </row>
    <row r="667" spans="2:2" ht="12.75" customHeight="1">
      <c r="B667" s="102"/>
    </row>
    <row r="668" spans="2:2" ht="12.75" customHeight="1">
      <c r="B668" s="102"/>
    </row>
    <row r="669" spans="2:2" ht="12.75" customHeight="1">
      <c r="B669" s="102"/>
    </row>
    <row r="670" spans="2:2" ht="12.75" customHeight="1">
      <c r="B670" s="102"/>
    </row>
    <row r="671" spans="2:2" ht="12.75" customHeight="1">
      <c r="B671" s="102"/>
    </row>
    <row r="672" spans="2:2" ht="12.75" customHeight="1">
      <c r="B672" s="102"/>
    </row>
    <row r="673" spans="2:2" ht="12.75" customHeight="1">
      <c r="B673" s="102"/>
    </row>
    <row r="674" spans="2:2" ht="12.75" customHeight="1">
      <c r="B674" s="102"/>
    </row>
    <row r="675" spans="2:2" ht="12.75" customHeight="1">
      <c r="B675" s="102"/>
    </row>
    <row r="676" spans="2:2" ht="12.75" customHeight="1">
      <c r="B676" s="102"/>
    </row>
    <row r="677" spans="2:2" ht="12.75" customHeight="1">
      <c r="B677" s="102"/>
    </row>
    <row r="678" spans="2:2" ht="12.75" customHeight="1">
      <c r="B678" s="102"/>
    </row>
    <row r="679" spans="2:2" ht="12.75" customHeight="1">
      <c r="B679" s="102"/>
    </row>
    <row r="680" spans="2:2" ht="12.75" customHeight="1">
      <c r="B680" s="102"/>
    </row>
    <row r="681" spans="2:2" ht="12.75" customHeight="1">
      <c r="B681" s="102"/>
    </row>
    <row r="682" spans="2:2" ht="12.75" customHeight="1">
      <c r="B682" s="102"/>
    </row>
    <row r="683" spans="2:2" ht="12.75" customHeight="1">
      <c r="B683" s="102"/>
    </row>
    <row r="684" spans="2:2" ht="12.75" customHeight="1">
      <c r="B684" s="102"/>
    </row>
    <row r="685" spans="2:2" ht="12.75" customHeight="1">
      <c r="B685" s="102"/>
    </row>
    <row r="686" spans="2:2" ht="12.75" customHeight="1">
      <c r="B686" s="102"/>
    </row>
    <row r="687" spans="2:2" ht="12.75" customHeight="1">
      <c r="B687" s="102"/>
    </row>
    <row r="688" spans="2:2" ht="12.75" customHeight="1">
      <c r="B688" s="102"/>
    </row>
    <row r="689" spans="2:2" ht="12.75" customHeight="1">
      <c r="B689" s="102"/>
    </row>
    <row r="690" spans="2:2" ht="12.75" customHeight="1">
      <c r="B690" s="102"/>
    </row>
    <row r="691" spans="2:2" ht="12.75" customHeight="1">
      <c r="B691" s="102"/>
    </row>
    <row r="692" spans="2:2" ht="12.75" customHeight="1">
      <c r="B692" s="102"/>
    </row>
    <row r="693" spans="2:2" ht="12.75" customHeight="1">
      <c r="B693" s="102"/>
    </row>
    <row r="694" spans="2:2" ht="12.75" customHeight="1">
      <c r="B694" s="102"/>
    </row>
    <row r="695" spans="2:2" ht="12.75" customHeight="1">
      <c r="B695" s="102"/>
    </row>
    <row r="696" spans="2:2" ht="12.75" customHeight="1">
      <c r="B696" s="102"/>
    </row>
    <row r="697" spans="2:2" ht="12.75" customHeight="1">
      <c r="B697" s="102"/>
    </row>
    <row r="698" spans="2:2" ht="12.75" customHeight="1">
      <c r="B698" s="102"/>
    </row>
    <row r="699" spans="2:2" ht="12.75" customHeight="1">
      <c r="B699" s="102"/>
    </row>
    <row r="700" spans="2:2" ht="12.75" customHeight="1">
      <c r="B700" s="102"/>
    </row>
    <row r="701" spans="2:2" ht="12.75" customHeight="1">
      <c r="B701" s="102"/>
    </row>
    <row r="702" spans="2:2" ht="12.75" customHeight="1">
      <c r="B702" s="102"/>
    </row>
    <row r="703" spans="2:2" ht="12.75" customHeight="1">
      <c r="B703" s="102"/>
    </row>
    <row r="704" spans="2:2" ht="12.75" customHeight="1">
      <c r="B704" s="102"/>
    </row>
    <row r="705" spans="2:2" ht="12.75" customHeight="1">
      <c r="B705" s="102"/>
    </row>
    <row r="706" spans="2:2" ht="12.75" customHeight="1">
      <c r="B706" s="102"/>
    </row>
    <row r="707" spans="2:2" ht="12.75" customHeight="1">
      <c r="B707" s="102"/>
    </row>
    <row r="708" spans="2:2" ht="12.75" customHeight="1">
      <c r="B708" s="102"/>
    </row>
    <row r="709" spans="2:2" ht="12.75" customHeight="1">
      <c r="B709" s="102"/>
    </row>
    <row r="710" spans="2:2" ht="12.75" customHeight="1">
      <c r="B710" s="102"/>
    </row>
    <row r="711" spans="2:2" ht="12.75" customHeight="1">
      <c r="B711" s="102"/>
    </row>
    <row r="712" spans="2:2" ht="12.75" customHeight="1">
      <c r="B712" s="102"/>
    </row>
    <row r="713" spans="2:2" ht="12.75" customHeight="1">
      <c r="B713" s="102"/>
    </row>
    <row r="714" spans="2:2" ht="12.75" customHeight="1">
      <c r="B714" s="102"/>
    </row>
    <row r="715" spans="2:2" ht="12.75" customHeight="1">
      <c r="B715" s="102"/>
    </row>
    <row r="716" spans="2:2" ht="12.75" customHeight="1">
      <c r="B716" s="102"/>
    </row>
    <row r="717" spans="2:2" ht="12.75" customHeight="1">
      <c r="B717" s="102"/>
    </row>
    <row r="718" spans="2:2" ht="12.75" customHeight="1">
      <c r="B718" s="102"/>
    </row>
    <row r="719" spans="2:2" ht="12.75" customHeight="1">
      <c r="B719" s="102"/>
    </row>
    <row r="720" spans="2:2" ht="12.75" customHeight="1">
      <c r="B720" s="102"/>
    </row>
    <row r="721" spans="2:2" ht="12.75" customHeight="1">
      <c r="B721" s="102"/>
    </row>
    <row r="722" spans="2:2" ht="12.75" customHeight="1">
      <c r="B722" s="102"/>
    </row>
    <row r="723" spans="2:2" ht="12.75" customHeight="1">
      <c r="B723" s="102"/>
    </row>
    <row r="724" spans="2:2" ht="12.75" customHeight="1">
      <c r="B724" s="102"/>
    </row>
    <row r="725" spans="2:2" ht="12.75" customHeight="1">
      <c r="B725" s="102"/>
    </row>
    <row r="726" spans="2:2" ht="12.75" customHeight="1">
      <c r="B726" s="102"/>
    </row>
    <row r="727" spans="2:2" ht="12.75" customHeight="1">
      <c r="B727" s="102"/>
    </row>
    <row r="728" spans="2:2" ht="12.75" customHeight="1">
      <c r="B728" s="102"/>
    </row>
    <row r="729" spans="2:2" ht="12.75" customHeight="1">
      <c r="B729" s="102"/>
    </row>
    <row r="730" spans="2:2" ht="12.75" customHeight="1">
      <c r="B730" s="102"/>
    </row>
    <row r="731" spans="2:2" ht="12.75" customHeight="1">
      <c r="B731" s="102"/>
    </row>
    <row r="732" spans="2:2" ht="12.75" customHeight="1">
      <c r="B732" s="102"/>
    </row>
    <row r="733" spans="2:2" ht="12.75" customHeight="1">
      <c r="B733" s="102"/>
    </row>
    <row r="734" spans="2:2" ht="12.75" customHeight="1">
      <c r="B734" s="102"/>
    </row>
    <row r="735" spans="2:2" ht="12.75" customHeight="1">
      <c r="B735" s="102"/>
    </row>
    <row r="736" spans="2:2" ht="12.75" customHeight="1">
      <c r="B736" s="102"/>
    </row>
    <row r="737" spans="2:2" ht="12.75" customHeight="1">
      <c r="B737" s="102"/>
    </row>
    <row r="738" spans="2:2" ht="12.75" customHeight="1">
      <c r="B738" s="102"/>
    </row>
    <row r="739" spans="2:2" ht="12.75" customHeight="1">
      <c r="B739" s="102"/>
    </row>
    <row r="740" spans="2:2" ht="12.75" customHeight="1">
      <c r="B740" s="102"/>
    </row>
    <row r="741" spans="2:2" ht="12.75" customHeight="1">
      <c r="B741" s="102"/>
    </row>
    <row r="742" spans="2:2" ht="12.75" customHeight="1">
      <c r="B742" s="102"/>
    </row>
    <row r="743" spans="2:2" ht="12.75" customHeight="1">
      <c r="B743" s="102"/>
    </row>
    <row r="744" spans="2:2" ht="12.75" customHeight="1">
      <c r="B744" s="102"/>
    </row>
    <row r="745" spans="2:2" ht="12.75" customHeight="1">
      <c r="B745" s="102"/>
    </row>
    <row r="746" spans="2:2" ht="12.75" customHeight="1">
      <c r="B746" s="102"/>
    </row>
    <row r="747" spans="2:2" ht="12.75" customHeight="1">
      <c r="B747" s="102"/>
    </row>
    <row r="748" spans="2:2" ht="12.75" customHeight="1">
      <c r="B748" s="102"/>
    </row>
    <row r="749" spans="2:2" ht="12.75" customHeight="1">
      <c r="B749" s="102"/>
    </row>
    <row r="750" spans="2:2" ht="12.75" customHeight="1">
      <c r="B750" s="102"/>
    </row>
    <row r="751" spans="2:2" ht="12.75" customHeight="1">
      <c r="B751" s="102"/>
    </row>
    <row r="752" spans="2:2" ht="12.75" customHeight="1">
      <c r="B752" s="102"/>
    </row>
    <row r="753" spans="2:2" ht="12.75" customHeight="1">
      <c r="B753" s="102"/>
    </row>
    <row r="754" spans="2:2" ht="12.75" customHeight="1">
      <c r="B754" s="102"/>
    </row>
    <row r="755" spans="2:2" ht="12.75" customHeight="1">
      <c r="B755" s="102"/>
    </row>
    <row r="756" spans="2:2" ht="12.75" customHeight="1">
      <c r="B756" s="102"/>
    </row>
    <row r="757" spans="2:2" ht="12.75" customHeight="1">
      <c r="B757" s="102"/>
    </row>
    <row r="758" spans="2:2" ht="12.75" customHeight="1">
      <c r="B758" s="102"/>
    </row>
    <row r="759" spans="2:2" ht="12.75" customHeight="1">
      <c r="B759" s="102"/>
    </row>
    <row r="760" spans="2:2" ht="12.75" customHeight="1">
      <c r="B760" s="102"/>
    </row>
    <row r="761" spans="2:2" ht="12.75" customHeight="1">
      <c r="B761" s="102"/>
    </row>
    <row r="762" spans="2:2" ht="12.75" customHeight="1">
      <c r="B762" s="102"/>
    </row>
    <row r="763" spans="2:2" ht="12.75" customHeight="1">
      <c r="B763" s="102"/>
    </row>
    <row r="764" spans="2:2" ht="12.75" customHeight="1">
      <c r="B764" s="102"/>
    </row>
    <row r="765" spans="2:2" ht="12.75" customHeight="1">
      <c r="B765" s="102"/>
    </row>
    <row r="766" spans="2:2" ht="12.75" customHeight="1">
      <c r="B766" s="102"/>
    </row>
    <row r="767" spans="2:2" ht="12.75" customHeight="1">
      <c r="B767" s="102"/>
    </row>
    <row r="768" spans="2:2" ht="12.75" customHeight="1">
      <c r="B768" s="102"/>
    </row>
    <row r="769" spans="2:2" ht="12.75" customHeight="1">
      <c r="B769" s="102"/>
    </row>
    <row r="770" spans="2:2" ht="12.75" customHeight="1">
      <c r="B770" s="102"/>
    </row>
    <row r="771" spans="2:2" ht="12.75" customHeight="1">
      <c r="B771" s="102"/>
    </row>
    <row r="772" spans="2:2" ht="12.75" customHeight="1">
      <c r="B772" s="102"/>
    </row>
    <row r="773" spans="2:2" ht="12.75" customHeight="1">
      <c r="B773" s="102"/>
    </row>
    <row r="774" spans="2:2" ht="12.75" customHeight="1">
      <c r="B774" s="102"/>
    </row>
    <row r="775" spans="2:2" ht="12.75" customHeight="1">
      <c r="B775" s="102"/>
    </row>
    <row r="776" spans="2:2" ht="12.75" customHeight="1">
      <c r="B776" s="102"/>
    </row>
    <row r="777" spans="2:2" ht="12.75" customHeight="1">
      <c r="B777" s="102"/>
    </row>
    <row r="778" spans="2:2" ht="12.75" customHeight="1">
      <c r="B778" s="102"/>
    </row>
    <row r="779" spans="2:2" ht="12.75" customHeight="1">
      <c r="B779" s="102"/>
    </row>
    <row r="780" spans="2:2" ht="12.75" customHeight="1">
      <c r="B780" s="102"/>
    </row>
    <row r="781" spans="2:2" ht="12.75" customHeight="1">
      <c r="B781" s="102"/>
    </row>
    <row r="782" spans="2:2" ht="12.75" customHeight="1">
      <c r="B782" s="102"/>
    </row>
    <row r="783" spans="2:2" ht="12.75" customHeight="1">
      <c r="B783" s="102"/>
    </row>
    <row r="784" spans="2:2" ht="12.75" customHeight="1">
      <c r="B784" s="102"/>
    </row>
    <row r="785" spans="2:2" ht="12.75" customHeight="1">
      <c r="B785" s="102"/>
    </row>
    <row r="786" spans="2:2" ht="12.75" customHeight="1">
      <c r="B786" s="102"/>
    </row>
    <row r="787" spans="2:2" ht="12.75" customHeight="1">
      <c r="B787" s="102"/>
    </row>
    <row r="788" spans="2:2" ht="12.75" customHeight="1">
      <c r="B788" s="102"/>
    </row>
    <row r="789" spans="2:2" ht="12.75" customHeight="1">
      <c r="B789" s="102"/>
    </row>
    <row r="790" spans="2:2" ht="12.75" customHeight="1">
      <c r="B790" s="102"/>
    </row>
    <row r="791" spans="2:2" ht="12.75" customHeight="1">
      <c r="B791" s="102"/>
    </row>
    <row r="792" spans="2:2" ht="12.75" customHeight="1">
      <c r="B792" s="102"/>
    </row>
    <row r="793" spans="2:2" ht="12.75" customHeight="1">
      <c r="B793" s="102"/>
    </row>
    <row r="794" spans="2:2" ht="12.75" customHeight="1">
      <c r="B794" s="102"/>
    </row>
    <row r="795" spans="2:2" ht="12.75" customHeight="1">
      <c r="B795" s="102"/>
    </row>
    <row r="796" spans="2:2" ht="12.75" customHeight="1">
      <c r="B796" s="102"/>
    </row>
    <row r="797" spans="2:2" ht="12.75" customHeight="1">
      <c r="B797" s="102"/>
    </row>
    <row r="798" spans="2:2" ht="12.75" customHeight="1">
      <c r="B798" s="102"/>
    </row>
    <row r="799" spans="2:2" ht="12.75" customHeight="1">
      <c r="B799" s="102"/>
    </row>
    <row r="800" spans="2:2" ht="12.75" customHeight="1">
      <c r="B800" s="102"/>
    </row>
    <row r="801" spans="2:2" ht="12.75" customHeight="1">
      <c r="B801" s="102"/>
    </row>
    <row r="802" spans="2:2" ht="12.75" customHeight="1">
      <c r="B802" s="102"/>
    </row>
    <row r="803" spans="2:2" ht="12.75" customHeight="1">
      <c r="B803" s="102"/>
    </row>
    <row r="804" spans="2:2" ht="12.75" customHeight="1">
      <c r="B804" s="102"/>
    </row>
    <row r="805" spans="2:2" ht="12.75" customHeight="1">
      <c r="B805" s="102"/>
    </row>
    <row r="806" spans="2:2" ht="12.75" customHeight="1">
      <c r="B806" s="102"/>
    </row>
    <row r="807" spans="2:2" ht="12.75" customHeight="1">
      <c r="B807" s="102"/>
    </row>
    <row r="808" spans="2:2" ht="12.75" customHeight="1">
      <c r="B808" s="102"/>
    </row>
    <row r="809" spans="2:2" ht="12.75" customHeight="1">
      <c r="B809" s="102"/>
    </row>
    <row r="810" spans="2:2" ht="12.75" customHeight="1">
      <c r="B810" s="102"/>
    </row>
    <row r="811" spans="2:2" ht="12.75" customHeight="1">
      <c r="B811" s="102"/>
    </row>
    <row r="812" spans="2:2" ht="12.75" customHeight="1">
      <c r="B812" s="102"/>
    </row>
    <row r="813" spans="2:2" ht="12.75" customHeight="1">
      <c r="B813" s="102"/>
    </row>
    <row r="814" spans="2:2" ht="12.75" customHeight="1">
      <c r="B814" s="102"/>
    </row>
    <row r="815" spans="2:2" ht="12.75" customHeight="1">
      <c r="B815" s="102"/>
    </row>
    <row r="816" spans="2:2" ht="12.75" customHeight="1">
      <c r="B816" s="102"/>
    </row>
    <row r="817" spans="2:2" ht="12.75" customHeight="1">
      <c r="B817" s="102"/>
    </row>
    <row r="818" spans="2:2" ht="12.75" customHeight="1">
      <c r="B818" s="102"/>
    </row>
    <row r="819" spans="2:2" ht="12.75" customHeight="1">
      <c r="B819" s="102"/>
    </row>
    <row r="820" spans="2:2" ht="12.75" customHeight="1">
      <c r="B820" s="102"/>
    </row>
    <row r="821" spans="2:2" ht="12.75" customHeight="1">
      <c r="B821" s="102"/>
    </row>
    <row r="822" spans="2:2" ht="12.75" customHeight="1">
      <c r="B822" s="102"/>
    </row>
    <row r="823" spans="2:2" ht="12.75" customHeight="1">
      <c r="B823" s="102"/>
    </row>
    <row r="824" spans="2:2" ht="12.75" customHeight="1">
      <c r="B824" s="102"/>
    </row>
    <row r="825" spans="2:2" ht="12.75" customHeight="1">
      <c r="B825" s="102"/>
    </row>
    <row r="826" spans="2:2" ht="12.75" customHeight="1">
      <c r="B826" s="102"/>
    </row>
    <row r="827" spans="2:2" ht="12.75" customHeight="1">
      <c r="B827" s="102"/>
    </row>
    <row r="828" spans="2:2" ht="12.75" customHeight="1">
      <c r="B828" s="102"/>
    </row>
    <row r="829" spans="2:2" ht="12.75" customHeight="1">
      <c r="B829" s="102"/>
    </row>
    <row r="830" spans="2:2" ht="12.75" customHeight="1">
      <c r="B830" s="102"/>
    </row>
    <row r="831" spans="2:2" ht="12.75" customHeight="1">
      <c r="B831" s="102"/>
    </row>
    <row r="832" spans="2:2" ht="12.75" customHeight="1">
      <c r="B832" s="102"/>
    </row>
    <row r="833" spans="2:2" ht="12.75" customHeight="1">
      <c r="B833" s="102"/>
    </row>
    <row r="834" spans="2:2" ht="12.75" customHeight="1">
      <c r="B834" s="102"/>
    </row>
    <row r="835" spans="2:2" ht="12.75" customHeight="1">
      <c r="B835" s="102"/>
    </row>
    <row r="836" spans="2:2" ht="12.75" customHeight="1">
      <c r="B836" s="102"/>
    </row>
    <row r="837" spans="2:2" ht="12.75" customHeight="1">
      <c r="B837" s="102"/>
    </row>
    <row r="838" spans="2:2" ht="12.75" customHeight="1">
      <c r="B838" s="102"/>
    </row>
    <row r="839" spans="2:2" ht="12.75" customHeight="1">
      <c r="B839" s="102"/>
    </row>
    <row r="840" spans="2:2" ht="12.75" customHeight="1">
      <c r="B840" s="102"/>
    </row>
    <row r="841" spans="2:2" ht="12.75" customHeight="1">
      <c r="B841" s="102"/>
    </row>
    <row r="842" spans="2:2" ht="12.75" customHeight="1">
      <c r="B842" s="102"/>
    </row>
    <row r="843" spans="2:2" ht="12.75" customHeight="1">
      <c r="B843" s="102"/>
    </row>
    <row r="844" spans="2:2" ht="12.75" customHeight="1">
      <c r="B844" s="102"/>
    </row>
    <row r="845" spans="2:2" ht="12.75" customHeight="1">
      <c r="B845" s="102"/>
    </row>
    <row r="846" spans="2:2" ht="12.75" customHeight="1">
      <c r="B846" s="102"/>
    </row>
    <row r="847" spans="2:2" ht="12.75" customHeight="1">
      <c r="B847" s="102"/>
    </row>
    <row r="848" spans="2:2" ht="12.75" customHeight="1">
      <c r="B848" s="102"/>
    </row>
    <row r="849" spans="2:2" ht="12.75" customHeight="1">
      <c r="B849" s="102"/>
    </row>
    <row r="850" spans="2:2" ht="12.75" customHeight="1">
      <c r="B850" s="102"/>
    </row>
    <row r="851" spans="2:2" ht="12.75" customHeight="1">
      <c r="B851" s="102"/>
    </row>
    <row r="852" spans="2:2" ht="12.75" customHeight="1">
      <c r="B852" s="102"/>
    </row>
    <row r="853" spans="2:2" ht="12.75" customHeight="1">
      <c r="B853" s="102"/>
    </row>
    <row r="854" spans="2:2" ht="12.75" customHeight="1">
      <c r="B854" s="102"/>
    </row>
    <row r="855" spans="2:2" ht="12.75" customHeight="1">
      <c r="B855" s="102"/>
    </row>
    <row r="856" spans="2:2" ht="12.75" customHeight="1">
      <c r="B856" s="102"/>
    </row>
    <row r="857" spans="2:2" ht="12.75" customHeight="1">
      <c r="B857" s="102"/>
    </row>
    <row r="858" spans="2:2" ht="12.75" customHeight="1">
      <c r="B858" s="102"/>
    </row>
    <row r="859" spans="2:2" ht="12.75" customHeight="1">
      <c r="B859" s="102"/>
    </row>
    <row r="860" spans="2:2" ht="12.75" customHeight="1">
      <c r="B860" s="102"/>
    </row>
    <row r="861" spans="2:2" ht="12.75" customHeight="1">
      <c r="B861" s="102"/>
    </row>
    <row r="862" spans="2:2" ht="12.75" customHeight="1">
      <c r="B862" s="102"/>
    </row>
    <row r="863" spans="2:2" ht="12.75" customHeight="1">
      <c r="B863" s="102"/>
    </row>
    <row r="864" spans="2:2" ht="12.75" customHeight="1">
      <c r="B864" s="102"/>
    </row>
    <row r="865" spans="2:2" ht="12.75" customHeight="1">
      <c r="B865" s="102"/>
    </row>
    <row r="866" spans="2:2" ht="12.75" customHeight="1">
      <c r="B866" s="102"/>
    </row>
    <row r="867" spans="2:2" ht="12.75" customHeight="1">
      <c r="B867" s="102"/>
    </row>
    <row r="868" spans="2:2" ht="12.75" customHeight="1">
      <c r="B868" s="102"/>
    </row>
    <row r="869" spans="2:2" ht="12.75" customHeight="1">
      <c r="B869" s="102"/>
    </row>
    <row r="870" spans="2:2" ht="12.75" customHeight="1">
      <c r="B870" s="102"/>
    </row>
    <row r="871" spans="2:2" ht="12.75" customHeight="1">
      <c r="B871" s="102"/>
    </row>
    <row r="872" spans="2:2" ht="12.75" customHeight="1">
      <c r="B872" s="102"/>
    </row>
    <row r="873" spans="2:2" ht="12.75" customHeight="1">
      <c r="B873" s="102"/>
    </row>
    <row r="874" spans="2:2" ht="12.75" customHeight="1">
      <c r="B874" s="102"/>
    </row>
    <row r="875" spans="2:2" ht="12.75" customHeight="1">
      <c r="B875" s="102"/>
    </row>
    <row r="876" spans="2:2" ht="12.75" customHeight="1">
      <c r="B876" s="102"/>
    </row>
    <row r="877" spans="2:2" ht="12.75" customHeight="1">
      <c r="B877" s="102"/>
    </row>
    <row r="878" spans="2:2" ht="12.75" customHeight="1">
      <c r="B878" s="102"/>
    </row>
    <row r="879" spans="2:2" ht="12.75" customHeight="1">
      <c r="B879" s="102"/>
    </row>
    <row r="880" spans="2:2" ht="12.75" customHeight="1">
      <c r="B880" s="102"/>
    </row>
    <row r="881" spans="2:2" ht="12.75" customHeight="1">
      <c r="B881" s="102"/>
    </row>
    <row r="882" spans="2:2" ht="12.75" customHeight="1">
      <c r="B882" s="102"/>
    </row>
    <row r="883" spans="2:2" ht="12.75" customHeight="1">
      <c r="B883" s="102"/>
    </row>
    <row r="884" spans="2:2" ht="12.75" customHeight="1">
      <c r="B884" s="102"/>
    </row>
    <row r="885" spans="2:2" ht="12.75" customHeight="1">
      <c r="B885" s="102"/>
    </row>
    <row r="886" spans="2:2" ht="12.75" customHeight="1">
      <c r="B886" s="102"/>
    </row>
    <row r="887" spans="2:2" ht="12.75" customHeight="1">
      <c r="B887" s="102"/>
    </row>
    <row r="888" spans="2:2" ht="12.75" customHeight="1">
      <c r="B888" s="102"/>
    </row>
    <row r="889" spans="2:2" ht="12.75" customHeight="1">
      <c r="B889" s="102"/>
    </row>
    <row r="890" spans="2:2" ht="12.75" customHeight="1">
      <c r="B890" s="102"/>
    </row>
    <row r="891" spans="2:2" ht="12.75" customHeight="1">
      <c r="B891" s="102"/>
    </row>
    <row r="892" spans="2:2" ht="12.75" customHeight="1">
      <c r="B892" s="102"/>
    </row>
    <row r="893" spans="2:2" ht="12.75" customHeight="1">
      <c r="B893" s="102"/>
    </row>
    <row r="894" spans="2:2" ht="12.75" customHeight="1">
      <c r="B894" s="102"/>
    </row>
    <row r="895" spans="2:2" ht="12.75" customHeight="1">
      <c r="B895" s="102"/>
    </row>
    <row r="896" spans="2:2" ht="12.75" customHeight="1">
      <c r="B896" s="102"/>
    </row>
    <row r="897" spans="2:2" ht="12.75" customHeight="1">
      <c r="B897" s="102"/>
    </row>
    <row r="898" spans="2:2" ht="12.75" customHeight="1">
      <c r="B898" s="102"/>
    </row>
    <row r="899" spans="2:2" ht="12.75" customHeight="1">
      <c r="B899" s="102"/>
    </row>
    <row r="900" spans="2:2" ht="12.75" customHeight="1">
      <c r="B900" s="102"/>
    </row>
    <row r="901" spans="2:2" ht="12.75" customHeight="1">
      <c r="B901" s="102"/>
    </row>
    <row r="902" spans="2:2" ht="12.75" customHeight="1">
      <c r="B902" s="102"/>
    </row>
    <row r="903" spans="2:2" ht="12.75" customHeight="1">
      <c r="B903" s="102"/>
    </row>
    <row r="904" spans="2:2" ht="12.75" customHeight="1">
      <c r="B904" s="102"/>
    </row>
    <row r="905" spans="2:2" ht="12.75" customHeight="1">
      <c r="B905" s="102"/>
    </row>
    <row r="906" spans="2:2" ht="12.75" customHeight="1">
      <c r="B906" s="102"/>
    </row>
    <row r="907" spans="2:2" ht="12.75" customHeight="1">
      <c r="B907" s="102"/>
    </row>
    <row r="908" spans="2:2" ht="12.75" customHeight="1">
      <c r="B908" s="102"/>
    </row>
    <row r="909" spans="2:2" ht="12.75" customHeight="1">
      <c r="B909" s="102"/>
    </row>
    <row r="910" spans="2:2" ht="12.75" customHeight="1">
      <c r="B910" s="102"/>
    </row>
    <row r="911" spans="2:2" ht="12.75" customHeight="1">
      <c r="B911" s="102"/>
    </row>
    <row r="912" spans="2:2" ht="12.75" customHeight="1">
      <c r="B912" s="102"/>
    </row>
    <row r="913" spans="2:2" ht="12.75" customHeight="1">
      <c r="B913" s="102"/>
    </row>
    <row r="914" spans="2:2" ht="12.75" customHeight="1">
      <c r="B914" s="102"/>
    </row>
    <row r="915" spans="2:2" ht="12.75" customHeight="1">
      <c r="B915" s="102"/>
    </row>
    <row r="916" spans="2:2" ht="12.75" customHeight="1">
      <c r="B916" s="102"/>
    </row>
    <row r="917" spans="2:2" ht="12.75" customHeight="1">
      <c r="B917" s="102"/>
    </row>
    <row r="918" spans="2:2" ht="12.75" customHeight="1">
      <c r="B918" s="102"/>
    </row>
    <row r="919" spans="2:2" ht="12.75" customHeight="1">
      <c r="B919" s="102"/>
    </row>
    <row r="920" spans="2:2" ht="12.75" customHeight="1">
      <c r="B920" s="102"/>
    </row>
    <row r="921" spans="2:2" ht="12.75" customHeight="1">
      <c r="B921" s="102"/>
    </row>
    <row r="922" spans="2:2" ht="12.75" customHeight="1">
      <c r="B922" s="102"/>
    </row>
    <row r="923" spans="2:2" ht="12.75" customHeight="1">
      <c r="B923" s="102"/>
    </row>
    <row r="924" spans="2:2" ht="12.75" customHeight="1">
      <c r="B924" s="102"/>
    </row>
    <row r="925" spans="2:2" ht="12.75" customHeight="1">
      <c r="B925" s="102"/>
    </row>
    <row r="926" spans="2:2" ht="12.75" customHeight="1">
      <c r="B926" s="102"/>
    </row>
    <row r="927" spans="2:2" ht="12.75" customHeight="1">
      <c r="B927" s="102"/>
    </row>
    <row r="928" spans="2:2" ht="12.75" customHeight="1">
      <c r="B928" s="102"/>
    </row>
    <row r="929" spans="2:2" ht="12.75" customHeight="1">
      <c r="B929" s="102"/>
    </row>
    <row r="930" spans="2:2" ht="12.75" customHeight="1">
      <c r="B930" s="102"/>
    </row>
    <row r="931" spans="2:2" ht="12.75" customHeight="1">
      <c r="B931" s="102"/>
    </row>
    <row r="932" spans="2:2" ht="12.75" customHeight="1">
      <c r="B932" s="102"/>
    </row>
    <row r="933" spans="2:2" ht="12.75" customHeight="1">
      <c r="B933" s="102"/>
    </row>
    <row r="934" spans="2:2" ht="12.75" customHeight="1">
      <c r="B934" s="102"/>
    </row>
    <row r="935" spans="2:2" ht="12.75" customHeight="1">
      <c r="B935" s="102"/>
    </row>
    <row r="936" spans="2:2" ht="12.75" customHeight="1">
      <c r="B936" s="102"/>
    </row>
    <row r="937" spans="2:2" ht="12.75" customHeight="1">
      <c r="B937" s="102"/>
    </row>
    <row r="938" spans="2:2" ht="12.75" customHeight="1">
      <c r="B938" s="102"/>
    </row>
    <row r="939" spans="2:2" ht="12.75" customHeight="1">
      <c r="B939" s="102"/>
    </row>
    <row r="940" spans="2:2" ht="12.75" customHeight="1">
      <c r="B940" s="102"/>
    </row>
    <row r="941" spans="2:2" ht="12.75" customHeight="1">
      <c r="B941" s="102"/>
    </row>
    <row r="942" spans="2:2" ht="12.75" customHeight="1">
      <c r="B942" s="102"/>
    </row>
    <row r="943" spans="2:2" ht="12.75" customHeight="1">
      <c r="B943" s="102"/>
    </row>
    <row r="944" spans="2:2" ht="12.75" customHeight="1">
      <c r="B944" s="102"/>
    </row>
    <row r="945" spans="2:2" ht="12.75" customHeight="1">
      <c r="B945" s="102"/>
    </row>
    <row r="946" spans="2:2" ht="12.75" customHeight="1">
      <c r="B946" s="102"/>
    </row>
    <row r="947" spans="2:2" ht="12.75" customHeight="1">
      <c r="B947" s="102"/>
    </row>
    <row r="948" spans="2:2" ht="12.75" customHeight="1">
      <c r="B948" s="102"/>
    </row>
    <row r="949" spans="2:2" ht="12.75" customHeight="1">
      <c r="B949" s="102"/>
    </row>
    <row r="950" spans="2:2" ht="12.75" customHeight="1">
      <c r="B950" s="102"/>
    </row>
    <row r="951" spans="2:2" ht="12.75" customHeight="1">
      <c r="B951" s="102"/>
    </row>
    <row r="952" spans="2:2" ht="12.75" customHeight="1">
      <c r="B952" s="102"/>
    </row>
    <row r="953" spans="2:2" ht="12.75" customHeight="1">
      <c r="B953" s="102"/>
    </row>
    <row r="954" spans="2:2" ht="12.75" customHeight="1">
      <c r="B954" s="102"/>
    </row>
    <row r="955" spans="2:2" ht="12.75" customHeight="1">
      <c r="B955" s="102"/>
    </row>
    <row r="956" spans="2:2" ht="12.75" customHeight="1">
      <c r="B956" s="102"/>
    </row>
    <row r="957" spans="2:2" ht="12.75" customHeight="1">
      <c r="B957" s="102"/>
    </row>
    <row r="958" spans="2:2" ht="12.75" customHeight="1">
      <c r="B958" s="102"/>
    </row>
    <row r="959" spans="2:2" ht="12.75" customHeight="1">
      <c r="B959" s="102"/>
    </row>
    <row r="960" spans="2:2" ht="12.75" customHeight="1">
      <c r="B960" s="102"/>
    </row>
    <row r="961" spans="2:2" ht="12.75" customHeight="1">
      <c r="B961" s="102"/>
    </row>
    <row r="962" spans="2:2" ht="12.75" customHeight="1">
      <c r="B962" s="102"/>
    </row>
    <row r="963" spans="2:2" ht="12.75" customHeight="1">
      <c r="B963" s="102"/>
    </row>
    <row r="964" spans="2:2" ht="12.75" customHeight="1">
      <c r="B964" s="102"/>
    </row>
    <row r="965" spans="2:2" ht="12.75" customHeight="1">
      <c r="B965" s="102"/>
    </row>
    <row r="966" spans="2:2" ht="12.75" customHeight="1">
      <c r="B966" s="102"/>
    </row>
    <row r="967" spans="2:2" ht="12.75" customHeight="1">
      <c r="B967" s="102"/>
    </row>
    <row r="968" spans="2:2" ht="12.75" customHeight="1">
      <c r="B968" s="102"/>
    </row>
    <row r="969" spans="2:2" ht="12.75" customHeight="1">
      <c r="B969" s="102"/>
    </row>
    <row r="970" spans="2:2" ht="12.75" customHeight="1">
      <c r="B970" s="102"/>
    </row>
    <row r="971" spans="2:2" ht="12.75" customHeight="1">
      <c r="B971" s="102"/>
    </row>
    <row r="972" spans="2:2" ht="12.75" customHeight="1">
      <c r="B972" s="102"/>
    </row>
    <row r="973" spans="2:2" ht="12.75" customHeight="1">
      <c r="B973" s="102"/>
    </row>
    <row r="974" spans="2:2" ht="12.75" customHeight="1">
      <c r="B974" s="102"/>
    </row>
    <row r="975" spans="2:2" ht="12.75" customHeight="1">
      <c r="B975" s="102"/>
    </row>
    <row r="976" spans="2:2" ht="12.75" customHeight="1">
      <c r="B976" s="102"/>
    </row>
    <row r="977" spans="2:2" ht="12.75" customHeight="1">
      <c r="B977" s="102"/>
    </row>
    <row r="978" spans="2:2" ht="12.75" customHeight="1">
      <c r="B978" s="102"/>
    </row>
    <row r="979" spans="2:2" ht="12.75" customHeight="1">
      <c r="B979" s="102"/>
    </row>
    <row r="980" spans="2:2" ht="12.75" customHeight="1">
      <c r="B980" s="102"/>
    </row>
    <row r="981" spans="2:2" ht="12.75" customHeight="1">
      <c r="B981" s="102"/>
    </row>
    <row r="982" spans="2:2" ht="12.75" customHeight="1">
      <c r="B982" s="102"/>
    </row>
    <row r="983" spans="2:2" ht="12.75" customHeight="1">
      <c r="B983" s="102"/>
    </row>
    <row r="984" spans="2:2" ht="12.75" customHeight="1">
      <c r="B984" s="102"/>
    </row>
    <row r="985" spans="2:2" ht="12.75" customHeight="1">
      <c r="B985" s="102"/>
    </row>
    <row r="986" spans="2:2" ht="12.75" customHeight="1">
      <c r="B986" s="102"/>
    </row>
    <row r="987" spans="2:2" ht="12.75" customHeight="1">
      <c r="B987" s="102"/>
    </row>
    <row r="988" spans="2:2" ht="12.75" customHeight="1">
      <c r="B988" s="102"/>
    </row>
    <row r="989" spans="2:2" ht="12.75" customHeight="1">
      <c r="B989" s="102"/>
    </row>
    <row r="990" spans="2:2" ht="12.75" customHeight="1">
      <c r="B990" s="102"/>
    </row>
    <row r="991" spans="2:2" ht="12.75" customHeight="1">
      <c r="B991" s="102"/>
    </row>
    <row r="992" spans="2:2" ht="12.75" customHeight="1">
      <c r="B992" s="102"/>
    </row>
    <row r="993" spans="2:2" ht="12.75" customHeight="1">
      <c r="B993" s="102"/>
    </row>
    <row r="994" spans="2:2" ht="12.75" customHeight="1">
      <c r="B994" s="102"/>
    </row>
    <row r="995" spans="2:2" ht="12.75" customHeight="1">
      <c r="B995" s="102"/>
    </row>
    <row r="996" spans="2:2" ht="12.75" customHeight="1">
      <c r="B996" s="102"/>
    </row>
    <row r="997" spans="2:2" ht="12.75" customHeight="1">
      <c r="B997" s="102"/>
    </row>
    <row r="998" spans="2:2" ht="12.75" customHeight="1">
      <c r="B998" s="102"/>
    </row>
    <row r="999" spans="2:2" ht="12.75" customHeight="1">
      <c r="B999" s="102"/>
    </row>
    <row r="1000" spans="2:2" ht="12.75" customHeight="1">
      <c r="B1000" s="102"/>
    </row>
  </sheetData>
  <pageMargins left="0.7" right="0.7" top="0.78740157499999996" bottom="0.78740157499999996" header="0" footer="0"/>
  <pageSetup orientation="landscape"/>
  <legacyDrawing r:id="rId1"/>
</worksheet>
</file>

<file path=docMetadata/LabelInfo.xml><?xml version="1.0" encoding="utf-8"?>
<clbl:labelList xmlns:clbl="http://schemas.microsoft.com/office/2020/mipLabelMetadata">
  <clbl:label id="{7e073080-9abf-4fb3-a803-bb788e08f79b}" enabled="1" method="Standard" siteId="{44952894-42a6-49ac-abc8-afde1953f13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</vt:lpstr>
      <vt:lpstr>Mai</vt:lpstr>
      <vt:lpstr>Jun</vt:lpstr>
      <vt:lpstr>Jul</vt:lpstr>
      <vt:lpstr>Aug</vt:lpstr>
      <vt:lpstr>Sep</vt:lpstr>
      <vt:lpstr>Okt</vt:lpstr>
      <vt:lpstr>Nov</vt:lpstr>
      <vt:lpstr>Dez</vt:lpstr>
      <vt:lpstr>Summen</vt:lpstr>
      <vt:lpstr>Feiertage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Hofmann</dc:creator>
  <cp:lastModifiedBy>Marco Czekalla</cp:lastModifiedBy>
  <dcterms:created xsi:type="dcterms:W3CDTF">1998-12-28T21:00:27Z</dcterms:created>
  <dcterms:modified xsi:type="dcterms:W3CDTF">2026-08-11T11:51:32Z</dcterms:modified>
</cp:coreProperties>
</file>