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metadata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info\Downloads\"/>
    </mc:Choice>
  </mc:AlternateContent>
  <xr:revisionPtr revIDLastSave="0" documentId="8_{9FFF2E73-96E0-41EB-BB07-AF13123C887E}" xr6:coauthVersionLast="47" xr6:coauthVersionMax="47" xr10:uidLastSave="{00000000-0000-0000-0000-000000000000}"/>
  <bookViews>
    <workbookView xWindow="-120" yWindow="-120" windowWidth="29040" windowHeight="15720" firstSheet="7" activeTab="8" xr2:uid="{00000000-000D-0000-FFFF-FFFF00000000}"/>
  </bookViews>
  <sheets>
    <sheet name="Jan" sheetId="1" r:id="rId1"/>
    <sheet name="Feb" sheetId="2" r:id="rId2"/>
    <sheet name="Mar" sheetId="3" r:id="rId3"/>
    <sheet name="Apr" sheetId="4" r:id="rId4"/>
    <sheet name="Mai" sheetId="5" r:id="rId5"/>
    <sheet name="Jun" sheetId="6" r:id="rId6"/>
    <sheet name="Jul" sheetId="7" r:id="rId7"/>
    <sheet name="Aug" sheetId="8" r:id="rId8"/>
    <sheet name="Sep" sheetId="9" r:id="rId9"/>
    <sheet name="Okt" sheetId="10" r:id="rId10"/>
    <sheet name="Nov" sheetId="11" r:id="rId11"/>
    <sheet name="Dez" sheetId="12" r:id="rId12"/>
    <sheet name="Summen" sheetId="13" r:id="rId13"/>
    <sheet name="Feiertage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nkGUrC6uSK168lfZJhe3+kPnG5JTQ7H8RHzwACiiEq8="/>
    </ext>
  </extLst>
</workbook>
</file>

<file path=xl/calcChain.xml><?xml version="1.0" encoding="utf-8"?>
<calcChain xmlns="http://schemas.openxmlformats.org/spreadsheetml/2006/main">
  <c r="B16" i="13" l="1"/>
  <c r="U2" i="1"/>
  <c r="H21" i="14" l="1"/>
  <c r="B18" i="13"/>
  <c r="E2" i="12" s="1"/>
  <c r="C10" i="13"/>
  <c r="B9" i="13"/>
  <c r="C9" i="13" s="1"/>
  <c r="W35" i="12"/>
  <c r="C59" i="13" s="1"/>
  <c r="V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AG34" i="12"/>
  <c r="X34" i="12"/>
  <c r="S34" i="12"/>
  <c r="AG33" i="12"/>
  <c r="X33" i="12"/>
  <c r="S33" i="12"/>
  <c r="AG32" i="12"/>
  <c r="X32" i="12"/>
  <c r="S32" i="12"/>
  <c r="AG31" i="12"/>
  <c r="X31" i="12"/>
  <c r="S31" i="12"/>
  <c r="AG30" i="12"/>
  <c r="X30" i="12"/>
  <c r="S30" i="12"/>
  <c r="AG29" i="12"/>
  <c r="X29" i="12"/>
  <c r="S29" i="12"/>
  <c r="AG28" i="12"/>
  <c r="X28" i="12"/>
  <c r="S28" i="12"/>
  <c r="AG27" i="12"/>
  <c r="X27" i="12"/>
  <c r="S27" i="12"/>
  <c r="AG26" i="12"/>
  <c r="X26" i="12"/>
  <c r="S26" i="12"/>
  <c r="AG25" i="12"/>
  <c r="X25" i="12"/>
  <c r="S25" i="12"/>
  <c r="AG24" i="12"/>
  <c r="X24" i="12"/>
  <c r="S24" i="12"/>
  <c r="AG23" i="12"/>
  <c r="X23" i="12"/>
  <c r="S23" i="12"/>
  <c r="AG22" i="12"/>
  <c r="X22" i="12"/>
  <c r="S22" i="12"/>
  <c r="AG21" i="12"/>
  <c r="X21" i="12"/>
  <c r="S21" i="12"/>
  <c r="AG20" i="12"/>
  <c r="X20" i="12"/>
  <c r="S20" i="12"/>
  <c r="AG19" i="12"/>
  <c r="AH19" i="12" s="1"/>
  <c r="X19" i="12"/>
  <c r="S19" i="12"/>
  <c r="AG18" i="12"/>
  <c r="X18" i="12"/>
  <c r="S18" i="12"/>
  <c r="AG17" i="12"/>
  <c r="AH17" i="12" s="1"/>
  <c r="X17" i="12"/>
  <c r="S17" i="12"/>
  <c r="AG16" i="12"/>
  <c r="X16" i="12"/>
  <c r="S16" i="12"/>
  <c r="AG15" i="12"/>
  <c r="AH15" i="12" s="1"/>
  <c r="X15" i="12"/>
  <c r="S15" i="12"/>
  <c r="AG14" i="12"/>
  <c r="X14" i="12"/>
  <c r="S14" i="12"/>
  <c r="AG13" i="12"/>
  <c r="AH13" i="12" s="1"/>
  <c r="X13" i="12"/>
  <c r="S13" i="12"/>
  <c r="AG12" i="12"/>
  <c r="X12" i="12"/>
  <c r="S12" i="12"/>
  <c r="AG11" i="12"/>
  <c r="X11" i="12"/>
  <c r="S11" i="12"/>
  <c r="AG10" i="12"/>
  <c r="X10" i="12"/>
  <c r="S10" i="12"/>
  <c r="AG9" i="12"/>
  <c r="X9" i="12"/>
  <c r="S9" i="12"/>
  <c r="AG8" i="12"/>
  <c r="X8" i="12"/>
  <c r="S8" i="12"/>
  <c r="AG7" i="12"/>
  <c r="AH7" i="12" s="1"/>
  <c r="X7" i="12"/>
  <c r="S7" i="12"/>
  <c r="AG6" i="12"/>
  <c r="X6" i="12"/>
  <c r="S6" i="12"/>
  <c r="AG5" i="12"/>
  <c r="X5" i="12"/>
  <c r="S5" i="12"/>
  <c r="AG4" i="12"/>
  <c r="X4" i="12"/>
  <c r="S4" i="12"/>
  <c r="U1" i="12"/>
  <c r="J1" i="12"/>
  <c r="A1" i="12"/>
  <c r="W34" i="11"/>
  <c r="C58" i="13" s="1"/>
  <c r="V34" i="11"/>
  <c r="B58" i="13" s="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AG33" i="11"/>
  <c r="AI33" i="11" s="1"/>
  <c r="X33" i="11"/>
  <c r="S33" i="11"/>
  <c r="AG32" i="11"/>
  <c r="X32" i="11"/>
  <c r="S32" i="11"/>
  <c r="AG31" i="11"/>
  <c r="X31" i="11"/>
  <c r="S31" i="11"/>
  <c r="AG30" i="11"/>
  <c r="AI30" i="11" s="1"/>
  <c r="X30" i="11"/>
  <c r="S30" i="11"/>
  <c r="AG29" i="11"/>
  <c r="X29" i="11"/>
  <c r="S29" i="11"/>
  <c r="AG28" i="11"/>
  <c r="AI28" i="11" s="1"/>
  <c r="X28" i="11"/>
  <c r="S28" i="11"/>
  <c r="AG27" i="11"/>
  <c r="AI27" i="11" s="1"/>
  <c r="X27" i="11"/>
  <c r="S27" i="11"/>
  <c r="AG26" i="11"/>
  <c r="AI26" i="11" s="1"/>
  <c r="X26" i="11"/>
  <c r="S26" i="11"/>
  <c r="AG25" i="11"/>
  <c r="AI25" i="11" s="1"/>
  <c r="X25" i="11"/>
  <c r="S25" i="11"/>
  <c r="AG24" i="11"/>
  <c r="AI24" i="11" s="1"/>
  <c r="X24" i="11"/>
  <c r="S24" i="11"/>
  <c r="AG23" i="11"/>
  <c r="AI23" i="11" s="1"/>
  <c r="X23" i="11"/>
  <c r="S23" i="11"/>
  <c r="AG22" i="11"/>
  <c r="X22" i="11"/>
  <c r="S22" i="11"/>
  <c r="AG21" i="11"/>
  <c r="AI21" i="11" s="1"/>
  <c r="X21" i="11"/>
  <c r="S21" i="11"/>
  <c r="AG20" i="11"/>
  <c r="AI20" i="11" s="1"/>
  <c r="X20" i="11"/>
  <c r="S20" i="11"/>
  <c r="AG19" i="11"/>
  <c r="X19" i="11"/>
  <c r="S19" i="11"/>
  <c r="AG18" i="11"/>
  <c r="AI18" i="11" s="1"/>
  <c r="X18" i="11"/>
  <c r="S18" i="11"/>
  <c r="AG17" i="11"/>
  <c r="X17" i="11"/>
  <c r="S17" i="11"/>
  <c r="AG16" i="11"/>
  <c r="X16" i="11"/>
  <c r="S16" i="11"/>
  <c r="AG15" i="11"/>
  <c r="AI15" i="11" s="1"/>
  <c r="X15" i="11"/>
  <c r="S15" i="11"/>
  <c r="AG14" i="11"/>
  <c r="AI14" i="11" s="1"/>
  <c r="X14" i="11"/>
  <c r="S14" i="11"/>
  <c r="AG13" i="11"/>
  <c r="AI13" i="11" s="1"/>
  <c r="X13" i="11"/>
  <c r="S13" i="11"/>
  <c r="AG12" i="11"/>
  <c r="AI12" i="11" s="1"/>
  <c r="X12" i="11"/>
  <c r="S12" i="11"/>
  <c r="AG11" i="11"/>
  <c r="X11" i="11"/>
  <c r="S11" i="11"/>
  <c r="AG10" i="11"/>
  <c r="X10" i="11"/>
  <c r="S10" i="11"/>
  <c r="AG9" i="11"/>
  <c r="AH9" i="11" s="1"/>
  <c r="X9" i="11"/>
  <c r="S9" i="11"/>
  <c r="AG8" i="11"/>
  <c r="X8" i="11"/>
  <c r="S8" i="11"/>
  <c r="AG7" i="11"/>
  <c r="X7" i="11"/>
  <c r="S7" i="11"/>
  <c r="AG6" i="11"/>
  <c r="X6" i="11"/>
  <c r="S6" i="11"/>
  <c r="AG5" i="11"/>
  <c r="AH5" i="11" s="1"/>
  <c r="X5" i="11"/>
  <c r="S5" i="11"/>
  <c r="AG4" i="11"/>
  <c r="X4" i="11"/>
  <c r="S4" i="11"/>
  <c r="U1" i="11"/>
  <c r="J1" i="11"/>
  <c r="A1" i="11"/>
  <c r="W35" i="10"/>
  <c r="C57" i="13" s="1"/>
  <c r="V35" i="10"/>
  <c r="X35" i="10" s="1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AG34" i="10"/>
  <c r="AI34" i="10" s="1"/>
  <c r="X34" i="10"/>
  <c r="S34" i="10"/>
  <c r="AG33" i="10"/>
  <c r="AI33" i="10" s="1"/>
  <c r="X33" i="10"/>
  <c r="S33" i="10"/>
  <c r="AG32" i="10"/>
  <c r="AI32" i="10" s="1"/>
  <c r="X32" i="10"/>
  <c r="S32" i="10"/>
  <c r="AG31" i="10"/>
  <c r="X31" i="10"/>
  <c r="S31" i="10"/>
  <c r="AG30" i="10"/>
  <c r="X30" i="10"/>
  <c r="S30" i="10"/>
  <c r="AG29" i="10"/>
  <c r="AI29" i="10" s="1"/>
  <c r="X29" i="10"/>
  <c r="S29" i="10"/>
  <c r="AG28" i="10"/>
  <c r="AI28" i="10" s="1"/>
  <c r="X28" i="10"/>
  <c r="S28" i="10"/>
  <c r="AG27" i="10"/>
  <c r="AH27" i="10" s="1"/>
  <c r="X27" i="10"/>
  <c r="S27" i="10"/>
  <c r="AG26" i="10"/>
  <c r="AI26" i="10" s="1"/>
  <c r="X26" i="10"/>
  <c r="S26" i="10"/>
  <c r="AG25" i="10"/>
  <c r="X25" i="10"/>
  <c r="S25" i="10"/>
  <c r="AG24" i="10"/>
  <c r="X24" i="10"/>
  <c r="S24" i="10"/>
  <c r="AG23" i="10"/>
  <c r="X23" i="10"/>
  <c r="S23" i="10"/>
  <c r="AG22" i="10"/>
  <c r="X22" i="10"/>
  <c r="S22" i="10"/>
  <c r="AG21" i="10"/>
  <c r="X21" i="10"/>
  <c r="S21" i="10"/>
  <c r="AG20" i="10"/>
  <c r="X20" i="10"/>
  <c r="S20" i="10"/>
  <c r="AG19" i="10"/>
  <c r="X19" i="10"/>
  <c r="S19" i="10"/>
  <c r="AG18" i="10"/>
  <c r="X18" i="10"/>
  <c r="S18" i="10"/>
  <c r="AG17" i="10"/>
  <c r="X17" i="10"/>
  <c r="S17" i="10"/>
  <c r="AG16" i="10"/>
  <c r="X16" i="10"/>
  <c r="S16" i="10"/>
  <c r="AG15" i="10"/>
  <c r="X15" i="10"/>
  <c r="S15" i="10"/>
  <c r="AG14" i="10"/>
  <c r="X14" i="10"/>
  <c r="S14" i="10"/>
  <c r="AG13" i="10"/>
  <c r="X13" i="10"/>
  <c r="S13" i="10"/>
  <c r="AG12" i="10"/>
  <c r="X12" i="10"/>
  <c r="S12" i="10"/>
  <c r="AG11" i="10"/>
  <c r="X11" i="10"/>
  <c r="S11" i="10"/>
  <c r="AG10" i="10"/>
  <c r="X10" i="10"/>
  <c r="S10" i="10"/>
  <c r="AG9" i="10"/>
  <c r="X9" i="10"/>
  <c r="S9" i="10"/>
  <c r="AG8" i="10"/>
  <c r="X8" i="10"/>
  <c r="S8" i="10"/>
  <c r="AG7" i="10"/>
  <c r="X7" i="10"/>
  <c r="S7" i="10"/>
  <c r="AG6" i="10"/>
  <c r="X6" i="10"/>
  <c r="S6" i="10"/>
  <c r="AG5" i="10"/>
  <c r="X5" i="10"/>
  <c r="S5" i="10"/>
  <c r="AG4" i="10"/>
  <c r="X4" i="10"/>
  <c r="S4" i="10"/>
  <c r="U1" i="10"/>
  <c r="J1" i="10"/>
  <c r="A1" i="10"/>
  <c r="W34" i="9"/>
  <c r="C56" i="13" s="1"/>
  <c r="V34" i="9"/>
  <c r="B56" i="13" s="1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AG33" i="9"/>
  <c r="X33" i="9"/>
  <c r="S33" i="9"/>
  <c r="AG32" i="9"/>
  <c r="X32" i="9"/>
  <c r="S32" i="9"/>
  <c r="AG31" i="9"/>
  <c r="X31" i="9"/>
  <c r="S31" i="9"/>
  <c r="AG30" i="9"/>
  <c r="X30" i="9"/>
  <c r="S30" i="9"/>
  <c r="AG29" i="9"/>
  <c r="X29" i="9"/>
  <c r="S29" i="9"/>
  <c r="AG28" i="9"/>
  <c r="AI28" i="9" s="1"/>
  <c r="X28" i="9"/>
  <c r="S28" i="9"/>
  <c r="AG27" i="9"/>
  <c r="AI27" i="9" s="1"/>
  <c r="X27" i="9"/>
  <c r="S27" i="9"/>
  <c r="AG26" i="9"/>
  <c r="X26" i="9"/>
  <c r="S26" i="9"/>
  <c r="AG25" i="9"/>
  <c r="X25" i="9"/>
  <c r="S25" i="9"/>
  <c r="AG24" i="9"/>
  <c r="AI24" i="9" s="1"/>
  <c r="X24" i="9"/>
  <c r="S24" i="9"/>
  <c r="AG23" i="9"/>
  <c r="X23" i="9"/>
  <c r="S23" i="9"/>
  <c r="AG22" i="9"/>
  <c r="X22" i="9"/>
  <c r="S22" i="9"/>
  <c r="AG21" i="9"/>
  <c r="X21" i="9"/>
  <c r="S21" i="9"/>
  <c r="AG20" i="9"/>
  <c r="X20" i="9"/>
  <c r="S20" i="9"/>
  <c r="AG19" i="9"/>
  <c r="AI19" i="9" s="1"/>
  <c r="X19" i="9"/>
  <c r="S19" i="9"/>
  <c r="AG18" i="9"/>
  <c r="X18" i="9"/>
  <c r="S18" i="9"/>
  <c r="AG17" i="9"/>
  <c r="X17" i="9"/>
  <c r="S17" i="9"/>
  <c r="AG16" i="9"/>
  <c r="AI16" i="9" s="1"/>
  <c r="X16" i="9"/>
  <c r="S16" i="9"/>
  <c r="AG15" i="9"/>
  <c r="AI15" i="9" s="1"/>
  <c r="X15" i="9"/>
  <c r="S15" i="9"/>
  <c r="AG14" i="9"/>
  <c r="X14" i="9"/>
  <c r="S14" i="9"/>
  <c r="AG13" i="9"/>
  <c r="X13" i="9"/>
  <c r="S13" i="9"/>
  <c r="AG12" i="9"/>
  <c r="AI12" i="9" s="1"/>
  <c r="X12" i="9"/>
  <c r="S12" i="9"/>
  <c r="AG11" i="9"/>
  <c r="AI11" i="9" s="1"/>
  <c r="X11" i="9"/>
  <c r="S11" i="9"/>
  <c r="AG10" i="9"/>
  <c r="X10" i="9"/>
  <c r="S10" i="9"/>
  <c r="AG9" i="9"/>
  <c r="X9" i="9"/>
  <c r="S9" i="9"/>
  <c r="AG8" i="9"/>
  <c r="AI8" i="9" s="1"/>
  <c r="X8" i="9"/>
  <c r="S8" i="9"/>
  <c r="AG7" i="9"/>
  <c r="AH7" i="9" s="1"/>
  <c r="X7" i="9"/>
  <c r="S7" i="9"/>
  <c r="AG6" i="9"/>
  <c r="X6" i="9"/>
  <c r="S6" i="9"/>
  <c r="AG5" i="9"/>
  <c r="X5" i="9"/>
  <c r="S5" i="9"/>
  <c r="AG4" i="9"/>
  <c r="X4" i="9"/>
  <c r="S4" i="9"/>
  <c r="U1" i="9"/>
  <c r="J1" i="9"/>
  <c r="A1" i="9"/>
  <c r="W35" i="8"/>
  <c r="C55" i="13" s="1"/>
  <c r="V35" i="8"/>
  <c r="B55" i="13" s="1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AG34" i="8"/>
  <c r="X34" i="8"/>
  <c r="S34" i="8"/>
  <c r="AG33" i="8"/>
  <c r="X33" i="8"/>
  <c r="S33" i="8"/>
  <c r="AG32" i="8"/>
  <c r="AI32" i="8" s="1"/>
  <c r="X32" i="8"/>
  <c r="S32" i="8"/>
  <c r="AG31" i="8"/>
  <c r="X31" i="8"/>
  <c r="S31" i="8"/>
  <c r="AG30" i="8"/>
  <c r="AI30" i="8" s="1"/>
  <c r="X30" i="8"/>
  <c r="S30" i="8"/>
  <c r="AG29" i="8"/>
  <c r="X29" i="8"/>
  <c r="S29" i="8"/>
  <c r="AG28" i="8"/>
  <c r="X28" i="8"/>
  <c r="S28" i="8"/>
  <c r="AG27" i="8"/>
  <c r="X27" i="8"/>
  <c r="S27" i="8"/>
  <c r="AG26" i="8"/>
  <c r="X26" i="8"/>
  <c r="S26" i="8"/>
  <c r="AG25" i="8"/>
  <c r="X25" i="8"/>
  <c r="S25" i="8"/>
  <c r="AG24" i="8"/>
  <c r="AI24" i="8" s="1"/>
  <c r="X24" i="8"/>
  <c r="S24" i="8"/>
  <c r="AG23" i="8"/>
  <c r="X23" i="8"/>
  <c r="S23" i="8"/>
  <c r="AG22" i="8"/>
  <c r="AI22" i="8" s="1"/>
  <c r="X22" i="8"/>
  <c r="S22" i="8"/>
  <c r="AG21" i="8"/>
  <c r="X21" i="8"/>
  <c r="S21" i="8"/>
  <c r="AG20" i="8"/>
  <c r="AI20" i="8" s="1"/>
  <c r="X20" i="8"/>
  <c r="S20" i="8"/>
  <c r="AG19" i="8"/>
  <c r="AH19" i="8" s="1"/>
  <c r="X19" i="8"/>
  <c r="S19" i="8"/>
  <c r="AG18" i="8"/>
  <c r="X18" i="8"/>
  <c r="S18" i="8"/>
  <c r="AG17" i="8"/>
  <c r="X17" i="8"/>
  <c r="S17" i="8"/>
  <c r="AG16" i="8"/>
  <c r="AI16" i="8" s="1"/>
  <c r="X16" i="8"/>
  <c r="S16" i="8"/>
  <c r="AG15" i="8"/>
  <c r="X15" i="8"/>
  <c r="S15" i="8"/>
  <c r="AG14" i="8"/>
  <c r="X14" i="8"/>
  <c r="S14" i="8"/>
  <c r="AG13" i="8"/>
  <c r="AH13" i="8" s="1"/>
  <c r="X13" i="8"/>
  <c r="S13" i="8"/>
  <c r="AG12" i="8"/>
  <c r="X12" i="8"/>
  <c r="S12" i="8"/>
  <c r="AG11" i="8"/>
  <c r="X11" i="8"/>
  <c r="S11" i="8"/>
  <c r="AG10" i="8"/>
  <c r="AI10" i="8" s="1"/>
  <c r="X10" i="8"/>
  <c r="S10" i="8"/>
  <c r="AG9" i="8"/>
  <c r="X9" i="8"/>
  <c r="S9" i="8"/>
  <c r="AG8" i="8"/>
  <c r="AI8" i="8" s="1"/>
  <c r="X8" i="8"/>
  <c r="S8" i="8"/>
  <c r="AG7" i="8"/>
  <c r="X7" i="8"/>
  <c r="S7" i="8"/>
  <c r="AG6" i="8"/>
  <c r="AI6" i="8" s="1"/>
  <c r="X6" i="8"/>
  <c r="S6" i="8"/>
  <c r="AG5" i="8"/>
  <c r="X5" i="8"/>
  <c r="S5" i="8"/>
  <c r="AG4" i="8"/>
  <c r="AI4" i="8" s="1"/>
  <c r="X4" i="8"/>
  <c r="S4" i="8"/>
  <c r="U1" i="8"/>
  <c r="J1" i="8"/>
  <c r="A1" i="8"/>
  <c r="W35" i="7"/>
  <c r="C54" i="13" s="1"/>
  <c r="V35" i="7"/>
  <c r="B54" i="13" s="1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AG34" i="7"/>
  <c r="AI34" i="7" s="1"/>
  <c r="X34" i="7"/>
  <c r="S34" i="7"/>
  <c r="AG33" i="7"/>
  <c r="AI33" i="7" s="1"/>
  <c r="X33" i="7"/>
  <c r="S33" i="7"/>
  <c r="AG32" i="7"/>
  <c r="X32" i="7"/>
  <c r="S32" i="7"/>
  <c r="AG31" i="7"/>
  <c r="AH31" i="7" s="1"/>
  <c r="X31" i="7"/>
  <c r="S31" i="7"/>
  <c r="AG30" i="7"/>
  <c r="AI30" i="7" s="1"/>
  <c r="X30" i="7"/>
  <c r="S30" i="7"/>
  <c r="AG29" i="7"/>
  <c r="X29" i="7"/>
  <c r="S29" i="7"/>
  <c r="AG28" i="7"/>
  <c r="AI28" i="7" s="1"/>
  <c r="X28" i="7"/>
  <c r="S28" i="7"/>
  <c r="AG27" i="7"/>
  <c r="AI27" i="7" s="1"/>
  <c r="X27" i="7"/>
  <c r="S27" i="7"/>
  <c r="AG26" i="7"/>
  <c r="AI26" i="7" s="1"/>
  <c r="X26" i="7"/>
  <c r="S26" i="7"/>
  <c r="AG25" i="7"/>
  <c r="AI25" i="7" s="1"/>
  <c r="X25" i="7"/>
  <c r="S25" i="7"/>
  <c r="AG24" i="7"/>
  <c r="AI24" i="7" s="1"/>
  <c r="X24" i="7"/>
  <c r="S24" i="7"/>
  <c r="AG23" i="7"/>
  <c r="AI23" i="7" s="1"/>
  <c r="X23" i="7"/>
  <c r="S23" i="7"/>
  <c r="AG22" i="7"/>
  <c r="AI22" i="7" s="1"/>
  <c r="X22" i="7"/>
  <c r="S22" i="7"/>
  <c r="AG21" i="7"/>
  <c r="AI21" i="7" s="1"/>
  <c r="X21" i="7"/>
  <c r="S21" i="7"/>
  <c r="AG20" i="7"/>
  <c r="AI20" i="7" s="1"/>
  <c r="X20" i="7"/>
  <c r="S20" i="7"/>
  <c r="AG19" i="7"/>
  <c r="AI19" i="7" s="1"/>
  <c r="X19" i="7"/>
  <c r="S19" i="7"/>
  <c r="AG18" i="7"/>
  <c r="AI18" i="7" s="1"/>
  <c r="X18" i="7"/>
  <c r="S18" i="7"/>
  <c r="AG17" i="7"/>
  <c r="AI17" i="7" s="1"/>
  <c r="X17" i="7"/>
  <c r="S17" i="7"/>
  <c r="AG16" i="7"/>
  <c r="X16" i="7"/>
  <c r="S16" i="7"/>
  <c r="AG15" i="7"/>
  <c r="AI15" i="7" s="1"/>
  <c r="X15" i="7"/>
  <c r="S15" i="7"/>
  <c r="AG14" i="7"/>
  <c r="AI14" i="7" s="1"/>
  <c r="X14" i="7"/>
  <c r="S14" i="7"/>
  <c r="AG13" i="7"/>
  <c r="X13" i="7"/>
  <c r="S13" i="7"/>
  <c r="AG12" i="7"/>
  <c r="AI12" i="7" s="1"/>
  <c r="X12" i="7"/>
  <c r="S12" i="7"/>
  <c r="AG11" i="7"/>
  <c r="AI11" i="7" s="1"/>
  <c r="X11" i="7"/>
  <c r="S11" i="7"/>
  <c r="AG10" i="7"/>
  <c r="AI10" i="7" s="1"/>
  <c r="X10" i="7"/>
  <c r="S10" i="7"/>
  <c r="AG9" i="7"/>
  <c r="AH9" i="7" s="1"/>
  <c r="X9" i="7"/>
  <c r="S9" i="7"/>
  <c r="AG8" i="7"/>
  <c r="AI8" i="7" s="1"/>
  <c r="X8" i="7"/>
  <c r="S8" i="7"/>
  <c r="AG7" i="7"/>
  <c r="AI7" i="7" s="1"/>
  <c r="X7" i="7"/>
  <c r="S7" i="7"/>
  <c r="AG6" i="7"/>
  <c r="AI6" i="7" s="1"/>
  <c r="X6" i="7"/>
  <c r="S6" i="7"/>
  <c r="AG5" i="7"/>
  <c r="X5" i="7"/>
  <c r="S5" i="7"/>
  <c r="AG4" i="7"/>
  <c r="AI4" i="7" s="1"/>
  <c r="X4" i="7"/>
  <c r="S4" i="7"/>
  <c r="U1" i="7"/>
  <c r="J1" i="7"/>
  <c r="A1" i="7"/>
  <c r="W34" i="6"/>
  <c r="C53" i="13" s="1"/>
  <c r="V34" i="6"/>
  <c r="B53" i="13" s="1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AG33" i="6"/>
  <c r="AI33" i="6" s="1"/>
  <c r="X33" i="6"/>
  <c r="S33" i="6"/>
  <c r="AG32" i="6"/>
  <c r="AI32" i="6" s="1"/>
  <c r="X32" i="6"/>
  <c r="S32" i="6"/>
  <c r="AG31" i="6"/>
  <c r="AI31" i="6" s="1"/>
  <c r="X31" i="6"/>
  <c r="S31" i="6"/>
  <c r="AG30" i="6"/>
  <c r="AI30" i="6" s="1"/>
  <c r="X30" i="6"/>
  <c r="S30" i="6"/>
  <c r="AG29" i="6"/>
  <c r="X29" i="6"/>
  <c r="S29" i="6"/>
  <c r="AG28" i="6"/>
  <c r="AI28" i="6" s="1"/>
  <c r="X28" i="6"/>
  <c r="S28" i="6"/>
  <c r="AG27" i="6"/>
  <c r="AI27" i="6" s="1"/>
  <c r="X27" i="6"/>
  <c r="S27" i="6"/>
  <c r="AG26" i="6"/>
  <c r="AI26" i="6" s="1"/>
  <c r="X26" i="6"/>
  <c r="S26" i="6"/>
  <c r="AG25" i="6"/>
  <c r="AI25" i="6" s="1"/>
  <c r="X25" i="6"/>
  <c r="S25" i="6"/>
  <c r="AG24" i="6"/>
  <c r="AI24" i="6" s="1"/>
  <c r="X24" i="6"/>
  <c r="S24" i="6"/>
  <c r="AG23" i="6"/>
  <c r="AI23" i="6" s="1"/>
  <c r="X23" i="6"/>
  <c r="S23" i="6"/>
  <c r="AG22" i="6"/>
  <c r="AI22" i="6" s="1"/>
  <c r="X22" i="6"/>
  <c r="S22" i="6"/>
  <c r="AG21" i="6"/>
  <c r="AI21" i="6" s="1"/>
  <c r="X21" i="6"/>
  <c r="S21" i="6"/>
  <c r="AG20" i="6"/>
  <c r="AI20" i="6" s="1"/>
  <c r="X20" i="6"/>
  <c r="S20" i="6"/>
  <c r="AG19" i="6"/>
  <c r="AI19" i="6" s="1"/>
  <c r="X19" i="6"/>
  <c r="S19" i="6"/>
  <c r="AG18" i="6"/>
  <c r="AH18" i="6" s="1"/>
  <c r="X18" i="6"/>
  <c r="S18" i="6"/>
  <c r="AG17" i="6"/>
  <c r="AI17" i="6" s="1"/>
  <c r="X17" i="6"/>
  <c r="S17" i="6"/>
  <c r="AG16" i="6"/>
  <c r="AH16" i="6" s="1"/>
  <c r="X16" i="6"/>
  <c r="S16" i="6"/>
  <c r="AG15" i="6"/>
  <c r="AI15" i="6" s="1"/>
  <c r="X15" i="6"/>
  <c r="S15" i="6"/>
  <c r="AG14" i="6"/>
  <c r="AH14" i="6" s="1"/>
  <c r="X14" i="6"/>
  <c r="S14" i="6"/>
  <c r="AG13" i="6"/>
  <c r="AI13" i="6" s="1"/>
  <c r="X13" i="6"/>
  <c r="S13" i="6"/>
  <c r="AG12" i="6"/>
  <c r="AH12" i="6" s="1"/>
  <c r="X12" i="6"/>
  <c r="S12" i="6"/>
  <c r="AG11" i="6"/>
  <c r="AI11" i="6" s="1"/>
  <c r="X11" i="6"/>
  <c r="S11" i="6"/>
  <c r="AG10" i="6"/>
  <c r="AH10" i="6" s="1"/>
  <c r="X10" i="6"/>
  <c r="S10" i="6"/>
  <c r="AG9" i="6"/>
  <c r="AI9" i="6" s="1"/>
  <c r="X9" i="6"/>
  <c r="S9" i="6"/>
  <c r="AG8" i="6"/>
  <c r="X8" i="6"/>
  <c r="S8" i="6"/>
  <c r="AG7" i="6"/>
  <c r="AI7" i="6" s="1"/>
  <c r="X7" i="6"/>
  <c r="S7" i="6"/>
  <c r="AG6" i="6"/>
  <c r="AH6" i="6" s="1"/>
  <c r="X6" i="6"/>
  <c r="S6" i="6"/>
  <c r="AG5" i="6"/>
  <c r="AI5" i="6" s="1"/>
  <c r="X5" i="6"/>
  <c r="S5" i="6"/>
  <c r="AG4" i="6"/>
  <c r="X4" i="6"/>
  <c r="S4" i="6"/>
  <c r="U1" i="6"/>
  <c r="J1" i="6"/>
  <c r="A1" i="6"/>
  <c r="W35" i="5"/>
  <c r="C52" i="13" s="1"/>
  <c r="V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AG34" i="5"/>
  <c r="AI34" i="5" s="1"/>
  <c r="X34" i="5"/>
  <c r="S34" i="5"/>
  <c r="AG33" i="5"/>
  <c r="AI33" i="5" s="1"/>
  <c r="X33" i="5"/>
  <c r="S33" i="5"/>
  <c r="AG32" i="5"/>
  <c r="AI32" i="5" s="1"/>
  <c r="X32" i="5"/>
  <c r="S32" i="5"/>
  <c r="AG31" i="5"/>
  <c r="X31" i="5"/>
  <c r="S31" i="5"/>
  <c r="AG30" i="5"/>
  <c r="X30" i="5"/>
  <c r="S30" i="5"/>
  <c r="AG29" i="5"/>
  <c r="AI29" i="5" s="1"/>
  <c r="X29" i="5"/>
  <c r="S29" i="5"/>
  <c r="AG28" i="5"/>
  <c r="AI28" i="5" s="1"/>
  <c r="X28" i="5"/>
  <c r="S28" i="5"/>
  <c r="AG27" i="5"/>
  <c r="X27" i="5"/>
  <c r="S27" i="5"/>
  <c r="AG26" i="5"/>
  <c r="AI26" i="5" s="1"/>
  <c r="X26" i="5"/>
  <c r="S26" i="5"/>
  <c r="AG25" i="5"/>
  <c r="AH25" i="5" s="1"/>
  <c r="X25" i="5"/>
  <c r="S25" i="5"/>
  <c r="AG24" i="5"/>
  <c r="AI24" i="5" s="1"/>
  <c r="X24" i="5"/>
  <c r="S24" i="5"/>
  <c r="AG23" i="5"/>
  <c r="AH23" i="5" s="1"/>
  <c r="X23" i="5"/>
  <c r="S23" i="5"/>
  <c r="AG22" i="5"/>
  <c r="AI22" i="5" s="1"/>
  <c r="X22" i="5"/>
  <c r="S22" i="5"/>
  <c r="AG21" i="5"/>
  <c r="AH21" i="5" s="1"/>
  <c r="X21" i="5"/>
  <c r="S21" i="5"/>
  <c r="AG20" i="5"/>
  <c r="AI20" i="5" s="1"/>
  <c r="X20" i="5"/>
  <c r="S20" i="5"/>
  <c r="AG19" i="5"/>
  <c r="X19" i="5"/>
  <c r="S19" i="5"/>
  <c r="AG18" i="5"/>
  <c r="AI18" i="5" s="1"/>
  <c r="X18" i="5"/>
  <c r="S18" i="5"/>
  <c r="AG17" i="5"/>
  <c r="AH17" i="5" s="1"/>
  <c r="X17" i="5"/>
  <c r="S17" i="5"/>
  <c r="AG16" i="5"/>
  <c r="AI16" i="5" s="1"/>
  <c r="X16" i="5"/>
  <c r="S16" i="5"/>
  <c r="AG15" i="5"/>
  <c r="X15" i="5"/>
  <c r="S15" i="5"/>
  <c r="AG14" i="5"/>
  <c r="AI14" i="5" s="1"/>
  <c r="X14" i="5"/>
  <c r="S14" i="5"/>
  <c r="AG13" i="5"/>
  <c r="AH13" i="5" s="1"/>
  <c r="X13" i="5"/>
  <c r="S13" i="5"/>
  <c r="AG12" i="5"/>
  <c r="AI12" i="5" s="1"/>
  <c r="X12" i="5"/>
  <c r="S12" i="5"/>
  <c r="AG11" i="5"/>
  <c r="X11" i="5"/>
  <c r="S11" i="5"/>
  <c r="AG10" i="5"/>
  <c r="AI10" i="5" s="1"/>
  <c r="X10" i="5"/>
  <c r="S10" i="5"/>
  <c r="AG9" i="5"/>
  <c r="AH9" i="5" s="1"/>
  <c r="X9" i="5"/>
  <c r="S9" i="5"/>
  <c r="AG8" i="5"/>
  <c r="AI8" i="5" s="1"/>
  <c r="X8" i="5"/>
  <c r="S8" i="5"/>
  <c r="AG7" i="5"/>
  <c r="AH7" i="5" s="1"/>
  <c r="X7" i="5"/>
  <c r="S7" i="5"/>
  <c r="AG6" i="5"/>
  <c r="AI6" i="5" s="1"/>
  <c r="X6" i="5"/>
  <c r="S6" i="5"/>
  <c r="AG5" i="5"/>
  <c r="AH5" i="5" s="1"/>
  <c r="X5" i="5"/>
  <c r="S5" i="5"/>
  <c r="AG4" i="5"/>
  <c r="AI4" i="5" s="1"/>
  <c r="X4" i="5"/>
  <c r="S4" i="5"/>
  <c r="U1" i="5"/>
  <c r="J1" i="5"/>
  <c r="A1" i="5"/>
  <c r="W34" i="4"/>
  <c r="C51" i="13" s="1"/>
  <c r="V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AG33" i="4"/>
  <c r="AI33" i="4" s="1"/>
  <c r="X33" i="4"/>
  <c r="S33" i="4"/>
  <c r="AG32" i="4"/>
  <c r="AI32" i="4" s="1"/>
  <c r="X32" i="4"/>
  <c r="S32" i="4"/>
  <c r="AG31" i="4"/>
  <c r="X31" i="4"/>
  <c r="S31" i="4"/>
  <c r="AG30" i="4"/>
  <c r="X30" i="4"/>
  <c r="S30" i="4"/>
  <c r="AG29" i="4"/>
  <c r="AI29" i="4" s="1"/>
  <c r="X29" i="4"/>
  <c r="S29" i="4"/>
  <c r="AG28" i="4"/>
  <c r="X28" i="4"/>
  <c r="S28" i="4"/>
  <c r="AG27" i="4"/>
  <c r="X27" i="4"/>
  <c r="S27" i="4"/>
  <c r="AG26" i="4"/>
  <c r="X26" i="4"/>
  <c r="S26" i="4"/>
  <c r="AG25" i="4"/>
  <c r="AI25" i="4" s="1"/>
  <c r="X25" i="4"/>
  <c r="S25" i="4"/>
  <c r="AG24" i="4"/>
  <c r="X24" i="4"/>
  <c r="S24" i="4"/>
  <c r="AG23" i="4"/>
  <c r="AI23" i="4" s="1"/>
  <c r="X23" i="4"/>
  <c r="S23" i="4"/>
  <c r="AG22" i="4"/>
  <c r="X22" i="4"/>
  <c r="S22" i="4"/>
  <c r="AG21" i="4"/>
  <c r="AI21" i="4" s="1"/>
  <c r="X21" i="4"/>
  <c r="S21" i="4"/>
  <c r="AG20" i="4"/>
  <c r="X20" i="4"/>
  <c r="S20" i="4"/>
  <c r="AG19" i="4"/>
  <c r="AI19" i="4" s="1"/>
  <c r="X19" i="4"/>
  <c r="S19" i="4"/>
  <c r="AG18" i="4"/>
  <c r="X18" i="4"/>
  <c r="S18" i="4"/>
  <c r="AG17" i="4"/>
  <c r="AI17" i="4" s="1"/>
  <c r="X17" i="4"/>
  <c r="S17" i="4"/>
  <c r="AG16" i="4"/>
  <c r="X16" i="4"/>
  <c r="S16" i="4"/>
  <c r="AG15" i="4"/>
  <c r="AI15" i="4" s="1"/>
  <c r="X15" i="4"/>
  <c r="S15" i="4"/>
  <c r="AG14" i="4"/>
  <c r="X14" i="4"/>
  <c r="S14" i="4"/>
  <c r="AG13" i="4"/>
  <c r="X13" i="4"/>
  <c r="S13" i="4"/>
  <c r="AG12" i="4"/>
  <c r="AI12" i="4" s="1"/>
  <c r="X12" i="4"/>
  <c r="S12" i="4"/>
  <c r="AG11" i="4"/>
  <c r="AI11" i="4" s="1"/>
  <c r="X11" i="4"/>
  <c r="S11" i="4"/>
  <c r="AG10" i="4"/>
  <c r="X10" i="4"/>
  <c r="S10" i="4"/>
  <c r="AG9" i="4"/>
  <c r="AH9" i="4" s="1"/>
  <c r="X9" i="4"/>
  <c r="S9" i="4"/>
  <c r="AG8" i="4"/>
  <c r="AI8" i="4" s="1"/>
  <c r="X8" i="4"/>
  <c r="S8" i="4"/>
  <c r="AG7" i="4"/>
  <c r="AH7" i="4" s="1"/>
  <c r="X7" i="4"/>
  <c r="S7" i="4"/>
  <c r="AG6" i="4"/>
  <c r="AI6" i="4" s="1"/>
  <c r="X6" i="4"/>
  <c r="S6" i="4"/>
  <c r="AG5" i="4"/>
  <c r="X5" i="4"/>
  <c r="S5" i="4"/>
  <c r="AG4" i="4"/>
  <c r="AI4" i="4" s="1"/>
  <c r="X4" i="4"/>
  <c r="S4" i="4"/>
  <c r="U1" i="4"/>
  <c r="J1" i="4"/>
  <c r="A1" i="4"/>
  <c r="W35" i="3"/>
  <c r="C50" i="13" s="1"/>
  <c r="V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AG34" i="3"/>
  <c r="AI34" i="3" s="1"/>
  <c r="X34" i="3"/>
  <c r="S34" i="3"/>
  <c r="AG33" i="3"/>
  <c r="AI33" i="3" s="1"/>
  <c r="X33" i="3"/>
  <c r="S33" i="3"/>
  <c r="AG32" i="3"/>
  <c r="AI32" i="3" s="1"/>
  <c r="X32" i="3"/>
  <c r="S32" i="3"/>
  <c r="AG31" i="3"/>
  <c r="AI31" i="3" s="1"/>
  <c r="X31" i="3"/>
  <c r="S31" i="3"/>
  <c r="AG30" i="3"/>
  <c r="AI30" i="3" s="1"/>
  <c r="X30" i="3"/>
  <c r="S30" i="3"/>
  <c r="AG29" i="3"/>
  <c r="AI29" i="3" s="1"/>
  <c r="X29" i="3"/>
  <c r="S29" i="3"/>
  <c r="AG28" i="3"/>
  <c r="AI28" i="3" s="1"/>
  <c r="X28" i="3"/>
  <c r="S28" i="3"/>
  <c r="AG27" i="3"/>
  <c r="AI27" i="3" s="1"/>
  <c r="X27" i="3"/>
  <c r="S27" i="3"/>
  <c r="AG26" i="3"/>
  <c r="AI26" i="3" s="1"/>
  <c r="X26" i="3"/>
  <c r="S26" i="3"/>
  <c r="AG25" i="3"/>
  <c r="AI25" i="3" s="1"/>
  <c r="X25" i="3"/>
  <c r="S25" i="3"/>
  <c r="AG24" i="3"/>
  <c r="AI24" i="3" s="1"/>
  <c r="X24" i="3"/>
  <c r="S24" i="3"/>
  <c r="AG23" i="3"/>
  <c r="AI23" i="3" s="1"/>
  <c r="X23" i="3"/>
  <c r="S23" i="3"/>
  <c r="AG22" i="3"/>
  <c r="X22" i="3"/>
  <c r="S22" i="3"/>
  <c r="AG21" i="3"/>
  <c r="AI21" i="3" s="1"/>
  <c r="X21" i="3"/>
  <c r="S21" i="3"/>
  <c r="AG20" i="3"/>
  <c r="AI20" i="3" s="1"/>
  <c r="X20" i="3"/>
  <c r="S20" i="3"/>
  <c r="AG19" i="3"/>
  <c r="AI19" i="3" s="1"/>
  <c r="X19" i="3"/>
  <c r="S19" i="3"/>
  <c r="AG18" i="3"/>
  <c r="X18" i="3"/>
  <c r="S18" i="3"/>
  <c r="AG17" i="3"/>
  <c r="AI17" i="3" s="1"/>
  <c r="X17" i="3"/>
  <c r="S17" i="3"/>
  <c r="AG16" i="3"/>
  <c r="AI16" i="3" s="1"/>
  <c r="X16" i="3"/>
  <c r="S16" i="3"/>
  <c r="AG15" i="3"/>
  <c r="AI15" i="3" s="1"/>
  <c r="X15" i="3"/>
  <c r="S15" i="3"/>
  <c r="AG14" i="3"/>
  <c r="AI14" i="3" s="1"/>
  <c r="X14" i="3"/>
  <c r="S14" i="3"/>
  <c r="AG13" i="3"/>
  <c r="AI13" i="3" s="1"/>
  <c r="X13" i="3"/>
  <c r="S13" i="3"/>
  <c r="AG12" i="3"/>
  <c r="AI12" i="3" s="1"/>
  <c r="X12" i="3"/>
  <c r="S12" i="3"/>
  <c r="AG11" i="3"/>
  <c r="X11" i="3"/>
  <c r="S11" i="3"/>
  <c r="AG10" i="3"/>
  <c r="AI10" i="3" s="1"/>
  <c r="X10" i="3"/>
  <c r="S10" i="3"/>
  <c r="AG9" i="3"/>
  <c r="X9" i="3"/>
  <c r="S9" i="3"/>
  <c r="AG8" i="3"/>
  <c r="AI8" i="3" s="1"/>
  <c r="X8" i="3"/>
  <c r="S8" i="3"/>
  <c r="AG7" i="3"/>
  <c r="X7" i="3"/>
  <c r="S7" i="3"/>
  <c r="AG6" i="3"/>
  <c r="AI6" i="3" s="1"/>
  <c r="X6" i="3"/>
  <c r="S6" i="3"/>
  <c r="AG5" i="3"/>
  <c r="X5" i="3"/>
  <c r="S5" i="3"/>
  <c r="AG4" i="3"/>
  <c r="AI4" i="3" s="1"/>
  <c r="X4" i="3"/>
  <c r="S4" i="3"/>
  <c r="U1" i="3"/>
  <c r="J1" i="3"/>
  <c r="A1" i="3"/>
  <c r="W32" i="2"/>
  <c r="C49" i="13" s="1"/>
  <c r="V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G31" i="2"/>
  <c r="AI31" i="2" s="1"/>
  <c r="X31" i="2"/>
  <c r="S31" i="2"/>
  <c r="AG30" i="2"/>
  <c r="AI30" i="2" s="1"/>
  <c r="X30" i="2"/>
  <c r="S30" i="2"/>
  <c r="AG29" i="2"/>
  <c r="X29" i="2"/>
  <c r="S29" i="2"/>
  <c r="AG28" i="2"/>
  <c r="AI28" i="2" s="1"/>
  <c r="X28" i="2"/>
  <c r="S28" i="2"/>
  <c r="AG27" i="2"/>
  <c r="AI27" i="2" s="1"/>
  <c r="X27" i="2"/>
  <c r="S27" i="2"/>
  <c r="AG26" i="2"/>
  <c r="AI26" i="2" s="1"/>
  <c r="X26" i="2"/>
  <c r="S26" i="2"/>
  <c r="AG25" i="2"/>
  <c r="AI25" i="2" s="1"/>
  <c r="X25" i="2"/>
  <c r="S25" i="2"/>
  <c r="AG24" i="2"/>
  <c r="AI24" i="2" s="1"/>
  <c r="X24" i="2"/>
  <c r="S24" i="2"/>
  <c r="AG23" i="2"/>
  <c r="X23" i="2"/>
  <c r="S23" i="2"/>
  <c r="AG22" i="2"/>
  <c r="AI22" i="2" s="1"/>
  <c r="X22" i="2"/>
  <c r="S22" i="2"/>
  <c r="AG21" i="2"/>
  <c r="AI21" i="2" s="1"/>
  <c r="X21" i="2"/>
  <c r="S21" i="2"/>
  <c r="AG20" i="2"/>
  <c r="AI20" i="2" s="1"/>
  <c r="X20" i="2"/>
  <c r="S20" i="2"/>
  <c r="AG19" i="2"/>
  <c r="AI19" i="2" s="1"/>
  <c r="X19" i="2"/>
  <c r="S19" i="2"/>
  <c r="AG18" i="2"/>
  <c r="AI18" i="2" s="1"/>
  <c r="X18" i="2"/>
  <c r="S18" i="2"/>
  <c r="AG17" i="2"/>
  <c r="AI17" i="2" s="1"/>
  <c r="X17" i="2"/>
  <c r="S17" i="2"/>
  <c r="AG16" i="2"/>
  <c r="AI16" i="2" s="1"/>
  <c r="X16" i="2"/>
  <c r="S16" i="2"/>
  <c r="AG15" i="2"/>
  <c r="AI15" i="2" s="1"/>
  <c r="X15" i="2"/>
  <c r="S15" i="2"/>
  <c r="AG14" i="2"/>
  <c r="AI14" i="2" s="1"/>
  <c r="X14" i="2"/>
  <c r="S14" i="2"/>
  <c r="AG13" i="2"/>
  <c r="X13" i="2"/>
  <c r="S13" i="2"/>
  <c r="AG12" i="2"/>
  <c r="AI12" i="2" s="1"/>
  <c r="X12" i="2"/>
  <c r="S12" i="2"/>
  <c r="AG11" i="2"/>
  <c r="X11" i="2"/>
  <c r="S11" i="2"/>
  <c r="AG10" i="2"/>
  <c r="AI10" i="2" s="1"/>
  <c r="X10" i="2"/>
  <c r="S10" i="2"/>
  <c r="AG9" i="2"/>
  <c r="AI9" i="2" s="1"/>
  <c r="X9" i="2"/>
  <c r="S9" i="2"/>
  <c r="AG8" i="2"/>
  <c r="AI8" i="2" s="1"/>
  <c r="X8" i="2"/>
  <c r="S8" i="2"/>
  <c r="AG7" i="2"/>
  <c r="AI7" i="2" s="1"/>
  <c r="X7" i="2"/>
  <c r="S7" i="2"/>
  <c r="AG6" i="2"/>
  <c r="AI6" i="2" s="1"/>
  <c r="X6" i="2"/>
  <c r="S6" i="2"/>
  <c r="AG5" i="2"/>
  <c r="AI5" i="2" s="1"/>
  <c r="X5" i="2"/>
  <c r="S5" i="2"/>
  <c r="AG4" i="2"/>
  <c r="AI4" i="2" s="1"/>
  <c r="X4" i="2"/>
  <c r="S4" i="2"/>
  <c r="X1" i="2"/>
  <c r="X1" i="3" s="1"/>
  <c r="X1" i="4" s="1"/>
  <c r="X1" i="5" s="1"/>
  <c r="X1" i="6" s="1"/>
  <c r="X1" i="7" s="1"/>
  <c r="X1" i="8" s="1"/>
  <c r="X1" i="9" s="1"/>
  <c r="X1" i="10" s="1"/>
  <c r="X1" i="11" s="1"/>
  <c r="X1" i="12" s="1"/>
  <c r="U1" i="2"/>
  <c r="J1" i="2"/>
  <c r="A1" i="2"/>
  <c r="W35" i="1"/>
  <c r="C48" i="13" s="1"/>
  <c r="V35" i="1"/>
  <c r="B48" i="13" s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AG34" i="1"/>
  <c r="AI34" i="1" s="1"/>
  <c r="X34" i="1"/>
  <c r="S34" i="1"/>
  <c r="AG33" i="1"/>
  <c r="AI33" i="1" s="1"/>
  <c r="X33" i="1"/>
  <c r="S33" i="1"/>
  <c r="AG32" i="1"/>
  <c r="AI32" i="1" s="1"/>
  <c r="X32" i="1"/>
  <c r="S32" i="1"/>
  <c r="AG31" i="1"/>
  <c r="AI31" i="1" s="1"/>
  <c r="X31" i="1"/>
  <c r="S31" i="1"/>
  <c r="AG30" i="1"/>
  <c r="AI30" i="1" s="1"/>
  <c r="X30" i="1"/>
  <c r="S30" i="1"/>
  <c r="AG29" i="1"/>
  <c r="AI29" i="1" s="1"/>
  <c r="X29" i="1"/>
  <c r="S29" i="1"/>
  <c r="AG28" i="1"/>
  <c r="X28" i="1"/>
  <c r="S28" i="1"/>
  <c r="AG27" i="1"/>
  <c r="AI27" i="1" s="1"/>
  <c r="X27" i="1"/>
  <c r="S27" i="1"/>
  <c r="AG26" i="1"/>
  <c r="X26" i="1"/>
  <c r="S26" i="1"/>
  <c r="AG25" i="1"/>
  <c r="AI25" i="1" s="1"/>
  <c r="X25" i="1"/>
  <c r="S25" i="1"/>
  <c r="AG24" i="1"/>
  <c r="X24" i="1"/>
  <c r="S24" i="1"/>
  <c r="AG23" i="1"/>
  <c r="AI23" i="1" s="1"/>
  <c r="X23" i="1"/>
  <c r="S23" i="1"/>
  <c r="AG22" i="1"/>
  <c r="X22" i="1"/>
  <c r="S22" i="1"/>
  <c r="AG21" i="1"/>
  <c r="AI21" i="1" s="1"/>
  <c r="X21" i="1"/>
  <c r="S21" i="1"/>
  <c r="AG20" i="1"/>
  <c r="AI20" i="1" s="1"/>
  <c r="X20" i="1"/>
  <c r="S20" i="1"/>
  <c r="AG19" i="1"/>
  <c r="AI19" i="1" s="1"/>
  <c r="X19" i="1"/>
  <c r="S19" i="1"/>
  <c r="AG18" i="1"/>
  <c r="AI18" i="1" s="1"/>
  <c r="X18" i="1"/>
  <c r="S18" i="1"/>
  <c r="AG17" i="1"/>
  <c r="AH17" i="1" s="1"/>
  <c r="X17" i="1"/>
  <c r="S17" i="1"/>
  <c r="AG16" i="1"/>
  <c r="AI16" i="1" s="1"/>
  <c r="X16" i="1"/>
  <c r="S16" i="1"/>
  <c r="AG15" i="1"/>
  <c r="AH15" i="1" s="1"/>
  <c r="X15" i="1"/>
  <c r="S15" i="1"/>
  <c r="AG14" i="1"/>
  <c r="X14" i="1"/>
  <c r="S14" i="1"/>
  <c r="AG13" i="1"/>
  <c r="AH13" i="1" s="1"/>
  <c r="X13" i="1"/>
  <c r="S13" i="1"/>
  <c r="AG12" i="1"/>
  <c r="AI12" i="1" s="1"/>
  <c r="X12" i="1"/>
  <c r="S12" i="1"/>
  <c r="AG11" i="1"/>
  <c r="AI11" i="1" s="1"/>
  <c r="X11" i="1"/>
  <c r="S11" i="1"/>
  <c r="AG10" i="1"/>
  <c r="AI10" i="1" s="1"/>
  <c r="X10" i="1"/>
  <c r="S10" i="1"/>
  <c r="AG9" i="1"/>
  <c r="AH9" i="1" s="1"/>
  <c r="X9" i="1"/>
  <c r="S9" i="1"/>
  <c r="AG8" i="1"/>
  <c r="AI8" i="1" s="1"/>
  <c r="X8" i="1"/>
  <c r="S8" i="1"/>
  <c r="AG7" i="1"/>
  <c r="AH7" i="1" s="1"/>
  <c r="X7" i="1"/>
  <c r="S7" i="1"/>
  <c r="AG6" i="1"/>
  <c r="AI6" i="1" s="1"/>
  <c r="X6" i="1"/>
  <c r="S6" i="1"/>
  <c r="AG5" i="1"/>
  <c r="AH5" i="1" s="1"/>
  <c r="X5" i="1"/>
  <c r="S5" i="1"/>
  <c r="AG4" i="1"/>
  <c r="AI4" i="1" s="1"/>
  <c r="X4" i="1"/>
  <c r="S4" i="1"/>
  <c r="U1" i="1"/>
  <c r="P1" i="1"/>
  <c r="A4" i="1" s="1"/>
  <c r="A5" i="1" s="1"/>
  <c r="J1" i="1"/>
  <c r="A1" i="1"/>
  <c r="AI14" i="1" l="1"/>
  <c r="AH14" i="1"/>
  <c r="AJ14" i="1" s="1"/>
  <c r="AL14" i="1" s="1"/>
  <c r="AI22" i="1"/>
  <c r="AH22" i="1"/>
  <c r="AJ22" i="1" s="1"/>
  <c r="AL22" i="1" s="1"/>
  <c r="AH24" i="1"/>
  <c r="AI24" i="1"/>
  <c r="AH26" i="1"/>
  <c r="AI26" i="1"/>
  <c r="AI28" i="1"/>
  <c r="AH28" i="1"/>
  <c r="AJ28" i="1" s="1"/>
  <c r="AL28" i="1" s="1"/>
  <c r="AI11" i="2"/>
  <c r="AH11" i="2"/>
  <c r="AJ11" i="2" s="1"/>
  <c r="AL11" i="2" s="1"/>
  <c r="AI13" i="2"/>
  <c r="AH13" i="2"/>
  <c r="AI23" i="2"/>
  <c r="AH23" i="2"/>
  <c r="AI29" i="2"/>
  <c r="AH29" i="2"/>
  <c r="AJ29" i="2" s="1"/>
  <c r="AL29" i="2" s="1"/>
  <c r="AI18" i="3"/>
  <c r="AH18" i="3"/>
  <c r="AJ18" i="3" s="1"/>
  <c r="AL18" i="3" s="1"/>
  <c r="AI22" i="3"/>
  <c r="AH22" i="3"/>
  <c r="AJ22" i="3" s="1"/>
  <c r="AL22" i="3" s="1"/>
  <c r="AI13" i="4"/>
  <c r="AH13" i="4"/>
  <c r="AH11" i="5"/>
  <c r="AI11" i="5"/>
  <c r="AH15" i="5"/>
  <c r="AI15" i="5"/>
  <c r="AH19" i="5"/>
  <c r="AI19" i="5"/>
  <c r="AI27" i="5"/>
  <c r="AH27" i="5"/>
  <c r="AJ27" i="5" s="1"/>
  <c r="AL27" i="5" s="1"/>
  <c r="AI31" i="5"/>
  <c r="AH31" i="5"/>
  <c r="AJ31" i="5" s="1"/>
  <c r="AL31" i="5" s="1"/>
  <c r="AH4" i="6"/>
  <c r="AI4" i="6"/>
  <c r="AH8" i="6"/>
  <c r="AI8" i="6"/>
  <c r="AI29" i="6"/>
  <c r="AH29" i="6"/>
  <c r="AI12" i="8"/>
  <c r="AH12" i="8"/>
  <c r="AH15" i="8"/>
  <c r="AI15" i="8"/>
  <c r="AJ15" i="8" s="1"/>
  <c r="AL15" i="8" s="1"/>
  <c r="AI18" i="8"/>
  <c r="AH18" i="8"/>
  <c r="AI26" i="8"/>
  <c r="AH26" i="8"/>
  <c r="AJ26" i="8" s="1"/>
  <c r="AL26" i="8" s="1"/>
  <c r="AI28" i="8"/>
  <c r="AH28" i="8"/>
  <c r="AI34" i="8"/>
  <c r="AH34" i="8"/>
  <c r="AJ34" i="8" s="1"/>
  <c r="AL34" i="8" s="1"/>
  <c r="AI4" i="9"/>
  <c r="AH4" i="9"/>
  <c r="AH5" i="9"/>
  <c r="AI5" i="9"/>
  <c r="AI6" i="9"/>
  <c r="AH6" i="9"/>
  <c r="AI9" i="9"/>
  <c r="AH9" i="9"/>
  <c r="AI10" i="9"/>
  <c r="AH10" i="9"/>
  <c r="AI13" i="9"/>
  <c r="AH13" i="9"/>
  <c r="AI14" i="9"/>
  <c r="AH14" i="9"/>
  <c r="AI17" i="9"/>
  <c r="AH17" i="9"/>
  <c r="AJ17" i="9" s="1"/>
  <c r="AL17" i="9" s="1"/>
  <c r="AI18" i="9"/>
  <c r="AH18" i="9"/>
  <c r="AI20" i="9"/>
  <c r="AH20" i="9"/>
  <c r="AI21" i="9"/>
  <c r="AH21" i="9"/>
  <c r="AI22" i="9"/>
  <c r="AH22" i="9"/>
  <c r="AI23" i="9"/>
  <c r="AH23" i="9"/>
  <c r="AJ23" i="9" s="1"/>
  <c r="AL23" i="9" s="1"/>
  <c r="AI25" i="9"/>
  <c r="AH25" i="9"/>
  <c r="AI26" i="9"/>
  <c r="AH26" i="9"/>
  <c r="AI29" i="9"/>
  <c r="AH29" i="9"/>
  <c r="AJ29" i="9" s="1"/>
  <c r="AL29" i="9" s="1"/>
  <c r="AI30" i="9"/>
  <c r="AH30" i="9"/>
  <c r="AJ30" i="9" s="1"/>
  <c r="AL30" i="9" s="1"/>
  <c r="AI31" i="9"/>
  <c r="AH31" i="9"/>
  <c r="AJ31" i="9" s="1"/>
  <c r="AL31" i="9" s="1"/>
  <c r="AI32" i="9"/>
  <c r="AH32" i="9"/>
  <c r="AJ32" i="9" s="1"/>
  <c r="AL32" i="9" s="1"/>
  <c r="AI33" i="9"/>
  <c r="AH33" i="9"/>
  <c r="AJ33" i="9" s="1"/>
  <c r="AL33" i="9" s="1"/>
  <c r="AI4" i="10"/>
  <c r="AH4" i="10"/>
  <c r="AJ4" i="10" s="1"/>
  <c r="AI5" i="10"/>
  <c r="AH5" i="10"/>
  <c r="AJ5" i="10" s="1"/>
  <c r="AL5" i="10" s="1"/>
  <c r="AI6" i="10"/>
  <c r="AH6" i="10"/>
  <c r="AI7" i="10"/>
  <c r="AH7" i="10"/>
  <c r="AI8" i="10"/>
  <c r="AH8" i="10"/>
  <c r="AI9" i="10"/>
  <c r="AH9" i="10"/>
  <c r="AI10" i="10"/>
  <c r="AH10" i="10"/>
  <c r="AJ10" i="10" s="1"/>
  <c r="AL10" i="10" s="1"/>
  <c r="AI11" i="10"/>
  <c r="AH11" i="10"/>
  <c r="AI12" i="10"/>
  <c r="AH12" i="10"/>
  <c r="AJ12" i="10" s="1"/>
  <c r="AL12" i="10" s="1"/>
  <c r="AI13" i="10"/>
  <c r="AH13" i="10"/>
  <c r="AI14" i="10"/>
  <c r="AH14" i="10"/>
  <c r="AJ14" i="10" s="1"/>
  <c r="AL14" i="10" s="1"/>
  <c r="AI15" i="10"/>
  <c r="AH15" i="10"/>
  <c r="AI16" i="10"/>
  <c r="AH16" i="10"/>
  <c r="AJ16" i="10" s="1"/>
  <c r="AL16" i="10" s="1"/>
  <c r="AI17" i="10"/>
  <c r="AH17" i="10"/>
  <c r="AI18" i="10"/>
  <c r="AH18" i="10"/>
  <c r="AJ18" i="10" s="1"/>
  <c r="AL18" i="10" s="1"/>
  <c r="AI19" i="10"/>
  <c r="AH19" i="10"/>
  <c r="AJ19" i="10" s="1"/>
  <c r="AL19" i="10" s="1"/>
  <c r="AI21" i="10"/>
  <c r="AH21" i="10"/>
  <c r="AI22" i="10"/>
  <c r="AH22" i="10"/>
  <c r="AJ22" i="10" s="1"/>
  <c r="AL22" i="10" s="1"/>
  <c r="AI23" i="10"/>
  <c r="AH23" i="10"/>
  <c r="AI24" i="10"/>
  <c r="AH24" i="10"/>
  <c r="AJ24" i="10" s="1"/>
  <c r="AL24" i="10" s="1"/>
  <c r="AI25" i="10"/>
  <c r="AH25" i="10"/>
  <c r="AJ25" i="10" s="1"/>
  <c r="AL25" i="10" s="1"/>
  <c r="AI30" i="10"/>
  <c r="AH30" i="10"/>
  <c r="AJ30" i="10" s="1"/>
  <c r="AL30" i="10" s="1"/>
  <c r="AI31" i="10"/>
  <c r="AH31" i="10"/>
  <c r="AI4" i="11"/>
  <c r="AH4" i="11"/>
  <c r="AJ4" i="11" s="1"/>
  <c r="AI6" i="11"/>
  <c r="AH6" i="11"/>
  <c r="AJ6" i="11" s="1"/>
  <c r="AL6" i="11" s="1"/>
  <c r="AH7" i="11"/>
  <c r="AI7" i="11"/>
  <c r="AH11" i="11"/>
  <c r="AI11" i="11"/>
  <c r="AI16" i="11"/>
  <c r="AH16" i="11"/>
  <c r="AH19" i="11"/>
  <c r="AI19" i="11"/>
  <c r="AI22" i="11"/>
  <c r="AH22" i="11"/>
  <c r="AJ22" i="11" s="1"/>
  <c r="AL22" i="11" s="1"/>
  <c r="AH29" i="11"/>
  <c r="AI29" i="11"/>
  <c r="AI32" i="11"/>
  <c r="AH32" i="11"/>
  <c r="AJ32" i="11" s="1"/>
  <c r="AL32" i="11" s="1"/>
  <c r="AH5" i="12"/>
  <c r="AI5" i="12"/>
  <c r="AH11" i="12"/>
  <c r="AI11" i="12"/>
  <c r="AH21" i="12"/>
  <c r="AI21" i="12"/>
  <c r="AH23" i="12"/>
  <c r="AI23" i="12"/>
  <c r="AH25" i="12"/>
  <c r="AI25" i="12"/>
  <c r="AH27" i="12"/>
  <c r="AI27" i="12"/>
  <c r="AH29" i="12"/>
  <c r="AI29" i="12"/>
  <c r="AH31" i="12"/>
  <c r="AI31" i="12"/>
  <c r="AH33" i="12"/>
  <c r="AI33" i="12"/>
  <c r="AH26" i="7"/>
  <c r="AJ26" i="7" s="1"/>
  <c r="AL26" i="7" s="1"/>
  <c r="AH25" i="7"/>
  <c r="AJ25" i="7" s="1"/>
  <c r="AL25" i="7" s="1"/>
  <c r="AH22" i="7"/>
  <c r="AJ22" i="7" s="1"/>
  <c r="AL22" i="7" s="1"/>
  <c r="AH15" i="7"/>
  <c r="AJ15" i="7" s="1"/>
  <c r="AL15" i="7" s="1"/>
  <c r="AH12" i="7"/>
  <c r="AJ12" i="7" s="1"/>
  <c r="AL12" i="7" s="1"/>
  <c r="AH6" i="7"/>
  <c r="AJ6" i="7" s="1"/>
  <c r="AL6" i="7" s="1"/>
  <c r="AH4" i="7"/>
  <c r="AJ4" i="7" s="1"/>
  <c r="AL4" i="7" s="1"/>
  <c r="AJ29" i="6"/>
  <c r="AL29" i="6" s="1"/>
  <c r="AH27" i="6"/>
  <c r="AJ27" i="6" s="1"/>
  <c r="AL27" i="6" s="1"/>
  <c r="AH26" i="6"/>
  <c r="AJ26" i="6" s="1"/>
  <c r="AL26" i="6" s="1"/>
  <c r="AH24" i="6"/>
  <c r="AJ24" i="6" s="1"/>
  <c r="AL24" i="6" s="1"/>
  <c r="AH21" i="6"/>
  <c r="AH19" i="6"/>
  <c r="AJ19" i="6" s="1"/>
  <c r="AL19" i="6" s="1"/>
  <c r="AI6" i="6"/>
  <c r="AJ6" i="6" s="1"/>
  <c r="AL6" i="6" s="1"/>
  <c r="AH19" i="2"/>
  <c r="AJ19" i="2" s="1"/>
  <c r="AL19" i="2" s="1"/>
  <c r="E2" i="2"/>
  <c r="E2" i="6"/>
  <c r="E2" i="3"/>
  <c r="E2" i="8"/>
  <c r="E2" i="4"/>
  <c r="E2" i="5"/>
  <c r="E2" i="9"/>
  <c r="E2" i="11"/>
  <c r="E2" i="1"/>
  <c r="J2" i="1" s="1"/>
  <c r="E2" i="10"/>
  <c r="E2" i="7"/>
  <c r="X35" i="12"/>
  <c r="AJ5" i="12"/>
  <c r="AL5" i="12" s="1"/>
  <c r="AI7" i="12"/>
  <c r="AJ7" i="12" s="1"/>
  <c r="AL7" i="12" s="1"/>
  <c r="AI19" i="12"/>
  <c r="AJ19" i="12" s="1"/>
  <c r="AL19" i="12" s="1"/>
  <c r="AI15" i="12"/>
  <c r="AJ15" i="12" s="1"/>
  <c r="AL15" i="12" s="1"/>
  <c r="AI17" i="12"/>
  <c r="AJ17" i="12" s="1"/>
  <c r="AL17" i="12" s="1"/>
  <c r="AH12" i="11"/>
  <c r="AJ12" i="11" s="1"/>
  <c r="AL12" i="11" s="1"/>
  <c r="AH20" i="11"/>
  <c r="AJ20" i="11" s="1"/>
  <c r="AL20" i="11" s="1"/>
  <c r="AH28" i="11"/>
  <c r="AJ28" i="11" s="1"/>
  <c r="AL28" i="11" s="1"/>
  <c r="AH24" i="11"/>
  <c r="AJ24" i="11" s="1"/>
  <c r="AL24" i="11" s="1"/>
  <c r="AH26" i="11"/>
  <c r="AJ26" i="11" s="1"/>
  <c r="AL26" i="11" s="1"/>
  <c r="AJ11" i="11"/>
  <c r="AL11" i="11" s="1"/>
  <c r="AH14" i="11"/>
  <c r="AJ14" i="11" s="1"/>
  <c r="AL14" i="11" s="1"/>
  <c r="AJ19" i="11"/>
  <c r="AL19" i="11" s="1"/>
  <c r="AH30" i="11"/>
  <c r="AJ30" i="11" s="1"/>
  <c r="AL30" i="11" s="1"/>
  <c r="AI9" i="11"/>
  <c r="AJ9" i="11" s="1"/>
  <c r="AL9" i="11" s="1"/>
  <c r="AH13" i="11"/>
  <c r="AJ13" i="11" s="1"/>
  <c r="AL13" i="11" s="1"/>
  <c r="AH21" i="11"/>
  <c r="AJ21" i="11" s="1"/>
  <c r="AL21" i="11" s="1"/>
  <c r="AH25" i="11"/>
  <c r="AJ25" i="11" s="1"/>
  <c r="AL25" i="11" s="1"/>
  <c r="AI5" i="11"/>
  <c r="AJ5" i="11" s="1"/>
  <c r="AL5" i="11" s="1"/>
  <c r="AH32" i="10"/>
  <c r="AI27" i="10"/>
  <c r="AH34" i="10"/>
  <c r="AH29" i="10"/>
  <c r="AJ34" i="10"/>
  <c r="AL34" i="10" s="1"/>
  <c r="AJ31" i="10"/>
  <c r="AL31" i="10" s="1"/>
  <c r="AH26" i="10"/>
  <c r="AJ26" i="10" s="1"/>
  <c r="AL26" i="10" s="1"/>
  <c r="AH33" i="10"/>
  <c r="AH28" i="10"/>
  <c r="AJ28" i="10" s="1"/>
  <c r="AL28" i="10" s="1"/>
  <c r="AJ32" i="10"/>
  <c r="AL32" i="10" s="1"/>
  <c r="AJ13" i="9"/>
  <c r="AL13" i="9" s="1"/>
  <c r="AJ21" i="9"/>
  <c r="AL21" i="9" s="1"/>
  <c r="AJ25" i="9"/>
  <c r="AL25" i="9" s="1"/>
  <c r="AJ9" i="9"/>
  <c r="AL9" i="9" s="1"/>
  <c r="AI7" i="9"/>
  <c r="AJ7" i="9" s="1"/>
  <c r="AL7" i="9" s="1"/>
  <c r="AH16" i="9"/>
  <c r="AJ16" i="9" s="1"/>
  <c r="AL16" i="9" s="1"/>
  <c r="AH19" i="9"/>
  <c r="AJ19" i="9" s="1"/>
  <c r="AL19" i="9" s="1"/>
  <c r="AJ10" i="9"/>
  <c r="AL10" i="9" s="1"/>
  <c r="AJ26" i="9"/>
  <c r="AL26" i="9" s="1"/>
  <c r="AJ22" i="9"/>
  <c r="AL22" i="9" s="1"/>
  <c r="AH12" i="9"/>
  <c r="AJ12" i="9" s="1"/>
  <c r="AL12" i="9" s="1"/>
  <c r="AH15" i="9"/>
  <c r="AJ15" i="9" s="1"/>
  <c r="AL15" i="9" s="1"/>
  <c r="AH28" i="9"/>
  <c r="AJ28" i="9" s="1"/>
  <c r="AL28" i="9" s="1"/>
  <c r="AJ6" i="9"/>
  <c r="AL6" i="9" s="1"/>
  <c r="AJ18" i="9"/>
  <c r="AL18" i="9" s="1"/>
  <c r="AH8" i="9"/>
  <c r="AJ8" i="9" s="1"/>
  <c r="AL8" i="9" s="1"/>
  <c r="AH11" i="9"/>
  <c r="AJ11" i="9" s="1"/>
  <c r="AL11" i="9" s="1"/>
  <c r="AH24" i="9"/>
  <c r="AJ24" i="9" s="1"/>
  <c r="AL24" i="9" s="1"/>
  <c r="AH27" i="9"/>
  <c r="AJ27" i="9" s="1"/>
  <c r="AL27" i="9" s="1"/>
  <c r="AJ14" i="9"/>
  <c r="AL14" i="9" s="1"/>
  <c r="AJ20" i="9"/>
  <c r="AL20" i="9" s="1"/>
  <c r="AJ28" i="8"/>
  <c r="AL28" i="8" s="1"/>
  <c r="AJ18" i="8"/>
  <c r="AL18" i="8" s="1"/>
  <c r="AH16" i="8"/>
  <c r="AJ16" i="8" s="1"/>
  <c r="AL16" i="8" s="1"/>
  <c r="AH20" i="8"/>
  <c r="AJ20" i="8" s="1"/>
  <c r="AL20" i="8" s="1"/>
  <c r="AH22" i="8"/>
  <c r="AJ22" i="8" s="1"/>
  <c r="AL22" i="8" s="1"/>
  <c r="AH30" i="8"/>
  <c r="AJ30" i="8" s="1"/>
  <c r="AL30" i="8" s="1"/>
  <c r="AH32" i="8"/>
  <c r="AJ32" i="8" s="1"/>
  <c r="AL32" i="8" s="1"/>
  <c r="AH24" i="8"/>
  <c r="AJ24" i="8" s="1"/>
  <c r="AL24" i="8" s="1"/>
  <c r="AH6" i="8"/>
  <c r="AJ6" i="8" s="1"/>
  <c r="AL6" i="8" s="1"/>
  <c r="AH7" i="7"/>
  <c r="AJ7" i="7" s="1"/>
  <c r="AL7" i="7" s="1"/>
  <c r="AI9" i="7"/>
  <c r="AJ9" i="7" s="1"/>
  <c r="AL9" i="7" s="1"/>
  <c r="AH19" i="7"/>
  <c r="AJ19" i="7" s="1"/>
  <c r="AL19" i="7" s="1"/>
  <c r="AH18" i="7"/>
  <c r="AJ18" i="7" s="1"/>
  <c r="AL18" i="7" s="1"/>
  <c r="AH28" i="7"/>
  <c r="AJ28" i="7" s="1"/>
  <c r="AL28" i="7" s="1"/>
  <c r="AH10" i="7"/>
  <c r="AJ10" i="7" s="1"/>
  <c r="AL10" i="7" s="1"/>
  <c r="AH23" i="7"/>
  <c r="AJ23" i="7" s="1"/>
  <c r="AL23" i="7" s="1"/>
  <c r="AI31" i="7"/>
  <c r="AJ31" i="7" s="1"/>
  <c r="AL31" i="7" s="1"/>
  <c r="AJ8" i="6"/>
  <c r="AL8" i="6" s="1"/>
  <c r="AI10" i="6"/>
  <c r="AJ10" i="6" s="1"/>
  <c r="AL10" i="6" s="1"/>
  <c r="AI12" i="6"/>
  <c r="AJ12" i="6" s="1"/>
  <c r="AL12" i="6" s="1"/>
  <c r="AI14" i="6"/>
  <c r="AJ14" i="6" s="1"/>
  <c r="AL14" i="6" s="1"/>
  <c r="AI16" i="6"/>
  <c r="AJ16" i="6" s="1"/>
  <c r="AL16" i="6" s="1"/>
  <c r="AI18" i="6"/>
  <c r="AJ18" i="6" s="1"/>
  <c r="AL18" i="6" s="1"/>
  <c r="AH20" i="6"/>
  <c r="AJ20" i="6" s="1"/>
  <c r="AL20" i="6" s="1"/>
  <c r="AH23" i="6"/>
  <c r="AH28" i="6"/>
  <c r="AJ28" i="6" s="1"/>
  <c r="AL28" i="6" s="1"/>
  <c r="AH31" i="6"/>
  <c r="AJ31" i="6" s="1"/>
  <c r="AL31" i="6" s="1"/>
  <c r="AH22" i="6"/>
  <c r="AJ22" i="6" s="1"/>
  <c r="AL22" i="6" s="1"/>
  <c r="AH25" i="6"/>
  <c r="AJ25" i="6" s="1"/>
  <c r="AL25" i="6" s="1"/>
  <c r="AH30" i="6"/>
  <c r="AJ30" i="6" s="1"/>
  <c r="AL30" i="6" s="1"/>
  <c r="AH33" i="6"/>
  <c r="AJ33" i="6" s="1"/>
  <c r="AL33" i="6" s="1"/>
  <c r="AH32" i="6"/>
  <c r="AJ32" i="6" s="1"/>
  <c r="AL32" i="6" s="1"/>
  <c r="AJ11" i="5"/>
  <c r="AL11" i="5" s="1"/>
  <c r="AI13" i="5"/>
  <c r="AJ13" i="5" s="1"/>
  <c r="AL13" i="5" s="1"/>
  <c r="AI9" i="5"/>
  <c r="AI25" i="5"/>
  <c r="AI7" i="5"/>
  <c r="AJ7" i="5" s="1"/>
  <c r="AL7" i="5" s="1"/>
  <c r="AI23" i="5"/>
  <c r="AJ23" i="5" s="1"/>
  <c r="AL23" i="5" s="1"/>
  <c r="AJ9" i="5"/>
  <c r="AL9" i="5" s="1"/>
  <c r="AI5" i="5"/>
  <c r="AJ5" i="5" s="1"/>
  <c r="AL5" i="5" s="1"/>
  <c r="AJ19" i="5"/>
  <c r="AL19" i="5" s="1"/>
  <c r="AI21" i="5"/>
  <c r="AJ21" i="5" s="1"/>
  <c r="AL21" i="5" s="1"/>
  <c r="AJ25" i="5"/>
  <c r="AL25" i="5" s="1"/>
  <c r="AJ15" i="5"/>
  <c r="AL15" i="5" s="1"/>
  <c r="AI17" i="5"/>
  <c r="AJ17" i="5" s="1"/>
  <c r="AL17" i="5" s="1"/>
  <c r="AH33" i="5"/>
  <c r="AJ33" i="5" s="1"/>
  <c r="AL33" i="5" s="1"/>
  <c r="AH6" i="4"/>
  <c r="AJ6" i="4" s="1"/>
  <c r="AL6" i="4" s="1"/>
  <c r="AH23" i="4"/>
  <c r="AJ23" i="4" s="1"/>
  <c r="AL23" i="4" s="1"/>
  <c r="AH4" i="4"/>
  <c r="AJ4" i="4" s="1"/>
  <c r="AL4" i="4" s="1"/>
  <c r="AH21" i="4"/>
  <c r="AJ21" i="4" s="1"/>
  <c r="AL21" i="4" s="1"/>
  <c r="AI7" i="4"/>
  <c r="AJ7" i="4" s="1"/>
  <c r="AL7" i="4" s="1"/>
  <c r="AH26" i="3"/>
  <c r="AJ26" i="3" s="1"/>
  <c r="AL26" i="3" s="1"/>
  <c r="AH14" i="3"/>
  <c r="AJ14" i="3" s="1"/>
  <c r="AL14" i="3" s="1"/>
  <c r="AH4" i="3"/>
  <c r="AJ4" i="3" s="1"/>
  <c r="AH34" i="3"/>
  <c r="AJ34" i="3" s="1"/>
  <c r="AL34" i="3" s="1"/>
  <c r="AH30" i="3"/>
  <c r="AJ30" i="3" s="1"/>
  <c r="AL30" i="3" s="1"/>
  <c r="AH15" i="2"/>
  <c r="AH9" i="2"/>
  <c r="AH25" i="2"/>
  <c r="AJ25" i="2" s="1"/>
  <c r="AL25" i="2" s="1"/>
  <c r="AH7" i="2"/>
  <c r="AJ7" i="2" s="1"/>
  <c r="AL7" i="2" s="1"/>
  <c r="AH5" i="2"/>
  <c r="AH21" i="2"/>
  <c r="AJ21" i="2" s="1"/>
  <c r="AL21" i="2" s="1"/>
  <c r="AH28" i="2"/>
  <c r="AH30" i="2"/>
  <c r="AJ30" i="2" s="1"/>
  <c r="AL30" i="2" s="1"/>
  <c r="AH17" i="2"/>
  <c r="S32" i="2"/>
  <c r="C31" i="13" s="1"/>
  <c r="H2" i="2"/>
  <c r="H2" i="3" s="1"/>
  <c r="H2" i="4" s="1"/>
  <c r="H2" i="5" s="1"/>
  <c r="D58" i="13"/>
  <c r="C60" i="13"/>
  <c r="X35" i="1"/>
  <c r="X34" i="11"/>
  <c r="X34" i="9"/>
  <c r="AH30" i="1"/>
  <c r="AJ30" i="1" s="1"/>
  <c r="AL30" i="1" s="1"/>
  <c r="AH32" i="1"/>
  <c r="AJ32" i="1" s="1"/>
  <c r="AL32" i="1" s="1"/>
  <c r="AH34" i="1"/>
  <c r="AJ34" i="1" s="1"/>
  <c r="AL34" i="1" s="1"/>
  <c r="AH16" i="1"/>
  <c r="AJ16" i="1" s="1"/>
  <c r="AL16" i="1" s="1"/>
  <c r="AH18" i="1"/>
  <c r="AJ18" i="1" s="1"/>
  <c r="AL18" i="1" s="1"/>
  <c r="AH20" i="1"/>
  <c r="AJ20" i="1" s="1"/>
  <c r="AL20" i="1" s="1"/>
  <c r="AH12" i="1"/>
  <c r="AJ12" i="1" s="1"/>
  <c r="AL12" i="1" s="1"/>
  <c r="S35" i="1"/>
  <c r="C30" i="13" s="1"/>
  <c r="AJ9" i="2"/>
  <c r="AL9" i="2" s="1"/>
  <c r="AL4" i="3"/>
  <c r="AJ23" i="2"/>
  <c r="AL23" i="2" s="1"/>
  <c r="AJ5" i="2"/>
  <c r="AL5" i="2" s="1"/>
  <c r="AJ28" i="2"/>
  <c r="AL28" i="2" s="1"/>
  <c r="AJ17" i="2"/>
  <c r="AL17" i="2" s="1"/>
  <c r="A6" i="1"/>
  <c r="T5" i="1"/>
  <c r="B5" i="1"/>
  <c r="AJ15" i="2"/>
  <c r="AL15" i="2" s="1"/>
  <c r="AJ13" i="2"/>
  <c r="AL13" i="2" s="1"/>
  <c r="AH10" i="1"/>
  <c r="AJ10" i="1" s="1"/>
  <c r="AL10" i="1" s="1"/>
  <c r="AI10" i="4"/>
  <c r="AH10" i="4"/>
  <c r="AI22" i="4"/>
  <c r="AH22" i="4"/>
  <c r="AJ22" i="4" s="1"/>
  <c r="AL22" i="4" s="1"/>
  <c r="AI31" i="4"/>
  <c r="AH31" i="4"/>
  <c r="R4" i="1"/>
  <c r="AH10" i="3"/>
  <c r="AJ10" i="3" s="1"/>
  <c r="AL10" i="3" s="1"/>
  <c r="AJ13" i="4"/>
  <c r="AL13" i="4" s="1"/>
  <c r="AI28" i="4"/>
  <c r="AH28" i="4"/>
  <c r="AJ28" i="4" s="1"/>
  <c r="AL28" i="4" s="1"/>
  <c r="AH33" i="4"/>
  <c r="AJ33" i="4" s="1"/>
  <c r="AL33" i="4" s="1"/>
  <c r="AH4" i="1"/>
  <c r="AJ4" i="1" s="1"/>
  <c r="AH8" i="1"/>
  <c r="AJ8" i="1" s="1"/>
  <c r="AL8" i="1" s="1"/>
  <c r="AI26" i="4"/>
  <c r="AH26" i="4"/>
  <c r="AH6" i="1"/>
  <c r="AJ6" i="1" s="1"/>
  <c r="AL6" i="1" s="1"/>
  <c r="AH11" i="1"/>
  <c r="AJ11" i="1" s="1"/>
  <c r="AL11" i="1" s="1"/>
  <c r="AH19" i="1"/>
  <c r="AJ19" i="1" s="1"/>
  <c r="AL19" i="1" s="1"/>
  <c r="AH33" i="1"/>
  <c r="AJ33" i="1" s="1"/>
  <c r="AL33" i="1" s="1"/>
  <c r="AH31" i="2"/>
  <c r="AJ31" i="2" s="1"/>
  <c r="AL31" i="2" s="1"/>
  <c r="B50" i="13"/>
  <c r="D50" i="13" s="1"/>
  <c r="X35" i="3"/>
  <c r="AI9" i="4"/>
  <c r="AJ9" i="4" s="1"/>
  <c r="AL9" i="4" s="1"/>
  <c r="AH15" i="4"/>
  <c r="AJ15" i="4" s="1"/>
  <c r="AL15" i="4" s="1"/>
  <c r="B4" i="1"/>
  <c r="AI5" i="3"/>
  <c r="AH5" i="3"/>
  <c r="A30" i="13"/>
  <c r="A48" i="13"/>
  <c r="AH21" i="1"/>
  <c r="AJ21" i="1" s="1"/>
  <c r="AL21" i="1" s="1"/>
  <c r="AH23" i="1"/>
  <c r="AJ23" i="1" s="1"/>
  <c r="AL23" i="1" s="1"/>
  <c r="AH25" i="1"/>
  <c r="AJ25" i="1" s="1"/>
  <c r="AL25" i="1" s="1"/>
  <c r="AH27" i="1"/>
  <c r="AJ27" i="1" s="1"/>
  <c r="AL27" i="1" s="1"/>
  <c r="AH29" i="1"/>
  <c r="AJ29" i="1" s="1"/>
  <c r="AL29" i="1" s="1"/>
  <c r="AH31" i="1"/>
  <c r="AJ31" i="1" s="1"/>
  <c r="AL31" i="1" s="1"/>
  <c r="AI5" i="1"/>
  <c r="AJ5" i="1" s="1"/>
  <c r="AL5" i="1" s="1"/>
  <c r="AI7" i="1"/>
  <c r="AJ7" i="1" s="1"/>
  <c r="AL7" i="1" s="1"/>
  <c r="AI9" i="1"/>
  <c r="AJ9" i="1" s="1"/>
  <c r="AL9" i="1" s="1"/>
  <c r="AI13" i="1"/>
  <c r="AJ13" i="1" s="1"/>
  <c r="AL13" i="1" s="1"/>
  <c r="AI15" i="1"/>
  <c r="AJ15" i="1" s="1"/>
  <c r="AL15" i="1" s="1"/>
  <c r="AI17" i="1"/>
  <c r="AJ17" i="1" s="1"/>
  <c r="AL17" i="1" s="1"/>
  <c r="AH4" i="2"/>
  <c r="AJ4" i="2" s="1"/>
  <c r="AH6" i="2"/>
  <c r="AJ6" i="2" s="1"/>
  <c r="AL6" i="2" s="1"/>
  <c r="AH8" i="2"/>
  <c r="AJ8" i="2" s="1"/>
  <c r="AL8" i="2" s="1"/>
  <c r="AH10" i="2"/>
  <c r="AJ10" i="2" s="1"/>
  <c r="AL10" i="2" s="1"/>
  <c r="AH12" i="2"/>
  <c r="AJ12" i="2" s="1"/>
  <c r="AL12" i="2" s="1"/>
  <c r="AH14" i="2"/>
  <c r="AJ14" i="2" s="1"/>
  <c r="AL14" i="2" s="1"/>
  <c r="AH16" i="2"/>
  <c r="AJ16" i="2" s="1"/>
  <c r="AL16" i="2" s="1"/>
  <c r="AH18" i="2"/>
  <c r="AJ18" i="2" s="1"/>
  <c r="AL18" i="2" s="1"/>
  <c r="AH20" i="2"/>
  <c r="AJ20" i="2" s="1"/>
  <c r="AL20" i="2" s="1"/>
  <c r="AH22" i="2"/>
  <c r="AJ22" i="2" s="1"/>
  <c r="AL22" i="2" s="1"/>
  <c r="AH24" i="2"/>
  <c r="AJ24" i="2" s="1"/>
  <c r="AL24" i="2" s="1"/>
  <c r="AH26" i="2"/>
  <c r="AJ26" i="2" s="1"/>
  <c r="AL26" i="2" s="1"/>
  <c r="AH8" i="3"/>
  <c r="AJ8" i="3" s="1"/>
  <c r="AL8" i="3" s="1"/>
  <c r="AI5" i="4"/>
  <c r="AH5" i="4"/>
  <c r="AJ5" i="4" s="1"/>
  <c r="AL5" i="4" s="1"/>
  <c r="AH17" i="4"/>
  <c r="AJ17" i="4" s="1"/>
  <c r="AL17" i="4" s="1"/>
  <c r="AI9" i="3"/>
  <c r="AH9" i="3"/>
  <c r="P1" i="2"/>
  <c r="B49" i="13"/>
  <c r="D49" i="13" s="1"/>
  <c r="X32" i="2"/>
  <c r="AI7" i="3"/>
  <c r="AH7" i="3"/>
  <c r="AI27" i="4"/>
  <c r="AH27" i="4"/>
  <c r="D48" i="13"/>
  <c r="AH12" i="3"/>
  <c r="AJ12" i="3" s="1"/>
  <c r="AL12" i="3" s="1"/>
  <c r="AH16" i="3"/>
  <c r="AJ16" i="3" s="1"/>
  <c r="AL16" i="3" s="1"/>
  <c r="AH20" i="3"/>
  <c r="AJ20" i="3" s="1"/>
  <c r="AL20" i="3" s="1"/>
  <c r="AH24" i="3"/>
  <c r="AJ24" i="3" s="1"/>
  <c r="AL24" i="3" s="1"/>
  <c r="AH28" i="3"/>
  <c r="AJ28" i="3" s="1"/>
  <c r="AL28" i="3" s="1"/>
  <c r="AH32" i="3"/>
  <c r="AJ32" i="3" s="1"/>
  <c r="AL32" i="3" s="1"/>
  <c r="AH8" i="4"/>
  <c r="AJ8" i="4" s="1"/>
  <c r="AL8" i="4" s="1"/>
  <c r="AI14" i="4"/>
  <c r="AH14" i="4"/>
  <c r="AJ14" i="4" s="1"/>
  <c r="AL14" i="4" s="1"/>
  <c r="AH27" i="2"/>
  <c r="AJ27" i="2" s="1"/>
  <c r="AL27" i="2" s="1"/>
  <c r="S35" i="3"/>
  <c r="C32" i="13" s="1"/>
  <c r="AH6" i="3"/>
  <c r="AJ6" i="3" s="1"/>
  <c r="AL6" i="3" s="1"/>
  <c r="AI11" i="3"/>
  <c r="AH11" i="3"/>
  <c r="AI16" i="4"/>
  <c r="AH16" i="4"/>
  <c r="B51" i="13"/>
  <c r="D51" i="13" s="1"/>
  <c r="X34" i="4"/>
  <c r="AI16" i="7"/>
  <c r="AH16" i="7"/>
  <c r="AI30" i="5"/>
  <c r="AH30" i="5"/>
  <c r="AI20" i="4"/>
  <c r="AH20" i="4"/>
  <c r="AH13" i="3"/>
  <c r="AJ13" i="3" s="1"/>
  <c r="AL13" i="3" s="1"/>
  <c r="AH15" i="3"/>
  <c r="AJ15" i="3" s="1"/>
  <c r="AL15" i="3" s="1"/>
  <c r="AH17" i="3"/>
  <c r="AJ17" i="3" s="1"/>
  <c r="AL17" i="3" s="1"/>
  <c r="AH19" i="3"/>
  <c r="AJ19" i="3" s="1"/>
  <c r="AL19" i="3" s="1"/>
  <c r="AH21" i="3"/>
  <c r="AJ21" i="3" s="1"/>
  <c r="AL21" i="3" s="1"/>
  <c r="AH23" i="3"/>
  <c r="AJ23" i="3" s="1"/>
  <c r="AL23" i="3" s="1"/>
  <c r="AH25" i="3"/>
  <c r="AJ25" i="3" s="1"/>
  <c r="AL25" i="3" s="1"/>
  <c r="AH27" i="3"/>
  <c r="AJ27" i="3" s="1"/>
  <c r="AL27" i="3" s="1"/>
  <c r="AH29" i="3"/>
  <c r="AJ29" i="3" s="1"/>
  <c r="AL29" i="3" s="1"/>
  <c r="AH31" i="3"/>
  <c r="AJ31" i="3" s="1"/>
  <c r="AL31" i="3" s="1"/>
  <c r="AH33" i="3"/>
  <c r="AJ33" i="3" s="1"/>
  <c r="AL33" i="3" s="1"/>
  <c r="AH11" i="4"/>
  <c r="AJ11" i="4" s="1"/>
  <c r="AL11" i="4" s="1"/>
  <c r="AH25" i="4"/>
  <c r="AJ25" i="4" s="1"/>
  <c r="AL25" i="4" s="1"/>
  <c r="AI30" i="4"/>
  <c r="AH30" i="4"/>
  <c r="AJ30" i="4" s="1"/>
  <c r="AL30" i="4" s="1"/>
  <c r="B52" i="13"/>
  <c r="D52" i="13" s="1"/>
  <c r="X35" i="5"/>
  <c r="AI5" i="7"/>
  <c r="AH5" i="7"/>
  <c r="S34" i="4"/>
  <c r="C33" i="13" s="1"/>
  <c r="AH19" i="4"/>
  <c r="AJ19" i="4" s="1"/>
  <c r="AL19" i="4" s="1"/>
  <c r="AI24" i="4"/>
  <c r="AH24" i="4"/>
  <c r="AH13" i="7"/>
  <c r="AI13" i="7"/>
  <c r="AH12" i="4"/>
  <c r="AJ12" i="4" s="1"/>
  <c r="AL12" i="4" s="1"/>
  <c r="AI18" i="4"/>
  <c r="AH18" i="4"/>
  <c r="AJ18" i="4" s="1"/>
  <c r="AL18" i="4" s="1"/>
  <c r="AH29" i="4"/>
  <c r="AJ29" i="4" s="1"/>
  <c r="AL29" i="4" s="1"/>
  <c r="S35" i="5"/>
  <c r="C34" i="13" s="1"/>
  <c r="AI9" i="8"/>
  <c r="AH9" i="8"/>
  <c r="AI29" i="7"/>
  <c r="AH29" i="7"/>
  <c r="S34" i="6"/>
  <c r="C35" i="13" s="1"/>
  <c r="AH28" i="5"/>
  <c r="AJ28" i="5" s="1"/>
  <c r="AL28" i="5" s="1"/>
  <c r="AH11" i="6"/>
  <c r="AJ11" i="6" s="1"/>
  <c r="AL11" i="6" s="1"/>
  <c r="AH13" i="6"/>
  <c r="AJ13" i="6" s="1"/>
  <c r="AL13" i="6" s="1"/>
  <c r="AH15" i="6"/>
  <c r="AJ15" i="6" s="1"/>
  <c r="AL15" i="6" s="1"/>
  <c r="AH17" i="6"/>
  <c r="AJ17" i="6" s="1"/>
  <c r="AL17" i="6" s="1"/>
  <c r="AJ23" i="6"/>
  <c r="AL23" i="6" s="1"/>
  <c r="AH32" i="4"/>
  <c r="AJ32" i="4" s="1"/>
  <c r="AL32" i="4" s="1"/>
  <c r="AH32" i="5"/>
  <c r="AJ32" i="5" s="1"/>
  <c r="AL32" i="5" s="1"/>
  <c r="AH9" i="6"/>
  <c r="AJ9" i="6" s="1"/>
  <c r="AL9" i="6" s="1"/>
  <c r="AH4" i="5"/>
  <c r="AJ4" i="5" s="1"/>
  <c r="AH6" i="5"/>
  <c r="AJ6" i="5" s="1"/>
  <c r="AL6" i="5" s="1"/>
  <c r="AH8" i="5"/>
  <c r="AJ8" i="5" s="1"/>
  <c r="AL8" i="5" s="1"/>
  <c r="AH10" i="5"/>
  <c r="AJ10" i="5" s="1"/>
  <c r="AL10" i="5" s="1"/>
  <c r="AH12" i="5"/>
  <c r="AJ12" i="5" s="1"/>
  <c r="AL12" i="5" s="1"/>
  <c r="AH14" i="5"/>
  <c r="AJ14" i="5" s="1"/>
  <c r="AL14" i="5" s="1"/>
  <c r="AH16" i="5"/>
  <c r="AJ16" i="5" s="1"/>
  <c r="AL16" i="5" s="1"/>
  <c r="AH18" i="5"/>
  <c r="AJ18" i="5" s="1"/>
  <c r="AL18" i="5" s="1"/>
  <c r="AH20" i="5"/>
  <c r="AJ20" i="5" s="1"/>
  <c r="AL20" i="5" s="1"/>
  <c r="AH22" i="5"/>
  <c r="AJ22" i="5" s="1"/>
  <c r="AL22" i="5" s="1"/>
  <c r="AH24" i="5"/>
  <c r="AJ24" i="5" s="1"/>
  <c r="AL24" i="5" s="1"/>
  <c r="AH26" i="5"/>
  <c r="AJ26" i="5" s="1"/>
  <c r="AL26" i="5" s="1"/>
  <c r="AH34" i="5"/>
  <c r="AJ34" i="5" s="1"/>
  <c r="AL34" i="5" s="1"/>
  <c r="AH7" i="6"/>
  <c r="AJ7" i="6" s="1"/>
  <c r="AL7" i="6" s="1"/>
  <c r="AH29" i="5"/>
  <c r="AJ29" i="5" s="1"/>
  <c r="AL29" i="5" s="1"/>
  <c r="AH5" i="6"/>
  <c r="AJ5" i="6" s="1"/>
  <c r="AL5" i="6" s="1"/>
  <c r="AJ21" i="6"/>
  <c r="AL21" i="6" s="1"/>
  <c r="S35" i="7"/>
  <c r="C36" i="13" s="1"/>
  <c r="AI32" i="7"/>
  <c r="AH32" i="7"/>
  <c r="D53" i="13"/>
  <c r="AJ12" i="8"/>
  <c r="AL12" i="8" s="1"/>
  <c r="AH23" i="8"/>
  <c r="AI23" i="8"/>
  <c r="AI33" i="8"/>
  <c r="AH33" i="8"/>
  <c r="AJ33" i="8" s="1"/>
  <c r="AL33" i="8" s="1"/>
  <c r="S35" i="8"/>
  <c r="C37" i="13" s="1"/>
  <c r="AI5" i="8"/>
  <c r="AH5" i="8"/>
  <c r="AJ5" i="8" s="1"/>
  <c r="AL5" i="8" s="1"/>
  <c r="AH29" i="8"/>
  <c r="AI29" i="8"/>
  <c r="X34" i="6"/>
  <c r="AH17" i="7"/>
  <c r="AJ17" i="7" s="1"/>
  <c r="AL17" i="7" s="1"/>
  <c r="AH20" i="7"/>
  <c r="AJ20" i="7" s="1"/>
  <c r="AL20" i="7" s="1"/>
  <c r="AH33" i="7"/>
  <c r="AJ33" i="7" s="1"/>
  <c r="AL33" i="7" s="1"/>
  <c r="AH8" i="8"/>
  <c r="AJ8" i="8" s="1"/>
  <c r="AL8" i="8" s="1"/>
  <c r="AI11" i="8"/>
  <c r="AH11" i="8"/>
  <c r="AJ11" i="8" s="1"/>
  <c r="AL11" i="8" s="1"/>
  <c r="S34" i="11"/>
  <c r="C40" i="13" s="1"/>
  <c r="AH11" i="7"/>
  <c r="AJ11" i="7" s="1"/>
  <c r="AL11" i="7" s="1"/>
  <c r="AH14" i="7"/>
  <c r="AJ14" i="7" s="1"/>
  <c r="AL14" i="7" s="1"/>
  <c r="AH27" i="7"/>
  <c r="AJ27" i="7" s="1"/>
  <c r="AL27" i="7" s="1"/>
  <c r="AH30" i="7"/>
  <c r="AJ30" i="7" s="1"/>
  <c r="AL30" i="7" s="1"/>
  <c r="AI14" i="8"/>
  <c r="AH14" i="8"/>
  <c r="AI19" i="8"/>
  <c r="AJ19" i="8" s="1"/>
  <c r="AL19" i="8" s="1"/>
  <c r="AH25" i="8"/>
  <c r="AI25" i="8"/>
  <c r="AH8" i="7"/>
  <c r="AJ8" i="7" s="1"/>
  <c r="AL8" i="7" s="1"/>
  <c r="AH21" i="7"/>
  <c r="AJ21" i="7" s="1"/>
  <c r="AL21" i="7" s="1"/>
  <c r="AH24" i="7"/>
  <c r="AJ24" i="7" s="1"/>
  <c r="AL24" i="7" s="1"/>
  <c r="AH34" i="7"/>
  <c r="AJ34" i="7" s="1"/>
  <c r="AL34" i="7" s="1"/>
  <c r="AH4" i="8"/>
  <c r="AJ4" i="8" s="1"/>
  <c r="AI7" i="8"/>
  <c r="AH7" i="8"/>
  <c r="AH10" i="8"/>
  <c r="AJ10" i="8" s="1"/>
  <c r="AL10" i="8" s="1"/>
  <c r="AH21" i="8"/>
  <c r="AI21" i="8"/>
  <c r="AH17" i="8"/>
  <c r="AI17" i="8"/>
  <c r="AH27" i="8"/>
  <c r="AI27" i="8"/>
  <c r="AJ6" i="10"/>
  <c r="AL6" i="10" s="1"/>
  <c r="AJ9" i="10"/>
  <c r="AL9" i="10" s="1"/>
  <c r="D54" i="13"/>
  <c r="AI13" i="8"/>
  <c r="AJ13" i="8" s="1"/>
  <c r="AL13" i="8" s="1"/>
  <c r="S35" i="10"/>
  <c r="C39" i="13" s="1"/>
  <c r="AJ15" i="10"/>
  <c r="AL15" i="10" s="1"/>
  <c r="X35" i="7"/>
  <c r="AJ8" i="10"/>
  <c r="AL8" i="10" s="1"/>
  <c r="AJ11" i="10"/>
  <c r="AL11" i="10" s="1"/>
  <c r="AJ17" i="10"/>
  <c r="AL17" i="10" s="1"/>
  <c r="AI20" i="10"/>
  <c r="AH20" i="10"/>
  <c r="AJ20" i="10" s="1"/>
  <c r="AL20" i="10" s="1"/>
  <c r="AI17" i="11"/>
  <c r="AH17" i="11"/>
  <c r="AJ17" i="11" s="1"/>
  <c r="AL17" i="11" s="1"/>
  <c r="AI31" i="8"/>
  <c r="AH31" i="8"/>
  <c r="AJ31" i="8" s="1"/>
  <c r="AL31" i="8" s="1"/>
  <c r="AJ4" i="9"/>
  <c r="AL4" i="10"/>
  <c r="AJ7" i="10"/>
  <c r="AL7" i="10" s="1"/>
  <c r="AJ13" i="10"/>
  <c r="AL13" i="10" s="1"/>
  <c r="AJ27" i="10"/>
  <c r="AL27" i="10" s="1"/>
  <c r="AI31" i="11"/>
  <c r="AH31" i="11"/>
  <c r="S34" i="9"/>
  <c r="C38" i="13" s="1"/>
  <c r="AJ29" i="10"/>
  <c r="AL29" i="10" s="1"/>
  <c r="AI10" i="12"/>
  <c r="AH10" i="12"/>
  <c r="AJ10" i="12" s="1"/>
  <c r="AL10" i="12" s="1"/>
  <c r="AJ21" i="10"/>
  <c r="AL21" i="10" s="1"/>
  <c r="D55" i="13"/>
  <c r="AJ33" i="10"/>
  <c r="AL33" i="10" s="1"/>
  <c r="AI8" i="11"/>
  <c r="AH8" i="11"/>
  <c r="D56" i="13"/>
  <c r="AL4" i="11"/>
  <c r="AJ11" i="12"/>
  <c r="AL11" i="12" s="1"/>
  <c r="AJ21" i="12"/>
  <c r="AL21" i="12" s="1"/>
  <c r="AJ29" i="12"/>
  <c r="AL29" i="12" s="1"/>
  <c r="X35" i="8"/>
  <c r="AJ23" i="10"/>
  <c r="AL23" i="10" s="1"/>
  <c r="AJ7" i="11"/>
  <c r="AL7" i="11" s="1"/>
  <c r="AI10" i="11"/>
  <c r="AH10" i="11"/>
  <c r="AJ10" i="11" s="1"/>
  <c r="AL10" i="11" s="1"/>
  <c r="AH9" i="12"/>
  <c r="AI9" i="12"/>
  <c r="AI8" i="12"/>
  <c r="AH8" i="12"/>
  <c r="AJ8" i="12" s="1"/>
  <c r="AL8" i="12" s="1"/>
  <c r="AI20" i="12"/>
  <c r="AH20" i="12"/>
  <c r="AI28" i="12"/>
  <c r="AH28" i="12"/>
  <c r="AJ28" i="12" s="1"/>
  <c r="AL28" i="12" s="1"/>
  <c r="B57" i="13"/>
  <c r="D57" i="13" s="1"/>
  <c r="AI6" i="12"/>
  <c r="AH6" i="12"/>
  <c r="AH15" i="11"/>
  <c r="AJ15" i="11" s="1"/>
  <c r="AL15" i="11" s="1"/>
  <c r="AH23" i="11"/>
  <c r="AJ23" i="11" s="1"/>
  <c r="AL23" i="11" s="1"/>
  <c r="AH27" i="11"/>
  <c r="AJ27" i="11" s="1"/>
  <c r="AL27" i="11" s="1"/>
  <c r="AI4" i="12"/>
  <c r="AH4" i="12"/>
  <c r="AI18" i="12"/>
  <c r="AH18" i="12"/>
  <c r="AI26" i="12"/>
  <c r="AH26" i="12"/>
  <c r="AJ26" i="12" s="1"/>
  <c r="AL26" i="12" s="1"/>
  <c r="AI34" i="12"/>
  <c r="AH34" i="12"/>
  <c r="AJ34" i="12" s="1"/>
  <c r="AL34" i="12" s="1"/>
  <c r="AH18" i="11"/>
  <c r="AJ18" i="11" s="1"/>
  <c r="AL18" i="11" s="1"/>
  <c r="AH33" i="11"/>
  <c r="AJ33" i="11" s="1"/>
  <c r="AL33" i="11" s="1"/>
  <c r="AI16" i="12"/>
  <c r="AH16" i="12"/>
  <c r="AI24" i="12"/>
  <c r="AH24" i="12"/>
  <c r="AJ24" i="12" s="1"/>
  <c r="AL24" i="12" s="1"/>
  <c r="AI32" i="12"/>
  <c r="AH32" i="12"/>
  <c r="AJ32" i="12" s="1"/>
  <c r="AL32" i="12" s="1"/>
  <c r="B59" i="13"/>
  <c r="D59" i="13" s="1"/>
  <c r="AJ16" i="11"/>
  <c r="AL16" i="11" s="1"/>
  <c r="AI14" i="12"/>
  <c r="AH14" i="12"/>
  <c r="S35" i="12"/>
  <c r="C41" i="13" s="1"/>
  <c r="AI12" i="12"/>
  <c r="AH12" i="12"/>
  <c r="AI13" i="12"/>
  <c r="AJ13" i="12" s="1"/>
  <c r="AL13" i="12" s="1"/>
  <c r="AI22" i="12"/>
  <c r="AH22" i="12"/>
  <c r="AI30" i="12"/>
  <c r="AH30" i="12"/>
  <c r="AJ30" i="12" s="1"/>
  <c r="AL30" i="12" s="1"/>
  <c r="AJ33" i="12" l="1"/>
  <c r="AL33" i="12" s="1"/>
  <c r="AJ31" i="12"/>
  <c r="AL31" i="12" s="1"/>
  <c r="AJ27" i="12"/>
  <c r="AL27" i="12" s="1"/>
  <c r="AJ25" i="12"/>
  <c r="AL25" i="12" s="1"/>
  <c r="AJ23" i="12"/>
  <c r="AL23" i="12" s="1"/>
  <c r="AJ29" i="11"/>
  <c r="AL29" i="11" s="1"/>
  <c r="AJ5" i="9"/>
  <c r="AL5" i="9" s="1"/>
  <c r="AJ4" i="6"/>
  <c r="AL4" i="6" s="1"/>
  <c r="AJ26" i="1"/>
  <c r="AL26" i="1" s="1"/>
  <c r="AJ24" i="1"/>
  <c r="AL24" i="1" s="1"/>
  <c r="AJ14" i="8"/>
  <c r="AL14" i="8" s="1"/>
  <c r="AJ9" i="8"/>
  <c r="AL9" i="8" s="1"/>
  <c r="AJ7" i="8"/>
  <c r="AL7" i="8" s="1"/>
  <c r="AJ29" i="7"/>
  <c r="AL29" i="7" s="1"/>
  <c r="AJ32" i="7"/>
  <c r="AL32" i="7" s="1"/>
  <c r="AJ16" i="7"/>
  <c r="AL16" i="7" s="1"/>
  <c r="AJ5" i="7"/>
  <c r="AL5" i="7" s="1"/>
  <c r="J2" i="2"/>
  <c r="J2" i="3"/>
  <c r="AJ14" i="12"/>
  <c r="AL14" i="12" s="1"/>
  <c r="AJ8" i="11"/>
  <c r="AL8" i="11" s="1"/>
  <c r="AJ17" i="8"/>
  <c r="AL17" i="8" s="1"/>
  <c r="AJ20" i="4"/>
  <c r="AL20" i="4" s="1"/>
  <c r="AJ10" i="4"/>
  <c r="AL10" i="4" s="1"/>
  <c r="AJ9" i="3"/>
  <c r="AL9" i="3" s="1"/>
  <c r="C42" i="13"/>
  <c r="AL4" i="5"/>
  <c r="AJ29" i="8"/>
  <c r="AL29" i="8" s="1"/>
  <c r="AL4" i="1"/>
  <c r="AJ35" i="1"/>
  <c r="AL35" i="1" s="1"/>
  <c r="AL4" i="8"/>
  <c r="AJ21" i="8"/>
  <c r="AL21" i="8" s="1"/>
  <c r="AJ12" i="12"/>
  <c r="AL12" i="12" s="1"/>
  <c r="AJ4" i="12"/>
  <c r="AJ6" i="12"/>
  <c r="AL6" i="12" s="1"/>
  <c r="AJ20" i="12"/>
  <c r="AL20" i="12" s="1"/>
  <c r="AL4" i="9"/>
  <c r="AJ34" i="9"/>
  <c r="AL34" i="9" s="1"/>
  <c r="AJ34" i="6"/>
  <c r="AL34" i="6" s="1"/>
  <c r="AJ24" i="4"/>
  <c r="AL24" i="4" s="1"/>
  <c r="AJ7" i="3"/>
  <c r="AL7" i="3" s="1"/>
  <c r="AJ5" i="3"/>
  <c r="B60" i="13"/>
  <c r="D60" i="13" s="1"/>
  <c r="AJ32" i="2"/>
  <c r="AL32" i="2" s="1"/>
  <c r="AL4" i="2"/>
  <c r="AJ26" i="4"/>
  <c r="AL26" i="4" s="1"/>
  <c r="AJ31" i="4"/>
  <c r="AL31" i="4" s="1"/>
  <c r="AJ9" i="12"/>
  <c r="AL9" i="12" s="1"/>
  <c r="AJ35" i="10"/>
  <c r="AL35" i="10" s="1"/>
  <c r="AJ23" i="8"/>
  <c r="AL23" i="8" s="1"/>
  <c r="AJ27" i="8"/>
  <c r="AL27" i="8" s="1"/>
  <c r="AJ25" i="8"/>
  <c r="AL25" i="8" s="1"/>
  <c r="AJ13" i="7"/>
  <c r="AL13" i="7" s="1"/>
  <c r="A7" i="1"/>
  <c r="R6" i="1"/>
  <c r="T6" i="1" s="1"/>
  <c r="B6" i="1"/>
  <c r="H2" i="6"/>
  <c r="J2" i="5"/>
  <c r="AJ22" i="12"/>
  <c r="AL22" i="12" s="1"/>
  <c r="AJ16" i="12"/>
  <c r="AL16" i="12" s="1"/>
  <c r="AJ18" i="12"/>
  <c r="AL18" i="12" s="1"/>
  <c r="AJ31" i="11"/>
  <c r="AL31" i="11" s="1"/>
  <c r="AJ30" i="5"/>
  <c r="AL30" i="5" s="1"/>
  <c r="AJ16" i="4"/>
  <c r="AL16" i="4" s="1"/>
  <c r="AJ11" i="3"/>
  <c r="AL11" i="3" s="1"/>
  <c r="AJ27" i="4"/>
  <c r="AL27" i="4" s="1"/>
  <c r="A31" i="13"/>
  <c r="A49" i="13"/>
  <c r="P1" i="3"/>
  <c r="A4" i="2"/>
  <c r="T4" i="1"/>
  <c r="J2" i="4"/>
  <c r="AJ35" i="8" l="1"/>
  <c r="AL35" i="8" s="1"/>
  <c r="R4" i="2"/>
  <c r="B4" i="2"/>
  <c r="A5" i="2"/>
  <c r="AJ34" i="11"/>
  <c r="AL34" i="11" s="1"/>
  <c r="U4" i="1"/>
  <c r="U5" i="1" s="1"/>
  <c r="U6" i="1" s="1"/>
  <c r="H2" i="7"/>
  <c r="J2" i="6"/>
  <c r="AL5" i="3"/>
  <c r="AJ35" i="3"/>
  <c r="AL35" i="3" s="1"/>
  <c r="AL4" i="12"/>
  <c r="AJ35" i="12"/>
  <c r="AL35" i="12" s="1"/>
  <c r="AJ34" i="4"/>
  <c r="AL34" i="4" s="1"/>
  <c r="AJ35" i="7"/>
  <c r="AL35" i="7" s="1"/>
  <c r="A32" i="13"/>
  <c r="A50" i="13"/>
  <c r="P1" i="4"/>
  <c r="A4" i="3"/>
  <c r="R7" i="1"/>
  <c r="T7" i="1" s="1"/>
  <c r="B7" i="1"/>
  <c r="A8" i="1"/>
  <c r="AJ35" i="5"/>
  <c r="AL35" i="5" s="1"/>
  <c r="U7" i="1" l="1"/>
  <c r="A33" i="13"/>
  <c r="A51" i="13"/>
  <c r="P1" i="5"/>
  <c r="A4" i="4"/>
  <c r="B8" i="1"/>
  <c r="A9" i="1"/>
  <c r="T8" i="1"/>
  <c r="A5" i="3"/>
  <c r="B5" i="3" s="1"/>
  <c r="B4" i="3"/>
  <c r="R4" i="3"/>
  <c r="A6" i="2"/>
  <c r="T5" i="2"/>
  <c r="B5" i="2"/>
  <c r="T4" i="2"/>
  <c r="H2" i="8"/>
  <c r="J2" i="7"/>
  <c r="B6" i="2" l="1"/>
  <c r="A7" i="2"/>
  <c r="B4" i="4"/>
  <c r="A5" i="4"/>
  <c r="T4" i="3"/>
  <c r="A34" i="13"/>
  <c r="A52" i="13"/>
  <c r="A4" i="5"/>
  <c r="P1" i="6"/>
  <c r="T9" i="1"/>
  <c r="B9" i="1"/>
  <c r="A10" i="1"/>
  <c r="H2" i="9"/>
  <c r="J2" i="8"/>
  <c r="T5" i="3"/>
  <c r="A6" i="3"/>
  <c r="B6" i="3" s="1"/>
  <c r="U8" i="1"/>
  <c r="H2" i="10" l="1"/>
  <c r="J2" i="9"/>
  <c r="U9" i="1"/>
  <c r="T5" i="4"/>
  <c r="B5" i="4"/>
  <c r="A6" i="4"/>
  <c r="A11" i="1"/>
  <c r="B10" i="1"/>
  <c r="T10" i="1"/>
  <c r="T4" i="4"/>
  <c r="A7" i="3"/>
  <c r="B7" i="3" s="1"/>
  <c r="T6" i="3"/>
  <c r="A35" i="13"/>
  <c r="A53" i="13"/>
  <c r="A4" i="6"/>
  <c r="P1" i="7"/>
  <c r="B4" i="5"/>
  <c r="A5" i="5"/>
  <c r="A8" i="2"/>
  <c r="T7" i="2"/>
  <c r="B7" i="2"/>
  <c r="T6" i="2"/>
  <c r="R6" i="4" l="1"/>
  <c r="T6" i="4" s="1"/>
  <c r="B6" i="4"/>
  <c r="A7" i="4"/>
  <c r="T8" i="2"/>
  <c r="B8" i="2"/>
  <c r="A9" i="2"/>
  <c r="A6" i="5"/>
  <c r="R5" i="5"/>
  <c r="T5" i="5" s="1"/>
  <c r="B5" i="5"/>
  <c r="T7" i="3"/>
  <c r="A8" i="3"/>
  <c r="B8" i="3" s="1"/>
  <c r="A36" i="13"/>
  <c r="A54" i="13"/>
  <c r="P1" i="8"/>
  <c r="A4" i="7"/>
  <c r="U10" i="1"/>
  <c r="T4" i="5"/>
  <c r="A5" i="6"/>
  <c r="B4" i="6"/>
  <c r="T11" i="1"/>
  <c r="B11" i="1"/>
  <c r="A12" i="1"/>
  <c r="H2" i="11"/>
  <c r="J2" i="10"/>
  <c r="H2" i="12" l="1"/>
  <c r="J2" i="11"/>
  <c r="A13" i="1"/>
  <c r="T12" i="1"/>
  <c r="B12" i="1"/>
  <c r="A10" i="2"/>
  <c r="T9" i="2"/>
  <c r="B9" i="2"/>
  <c r="U11" i="1"/>
  <c r="A9" i="3"/>
  <c r="B9" i="3" s="1"/>
  <c r="T8" i="3"/>
  <c r="A5" i="7"/>
  <c r="R4" i="7"/>
  <c r="B4" i="7"/>
  <c r="R7" i="4"/>
  <c r="B7" i="4"/>
  <c r="A8" i="4"/>
  <c r="T4" i="6"/>
  <c r="A37" i="13"/>
  <c r="A55" i="13"/>
  <c r="P1" i="9"/>
  <c r="A4" i="8"/>
  <c r="A6" i="6"/>
  <c r="T5" i="6"/>
  <c r="B5" i="6"/>
  <c r="B6" i="5"/>
  <c r="A7" i="5"/>
  <c r="R6" i="5"/>
  <c r="T6" i="5" s="1"/>
  <c r="U12" i="1" l="1"/>
  <c r="A7" i="6"/>
  <c r="B6" i="6"/>
  <c r="A5" i="8"/>
  <c r="R4" i="8"/>
  <c r="B4" i="8"/>
  <c r="T7" i="4"/>
  <c r="A38" i="13"/>
  <c r="A56" i="13"/>
  <c r="P1" i="10"/>
  <c r="A4" i="9"/>
  <c r="T4" i="7"/>
  <c r="R10" i="2"/>
  <c r="T10" i="2" s="1"/>
  <c r="B10" i="2"/>
  <c r="A11" i="2"/>
  <c r="A8" i="5"/>
  <c r="T7" i="5"/>
  <c r="B7" i="5"/>
  <c r="A6" i="7"/>
  <c r="R5" i="7"/>
  <c r="T5" i="7" s="1"/>
  <c r="B5" i="7"/>
  <c r="B19" i="13"/>
  <c r="B20" i="13" s="1"/>
  <c r="J2" i="12"/>
  <c r="R8" i="4"/>
  <c r="T8" i="4" s="1"/>
  <c r="B8" i="4"/>
  <c r="A9" i="4"/>
  <c r="T9" i="3"/>
  <c r="A10" i="3"/>
  <c r="B10" i="3" s="1"/>
  <c r="R13" i="1"/>
  <c r="T13" i="1" s="1"/>
  <c r="B13" i="1"/>
  <c r="A14" i="1"/>
  <c r="U13" i="1" l="1"/>
  <c r="A5" i="9"/>
  <c r="R4" i="9"/>
  <c r="B4" i="9"/>
  <c r="R5" i="8"/>
  <c r="T5" i="8" s="1"/>
  <c r="B5" i="8"/>
  <c r="A6" i="8"/>
  <c r="P1" i="11"/>
  <c r="A39" i="13"/>
  <c r="A57" i="13"/>
  <c r="A4" i="10"/>
  <c r="T6" i="6"/>
  <c r="B8" i="5"/>
  <c r="A9" i="5"/>
  <c r="A11" i="3"/>
  <c r="R10" i="3"/>
  <c r="T10" i="3" s="1"/>
  <c r="A12" i="2"/>
  <c r="R11" i="2"/>
  <c r="T11" i="2" s="1"/>
  <c r="B11" i="2"/>
  <c r="A8" i="6"/>
  <c r="R7" i="6"/>
  <c r="T7" i="6" s="1"/>
  <c r="B7" i="6"/>
  <c r="A10" i="4"/>
  <c r="T9" i="4"/>
  <c r="B9" i="4"/>
  <c r="A15" i="1"/>
  <c r="B14" i="1"/>
  <c r="R14" i="1"/>
  <c r="T14" i="1" s="1"/>
  <c r="A7" i="7"/>
  <c r="R6" i="7"/>
  <c r="T6" i="7" s="1"/>
  <c r="B6" i="7"/>
  <c r="T4" i="8"/>
  <c r="U14" i="1" l="1"/>
  <c r="B10" i="4"/>
  <c r="A11" i="4"/>
  <c r="T12" i="2"/>
  <c r="B12" i="2"/>
  <c r="A13" i="2"/>
  <c r="B8" i="6"/>
  <c r="T8" i="6"/>
  <c r="A9" i="6"/>
  <c r="A7" i="8"/>
  <c r="R6" i="8"/>
  <c r="B6" i="8"/>
  <c r="A5" i="10"/>
  <c r="R4" i="10"/>
  <c r="B4" i="10"/>
  <c r="T4" i="9"/>
  <c r="T15" i="1"/>
  <c r="B15" i="1"/>
  <c r="A16" i="1"/>
  <c r="A10" i="5"/>
  <c r="T9" i="5"/>
  <c r="B9" i="5"/>
  <c r="A8" i="7"/>
  <c r="R7" i="7"/>
  <c r="T7" i="7" s="1"/>
  <c r="B7" i="7"/>
  <c r="A6" i="9"/>
  <c r="R5" i="9"/>
  <c r="T5" i="9" s="1"/>
  <c r="B5" i="9"/>
  <c r="R11" i="3"/>
  <c r="T11" i="3" s="1"/>
  <c r="B11" i="3"/>
  <c r="A12" i="3"/>
  <c r="T8" i="5"/>
  <c r="P1" i="12"/>
  <c r="A58" i="13"/>
  <c r="A40" i="13"/>
  <c r="A4" i="11"/>
  <c r="U15" i="1" l="1"/>
  <c r="R7" i="8"/>
  <c r="T7" i="8" s="1"/>
  <c r="B7" i="8"/>
  <c r="A8" i="8"/>
  <c r="B11" i="4"/>
  <c r="A12" i="4"/>
  <c r="T11" i="4"/>
  <c r="T6" i="8"/>
  <c r="A13" i="3"/>
  <c r="B12" i="3"/>
  <c r="T12" i="3"/>
  <c r="B8" i="7"/>
  <c r="R8" i="7"/>
  <c r="A9" i="7"/>
  <c r="A10" i="6"/>
  <c r="R9" i="6"/>
  <c r="T9" i="6" s="1"/>
  <c r="B9" i="6"/>
  <c r="T10" i="4"/>
  <c r="A5" i="11"/>
  <c r="R4" i="11"/>
  <c r="B4" i="11"/>
  <c r="T4" i="10"/>
  <c r="B10" i="5"/>
  <c r="A11" i="5"/>
  <c r="A6" i="10"/>
  <c r="R5" i="10"/>
  <c r="T5" i="10" s="1"/>
  <c r="B5" i="10"/>
  <c r="A14" i="2"/>
  <c r="T13" i="2"/>
  <c r="B13" i="2"/>
  <c r="A4" i="12"/>
  <c r="A59" i="13"/>
  <c r="A41" i="13"/>
  <c r="A7" i="9"/>
  <c r="R6" i="9"/>
  <c r="B6" i="9"/>
  <c r="B16" i="1"/>
  <c r="A17" i="1"/>
  <c r="T16" i="1"/>
  <c r="U16" i="1" l="1"/>
  <c r="T8" i="7"/>
  <c r="A5" i="12"/>
  <c r="B4" i="12"/>
  <c r="R4" i="12"/>
  <c r="A9" i="8"/>
  <c r="R8" i="8"/>
  <c r="T8" i="8" s="1"/>
  <c r="B8" i="8"/>
  <c r="T17" i="1"/>
  <c r="B17" i="1"/>
  <c r="A18" i="1"/>
  <c r="T10" i="5"/>
  <c r="R5" i="11"/>
  <c r="T5" i="11" s="1"/>
  <c r="B5" i="11"/>
  <c r="A6" i="11"/>
  <c r="T12" i="4"/>
  <c r="B12" i="4"/>
  <c r="A13" i="4"/>
  <c r="A12" i="5"/>
  <c r="T11" i="5"/>
  <c r="B11" i="5"/>
  <c r="A11" i="6"/>
  <c r="R10" i="6"/>
  <c r="T10" i="6" s="1"/>
  <c r="B10" i="6"/>
  <c r="T14" i="2"/>
  <c r="B14" i="2"/>
  <c r="A15" i="2"/>
  <c r="T13" i="3"/>
  <c r="B13" i="3"/>
  <c r="A14" i="3"/>
  <c r="A8" i="9"/>
  <c r="B7" i="9"/>
  <c r="R7" i="9"/>
  <c r="T7" i="9" s="1"/>
  <c r="T6" i="9"/>
  <c r="A7" i="10"/>
  <c r="R6" i="10"/>
  <c r="B6" i="10"/>
  <c r="T4" i="11"/>
  <c r="A10" i="7"/>
  <c r="B9" i="7"/>
  <c r="R9" i="7"/>
  <c r="T9" i="7" s="1"/>
  <c r="U17" i="1" l="1"/>
  <c r="A16" i="2"/>
  <c r="T15" i="2"/>
  <c r="B15" i="2"/>
  <c r="R9" i="8"/>
  <c r="T9" i="8" s="1"/>
  <c r="B9" i="8"/>
  <c r="A10" i="8"/>
  <c r="T4" i="12"/>
  <c r="B12" i="5"/>
  <c r="A13" i="5"/>
  <c r="R12" i="5"/>
  <c r="T12" i="5" s="1"/>
  <c r="B10" i="7"/>
  <c r="A11" i="7"/>
  <c r="R10" i="7"/>
  <c r="T10" i="7" s="1"/>
  <c r="A14" i="4"/>
  <c r="B13" i="4"/>
  <c r="T13" i="4"/>
  <c r="A19" i="1"/>
  <c r="B18" i="1"/>
  <c r="T18" i="1"/>
  <c r="A6" i="12"/>
  <c r="R5" i="12"/>
  <c r="T5" i="12" s="1"/>
  <c r="B5" i="12"/>
  <c r="T6" i="10"/>
  <c r="A9" i="9"/>
  <c r="R8" i="9"/>
  <c r="B8" i="9"/>
  <c r="A8" i="10"/>
  <c r="R7" i="10"/>
  <c r="T7" i="10" s="1"/>
  <c r="B7" i="10"/>
  <c r="A15" i="3"/>
  <c r="B14" i="3"/>
  <c r="T14" i="3"/>
  <c r="A12" i="6"/>
  <c r="T11" i="6"/>
  <c r="B11" i="6"/>
  <c r="A7" i="11"/>
  <c r="R6" i="11"/>
  <c r="B6" i="11"/>
  <c r="U18" i="1" l="1"/>
  <c r="R11" i="7"/>
  <c r="T11" i="7" s="1"/>
  <c r="B11" i="7"/>
  <c r="A12" i="7"/>
  <c r="A11" i="8"/>
  <c r="R10" i="8"/>
  <c r="B10" i="8"/>
  <c r="A10" i="9"/>
  <c r="R9" i="9"/>
  <c r="T9" i="9" s="1"/>
  <c r="B9" i="9"/>
  <c r="T8" i="9"/>
  <c r="A20" i="1"/>
  <c r="T19" i="1"/>
  <c r="U19" i="1" s="1"/>
  <c r="B19" i="1"/>
  <c r="T15" i="3"/>
  <c r="B15" i="3"/>
  <c r="A16" i="3"/>
  <c r="T6" i="11"/>
  <c r="A14" i="5"/>
  <c r="R13" i="5"/>
  <c r="T13" i="5" s="1"/>
  <c r="B13" i="5"/>
  <c r="A13" i="6"/>
  <c r="T12" i="6"/>
  <c r="B12" i="6"/>
  <c r="A8" i="11"/>
  <c r="R7" i="11"/>
  <c r="T7" i="11" s="1"/>
  <c r="B7" i="11"/>
  <c r="R14" i="4"/>
  <c r="T14" i="4" s="1"/>
  <c r="B14" i="4"/>
  <c r="A15" i="4"/>
  <c r="A9" i="10"/>
  <c r="R8" i="10"/>
  <c r="T8" i="10" s="1"/>
  <c r="B8" i="10"/>
  <c r="T16" i="2"/>
  <c r="B16" i="2"/>
  <c r="A17" i="2"/>
  <c r="A7" i="12"/>
  <c r="B6" i="12"/>
  <c r="R6" i="12"/>
  <c r="T6" i="12" s="1"/>
  <c r="A8" i="12" l="1"/>
  <c r="R7" i="12"/>
  <c r="T7" i="12" s="1"/>
  <c r="B7" i="12"/>
  <c r="B14" i="5"/>
  <c r="A15" i="5"/>
  <c r="T14" i="5"/>
  <c r="A21" i="1"/>
  <c r="B20" i="1"/>
  <c r="R20" i="1"/>
  <c r="T20" i="1" s="1"/>
  <c r="U20" i="1" s="1"/>
  <c r="T10" i="8"/>
  <c r="R11" i="8"/>
  <c r="T11" i="8" s="1"/>
  <c r="B11" i="8"/>
  <c r="A12" i="8"/>
  <c r="A9" i="11"/>
  <c r="R8" i="11"/>
  <c r="T8" i="11" s="1"/>
  <c r="B8" i="11"/>
  <c r="A17" i="3"/>
  <c r="B16" i="3"/>
  <c r="T16" i="3"/>
  <c r="A10" i="10"/>
  <c r="R9" i="10"/>
  <c r="T9" i="10" s="1"/>
  <c r="B9" i="10"/>
  <c r="A16" i="4"/>
  <c r="R15" i="4"/>
  <c r="T15" i="4" s="1"/>
  <c r="B15" i="4"/>
  <c r="A14" i="6"/>
  <c r="T13" i="6"/>
  <c r="B13" i="6"/>
  <c r="B12" i="7"/>
  <c r="R12" i="7"/>
  <c r="T12" i="7" s="1"/>
  <c r="A13" i="7"/>
  <c r="A18" i="2"/>
  <c r="R17" i="2"/>
  <c r="T17" i="2" s="1"/>
  <c r="B17" i="2"/>
  <c r="A11" i="9"/>
  <c r="R10" i="9"/>
  <c r="B10" i="9"/>
  <c r="A15" i="6" l="1"/>
  <c r="T14" i="6"/>
  <c r="B14" i="6"/>
  <c r="R18" i="2"/>
  <c r="T18" i="2" s="1"/>
  <c r="B18" i="2"/>
  <c r="A19" i="2"/>
  <c r="R21" i="1"/>
  <c r="T21" i="1" s="1"/>
  <c r="U21" i="1" s="1"/>
  <c r="B21" i="1"/>
  <c r="A22" i="1"/>
  <c r="A14" i="7"/>
  <c r="R13" i="7"/>
  <c r="T13" i="7" s="1"/>
  <c r="B13" i="7"/>
  <c r="R17" i="3"/>
  <c r="T17" i="3" s="1"/>
  <c r="B17" i="3"/>
  <c r="A18" i="3"/>
  <c r="A16" i="5"/>
  <c r="T15" i="5"/>
  <c r="B15" i="5"/>
  <c r="T16" i="4"/>
  <c r="B16" i="4"/>
  <c r="A17" i="4"/>
  <c r="T10" i="9"/>
  <c r="A10" i="11"/>
  <c r="R9" i="11"/>
  <c r="T9" i="11" s="1"/>
  <c r="B9" i="11"/>
  <c r="B11" i="9"/>
  <c r="A12" i="9"/>
  <c r="R11" i="9"/>
  <c r="T11" i="9" s="1"/>
  <c r="A11" i="10"/>
  <c r="R10" i="10"/>
  <c r="B10" i="10"/>
  <c r="A13" i="8"/>
  <c r="R12" i="8"/>
  <c r="T12" i="8" s="1"/>
  <c r="B12" i="8"/>
  <c r="A9" i="12"/>
  <c r="B8" i="12"/>
  <c r="R8" i="12"/>
  <c r="A14" i="8" l="1"/>
  <c r="R13" i="8"/>
  <c r="T13" i="8" s="1"/>
  <c r="B13" i="8"/>
  <c r="B14" i="7"/>
  <c r="A15" i="7"/>
  <c r="R14" i="7"/>
  <c r="T14" i="7" s="1"/>
  <c r="A23" i="1"/>
  <c r="B22" i="1"/>
  <c r="T22" i="1"/>
  <c r="U22" i="1" s="1"/>
  <c r="A16" i="6"/>
  <c r="T15" i="6"/>
  <c r="B15" i="6"/>
  <c r="A18" i="4"/>
  <c r="T17" i="4"/>
  <c r="B17" i="4"/>
  <c r="T10" i="10"/>
  <c r="A11" i="11"/>
  <c r="R10" i="11"/>
  <c r="B10" i="11"/>
  <c r="B16" i="5"/>
  <c r="A17" i="5"/>
  <c r="T16" i="5"/>
  <c r="A20" i="2"/>
  <c r="T19" i="2"/>
  <c r="B19" i="2"/>
  <c r="T8" i="12"/>
  <c r="A12" i="10"/>
  <c r="R11" i="10"/>
  <c r="T11" i="10" s="1"/>
  <c r="B11" i="10"/>
  <c r="A10" i="12"/>
  <c r="R9" i="12"/>
  <c r="T9" i="12" s="1"/>
  <c r="B9" i="12"/>
  <c r="A13" i="9"/>
  <c r="R12" i="9"/>
  <c r="T12" i="9" s="1"/>
  <c r="B12" i="9"/>
  <c r="A19" i="3"/>
  <c r="B18" i="3"/>
  <c r="R18" i="3"/>
  <c r="T18" i="3" s="1"/>
  <c r="A24" i="1" l="1"/>
  <c r="T23" i="1"/>
  <c r="U23" i="1" s="1"/>
  <c r="B23" i="1"/>
  <c r="A18" i="5"/>
  <c r="R17" i="5"/>
  <c r="T17" i="5" s="1"/>
  <c r="B17" i="5"/>
  <c r="T18" i="4"/>
  <c r="B18" i="4"/>
  <c r="A19" i="4"/>
  <c r="R15" i="7"/>
  <c r="T15" i="7" s="1"/>
  <c r="B15" i="7"/>
  <c r="A16" i="7"/>
  <c r="T10" i="11"/>
  <c r="A13" i="10"/>
  <c r="R12" i="10"/>
  <c r="T12" i="10" s="1"/>
  <c r="B12" i="10"/>
  <c r="B13" i="9"/>
  <c r="A14" i="9"/>
  <c r="R13" i="9"/>
  <c r="T13" i="9" s="1"/>
  <c r="A17" i="6"/>
  <c r="R16" i="6"/>
  <c r="T16" i="6" s="1"/>
  <c r="B16" i="6"/>
  <c r="T19" i="3"/>
  <c r="B19" i="3"/>
  <c r="A20" i="3"/>
  <c r="A12" i="11"/>
  <c r="R11" i="11"/>
  <c r="T11" i="11" s="1"/>
  <c r="B11" i="11"/>
  <c r="A11" i="12"/>
  <c r="B10" i="12"/>
  <c r="R10" i="12"/>
  <c r="T20" i="2"/>
  <c r="B20" i="2"/>
  <c r="A21" i="2"/>
  <c r="A15" i="8"/>
  <c r="B14" i="8"/>
  <c r="R14" i="8"/>
  <c r="T14" i="8" s="1"/>
  <c r="A18" i="6" l="1"/>
  <c r="R17" i="6"/>
  <c r="T17" i="6" s="1"/>
  <c r="B17" i="6"/>
  <c r="A16" i="8"/>
  <c r="R15" i="8"/>
  <c r="T15" i="8" s="1"/>
  <c r="B15" i="8"/>
  <c r="B16" i="7"/>
  <c r="A17" i="7"/>
  <c r="R16" i="7"/>
  <c r="T16" i="7" s="1"/>
  <c r="B18" i="5"/>
  <c r="A19" i="5"/>
  <c r="T18" i="5"/>
  <c r="A22" i="2"/>
  <c r="T21" i="2"/>
  <c r="B21" i="2"/>
  <c r="R12" i="11"/>
  <c r="T12" i="11" s="1"/>
  <c r="A13" i="11"/>
  <c r="B12" i="11"/>
  <c r="A15" i="9"/>
  <c r="R14" i="9"/>
  <c r="T14" i="9" s="1"/>
  <c r="B14" i="9"/>
  <c r="A14" i="10"/>
  <c r="R13" i="10"/>
  <c r="T13" i="10" s="1"/>
  <c r="B13" i="10"/>
  <c r="A12" i="12"/>
  <c r="R11" i="12"/>
  <c r="T11" i="12" s="1"/>
  <c r="B11" i="12"/>
  <c r="A20" i="4"/>
  <c r="B19" i="4"/>
  <c r="T19" i="4"/>
  <c r="A25" i="1"/>
  <c r="B24" i="1"/>
  <c r="T24" i="1"/>
  <c r="U24" i="1" s="1"/>
  <c r="A21" i="3"/>
  <c r="B20" i="3"/>
  <c r="T20" i="3"/>
  <c r="T10" i="12"/>
  <c r="T22" i="2" l="1"/>
  <c r="B22" i="2"/>
  <c r="A23" i="2"/>
  <c r="A17" i="8"/>
  <c r="R16" i="8"/>
  <c r="T16" i="8" s="1"/>
  <c r="B16" i="8"/>
  <c r="B15" i="9"/>
  <c r="A16" i="9"/>
  <c r="R15" i="9"/>
  <c r="T15" i="9" s="1"/>
  <c r="A20" i="5"/>
  <c r="R19" i="5"/>
  <c r="T19" i="5" s="1"/>
  <c r="B19" i="5"/>
  <c r="A15" i="10"/>
  <c r="R14" i="10"/>
  <c r="T14" i="10" s="1"/>
  <c r="B14" i="10"/>
  <c r="T20" i="4"/>
  <c r="B20" i="4"/>
  <c r="A21" i="4"/>
  <c r="T21" i="3"/>
  <c r="B21" i="3"/>
  <c r="A22" i="3"/>
  <c r="A13" i="12"/>
  <c r="B12" i="12"/>
  <c r="R12" i="12"/>
  <c r="T12" i="12" s="1"/>
  <c r="R13" i="11"/>
  <c r="T13" i="11" s="1"/>
  <c r="B13" i="11"/>
  <c r="A14" i="11"/>
  <c r="A19" i="6"/>
  <c r="R18" i="6"/>
  <c r="T18" i="6" s="1"/>
  <c r="B18" i="6"/>
  <c r="T25" i="1"/>
  <c r="U25" i="1" s="1"/>
  <c r="B25" i="1"/>
  <c r="A26" i="1"/>
  <c r="A18" i="7"/>
  <c r="R17" i="7"/>
  <c r="T17" i="7" s="1"/>
  <c r="B17" i="7"/>
  <c r="A14" i="12" l="1"/>
  <c r="R13" i="12"/>
  <c r="T13" i="12" s="1"/>
  <c r="B13" i="12"/>
  <c r="A23" i="3"/>
  <c r="B22" i="3"/>
  <c r="R22" i="3"/>
  <c r="T22" i="3" s="1"/>
  <c r="A16" i="10"/>
  <c r="R15" i="10"/>
  <c r="T15" i="10" s="1"/>
  <c r="B15" i="10"/>
  <c r="A18" i="8"/>
  <c r="R17" i="8"/>
  <c r="T17" i="8" s="1"/>
  <c r="B17" i="8"/>
  <c r="A20" i="6"/>
  <c r="R19" i="6"/>
  <c r="T19" i="6" s="1"/>
  <c r="B19" i="6"/>
  <c r="A24" i="2"/>
  <c r="T23" i="2"/>
  <c r="B23" i="2"/>
  <c r="R14" i="11"/>
  <c r="T14" i="11" s="1"/>
  <c r="A15" i="11"/>
  <c r="B14" i="11"/>
  <c r="B18" i="7"/>
  <c r="A19" i="7"/>
  <c r="R18" i="7"/>
  <c r="T18" i="7" s="1"/>
  <c r="A22" i="4"/>
  <c r="B21" i="4"/>
  <c r="R21" i="4"/>
  <c r="T21" i="4" s="1"/>
  <c r="B20" i="5"/>
  <c r="A21" i="5"/>
  <c r="R20" i="5"/>
  <c r="T20" i="5" s="1"/>
  <c r="A27" i="1"/>
  <c r="B26" i="1"/>
  <c r="T26" i="1"/>
  <c r="U26" i="1" s="1"/>
  <c r="A17" i="9"/>
  <c r="R16" i="9"/>
  <c r="T16" i="9" s="1"/>
  <c r="B16" i="9"/>
  <c r="A28" i="1" l="1"/>
  <c r="R27" i="1"/>
  <c r="T27" i="1" s="1"/>
  <c r="U27" i="1" s="1"/>
  <c r="B27" i="1"/>
  <c r="A22" i="5"/>
  <c r="T21" i="5"/>
  <c r="B21" i="5"/>
  <c r="B20" i="6"/>
  <c r="A21" i="6"/>
  <c r="R20" i="6"/>
  <c r="T20" i="6" s="1"/>
  <c r="A20" i="7"/>
  <c r="R19" i="7"/>
  <c r="T19" i="7" s="1"/>
  <c r="B19" i="7"/>
  <c r="A16" i="11"/>
  <c r="R15" i="11"/>
  <c r="T15" i="11" s="1"/>
  <c r="B15" i="11"/>
  <c r="T23" i="3"/>
  <c r="B23" i="3"/>
  <c r="A24" i="3"/>
  <c r="A19" i="8"/>
  <c r="R18" i="8"/>
  <c r="T18" i="8" s="1"/>
  <c r="B18" i="8"/>
  <c r="B17" i="9"/>
  <c r="A18" i="9"/>
  <c r="R17" i="9"/>
  <c r="T17" i="9" s="1"/>
  <c r="A15" i="12"/>
  <c r="B14" i="12"/>
  <c r="R14" i="12"/>
  <c r="T14" i="12" s="1"/>
  <c r="A17" i="10"/>
  <c r="R16" i="10"/>
  <c r="T16" i="10" s="1"/>
  <c r="B16" i="10"/>
  <c r="R22" i="4"/>
  <c r="T22" i="4" s="1"/>
  <c r="B22" i="4"/>
  <c r="A23" i="4"/>
  <c r="R24" i="2"/>
  <c r="T24" i="2" s="1"/>
  <c r="B24" i="2"/>
  <c r="A25" i="2"/>
  <c r="R16" i="11" l="1"/>
  <c r="T16" i="11" s="1"/>
  <c r="A17" i="11"/>
  <c r="B16" i="11"/>
  <c r="B22" i="5"/>
  <c r="A23" i="5"/>
  <c r="T22" i="5"/>
  <c r="A19" i="9"/>
  <c r="R18" i="9"/>
  <c r="T18" i="9" s="1"/>
  <c r="B18" i="9"/>
  <c r="A20" i="8"/>
  <c r="R19" i="8"/>
  <c r="T19" i="8" s="1"/>
  <c r="B19" i="8"/>
  <c r="A26" i="2"/>
  <c r="R25" i="2"/>
  <c r="T25" i="2" s="1"/>
  <c r="B25" i="2"/>
  <c r="A18" i="10"/>
  <c r="R17" i="10"/>
  <c r="T17" i="10" s="1"/>
  <c r="B17" i="10"/>
  <c r="A25" i="3"/>
  <c r="B24" i="3"/>
  <c r="R24" i="3"/>
  <c r="T24" i="3" s="1"/>
  <c r="B20" i="7"/>
  <c r="A21" i="7"/>
  <c r="R20" i="7"/>
  <c r="T20" i="7" s="1"/>
  <c r="A24" i="4"/>
  <c r="B23" i="4"/>
  <c r="T23" i="4"/>
  <c r="A16" i="12"/>
  <c r="R15" i="12"/>
  <c r="T15" i="12" s="1"/>
  <c r="B15" i="12"/>
  <c r="A29" i="1"/>
  <c r="B28" i="1"/>
  <c r="R28" i="1"/>
  <c r="T28" i="1" s="1"/>
  <c r="U28" i="1" s="1"/>
  <c r="A22" i="6"/>
  <c r="R21" i="6"/>
  <c r="T21" i="6" s="1"/>
  <c r="B21" i="6"/>
  <c r="A30" i="1" l="1"/>
  <c r="T29" i="1"/>
  <c r="U29" i="1" s="1"/>
  <c r="B29" i="1"/>
  <c r="T26" i="2"/>
  <c r="B26" i="2"/>
  <c r="A27" i="2"/>
  <c r="A24" i="5"/>
  <c r="T23" i="5"/>
  <c r="B23" i="5"/>
  <c r="B21" i="7"/>
  <c r="A22" i="7"/>
  <c r="R21" i="7"/>
  <c r="T21" i="7" s="1"/>
  <c r="B19" i="9"/>
  <c r="A20" i="9"/>
  <c r="R19" i="9"/>
  <c r="T19" i="9" s="1"/>
  <c r="R25" i="3"/>
  <c r="T25" i="3" s="1"/>
  <c r="B25" i="3"/>
  <c r="A26" i="3"/>
  <c r="B20" i="8"/>
  <c r="A21" i="8"/>
  <c r="R20" i="8"/>
  <c r="T20" i="8" s="1"/>
  <c r="A18" i="11"/>
  <c r="R17" i="11"/>
  <c r="T17" i="11" s="1"/>
  <c r="B17" i="11"/>
  <c r="A17" i="12"/>
  <c r="B16" i="12"/>
  <c r="R16" i="12"/>
  <c r="T16" i="12" s="1"/>
  <c r="B22" i="6"/>
  <c r="R22" i="6"/>
  <c r="T22" i="6" s="1"/>
  <c r="A23" i="6"/>
  <c r="T24" i="4"/>
  <c r="B24" i="4"/>
  <c r="A25" i="4"/>
  <c r="A19" i="10"/>
  <c r="R18" i="10"/>
  <c r="T18" i="10" s="1"/>
  <c r="B18" i="10"/>
  <c r="B24" i="5" l="1"/>
  <c r="A25" i="5"/>
  <c r="T24" i="5"/>
  <c r="A21" i="9"/>
  <c r="R20" i="9"/>
  <c r="T20" i="9" s="1"/>
  <c r="B20" i="9"/>
  <c r="A22" i="8"/>
  <c r="R21" i="8"/>
  <c r="T21" i="8" s="1"/>
  <c r="B21" i="8"/>
  <c r="A24" i="6"/>
  <c r="R23" i="6"/>
  <c r="T23" i="6" s="1"/>
  <c r="B23" i="6"/>
  <c r="B22" i="7"/>
  <c r="A23" i="7"/>
  <c r="R22" i="7"/>
  <c r="T22" i="7" s="1"/>
  <c r="R18" i="11"/>
  <c r="T18" i="11" s="1"/>
  <c r="A19" i="11"/>
  <c r="B18" i="11"/>
  <c r="A27" i="3"/>
  <c r="B26" i="3"/>
  <c r="T26" i="3"/>
  <c r="A26" i="4"/>
  <c r="B25" i="4"/>
  <c r="T25" i="4"/>
  <c r="A18" i="12"/>
  <c r="B17" i="12"/>
  <c r="R17" i="12"/>
  <c r="T17" i="12" s="1"/>
  <c r="A31" i="1"/>
  <c r="B30" i="1"/>
  <c r="T30" i="1"/>
  <c r="U30" i="1" s="1"/>
  <c r="B27" i="2"/>
  <c r="A28" i="2"/>
  <c r="T27" i="2"/>
  <c r="A20" i="10"/>
  <c r="R19" i="10"/>
  <c r="T19" i="10" s="1"/>
  <c r="B19" i="10"/>
  <c r="B22" i="8" l="1"/>
  <c r="A23" i="8"/>
  <c r="R22" i="8"/>
  <c r="T22" i="8" s="1"/>
  <c r="B21" i="9"/>
  <c r="A22" i="9"/>
  <c r="R21" i="9"/>
  <c r="T21" i="9" s="1"/>
  <c r="A24" i="7"/>
  <c r="R23" i="7"/>
  <c r="T23" i="7" s="1"/>
  <c r="B23" i="7"/>
  <c r="A32" i="1"/>
  <c r="T31" i="1"/>
  <c r="U31" i="1" s="1"/>
  <c r="B31" i="1"/>
  <c r="B24" i="6"/>
  <c r="A25" i="6"/>
  <c r="R24" i="6"/>
  <c r="T24" i="6" s="1"/>
  <c r="A26" i="5"/>
  <c r="T25" i="5"/>
  <c r="B25" i="5"/>
  <c r="T26" i="4"/>
  <c r="B26" i="4"/>
  <c r="A27" i="4"/>
  <c r="T27" i="3"/>
  <c r="B27" i="3"/>
  <c r="A28" i="3"/>
  <c r="B20" i="10"/>
  <c r="A21" i="10"/>
  <c r="R20" i="10"/>
  <c r="T20" i="10" s="1"/>
  <c r="A19" i="12"/>
  <c r="B18" i="12"/>
  <c r="R18" i="12"/>
  <c r="T18" i="12" s="1"/>
  <c r="A20" i="11"/>
  <c r="R19" i="11"/>
  <c r="T19" i="11" s="1"/>
  <c r="B19" i="11"/>
  <c r="B28" i="2"/>
  <c r="A29" i="2"/>
  <c r="T28" i="2"/>
  <c r="R20" i="11" l="1"/>
  <c r="T20" i="11" s="1"/>
  <c r="A21" i="11"/>
  <c r="B20" i="11"/>
  <c r="A28" i="4"/>
  <c r="B27" i="4"/>
  <c r="T27" i="4"/>
  <c r="A23" i="9"/>
  <c r="R22" i="9"/>
  <c r="T22" i="9" s="1"/>
  <c r="B22" i="9"/>
  <c r="B24" i="7"/>
  <c r="R24" i="7"/>
  <c r="T24" i="7" s="1"/>
  <c r="A25" i="7"/>
  <c r="A26" i="6"/>
  <c r="R25" i="6"/>
  <c r="T25" i="6" s="1"/>
  <c r="B25" i="6"/>
  <c r="T29" i="2"/>
  <c r="B29" i="2"/>
  <c r="A30" i="2"/>
  <c r="A22" i="10"/>
  <c r="R21" i="10"/>
  <c r="T21" i="10" s="1"/>
  <c r="B21" i="10"/>
  <c r="A33" i="1"/>
  <c r="B32" i="1"/>
  <c r="T32" i="1"/>
  <c r="U32" i="1" s="1"/>
  <c r="A24" i="8"/>
  <c r="R23" i="8"/>
  <c r="T23" i="8" s="1"/>
  <c r="B23" i="8"/>
  <c r="A20" i="12"/>
  <c r="R19" i="12"/>
  <c r="T19" i="12" s="1"/>
  <c r="B19" i="12"/>
  <c r="A29" i="3"/>
  <c r="B28" i="3"/>
  <c r="T28" i="3"/>
  <c r="B26" i="5"/>
  <c r="A27" i="5"/>
  <c r="R26" i="5"/>
  <c r="T26" i="5" s="1"/>
  <c r="A34" i="1" l="1"/>
  <c r="T33" i="1"/>
  <c r="U33" i="1" s="1"/>
  <c r="B33" i="1"/>
  <c r="A21" i="12"/>
  <c r="B20" i="12"/>
  <c r="R20" i="12"/>
  <c r="T20" i="12" s="1"/>
  <c r="A26" i="7"/>
  <c r="R25" i="7"/>
  <c r="T25" i="7" s="1"/>
  <c r="B25" i="7"/>
  <c r="R28" i="4"/>
  <c r="T28" i="4" s="1"/>
  <c r="B28" i="4"/>
  <c r="A29" i="4"/>
  <c r="T29" i="3"/>
  <c r="B29" i="3"/>
  <c r="A30" i="3"/>
  <c r="B23" i="9"/>
  <c r="A24" i="9"/>
  <c r="R23" i="9"/>
  <c r="T23" i="9" s="1"/>
  <c r="T30" i="2"/>
  <c r="A31" i="2"/>
  <c r="B30" i="2"/>
  <c r="R21" i="11"/>
  <c r="T21" i="11" s="1"/>
  <c r="B21" i="11"/>
  <c r="A22" i="11"/>
  <c r="B26" i="6"/>
  <c r="A27" i="6"/>
  <c r="R26" i="6"/>
  <c r="T26" i="6" s="1"/>
  <c r="A28" i="5"/>
  <c r="R27" i="5"/>
  <c r="T27" i="5" s="1"/>
  <c r="B27" i="5"/>
  <c r="B22" i="10"/>
  <c r="R22" i="10"/>
  <c r="T22" i="10" s="1"/>
  <c r="A23" i="10"/>
  <c r="B24" i="8"/>
  <c r="A25" i="8"/>
  <c r="R24" i="8"/>
  <c r="T24" i="8" s="1"/>
  <c r="T28" i="5" l="1"/>
  <c r="B28" i="5"/>
  <c r="A29" i="5"/>
  <c r="R31" i="2"/>
  <c r="B31" i="2"/>
  <c r="A30" i="4"/>
  <c r="B29" i="4"/>
  <c r="R29" i="4"/>
  <c r="T29" i="4" s="1"/>
  <c r="A22" i="12"/>
  <c r="R21" i="12"/>
  <c r="T21" i="12" s="1"/>
  <c r="B21" i="12"/>
  <c r="B26" i="7"/>
  <c r="A27" i="7"/>
  <c r="R26" i="7"/>
  <c r="T26" i="7" s="1"/>
  <c r="A26" i="8"/>
  <c r="R25" i="8"/>
  <c r="T25" i="8" s="1"/>
  <c r="B25" i="8"/>
  <c r="A31" i="3"/>
  <c r="B30" i="3"/>
  <c r="T30" i="3"/>
  <c r="A28" i="6"/>
  <c r="R27" i="6"/>
  <c r="T27" i="6" s="1"/>
  <c r="B27" i="6"/>
  <c r="R23" i="10"/>
  <c r="T23" i="10" s="1"/>
  <c r="A24" i="10"/>
  <c r="B23" i="10"/>
  <c r="B34" i="1"/>
  <c r="R34" i="1"/>
  <c r="A25" i="9"/>
  <c r="R24" i="9"/>
  <c r="T24" i="9" s="1"/>
  <c r="B24" i="9"/>
  <c r="R22" i="11"/>
  <c r="T22" i="11" s="1"/>
  <c r="A23" i="11"/>
  <c r="B22" i="11"/>
  <c r="T30" i="4" l="1"/>
  <c r="B30" i="4"/>
  <c r="A31" i="4"/>
  <c r="B26" i="8"/>
  <c r="A27" i="8"/>
  <c r="R26" i="8"/>
  <c r="T26" i="8" s="1"/>
  <c r="R27" i="7"/>
  <c r="T27" i="7" s="1"/>
  <c r="B27" i="7"/>
  <c r="A28" i="7"/>
  <c r="T31" i="2"/>
  <c r="T32" i="2" s="1"/>
  <c r="R32" i="2"/>
  <c r="B31" i="13" s="1"/>
  <c r="B29" i="5"/>
  <c r="A30" i="5"/>
  <c r="T29" i="5"/>
  <c r="T34" i="1"/>
  <c r="R35" i="1"/>
  <c r="R31" i="3"/>
  <c r="T31" i="3" s="1"/>
  <c r="B31" i="3"/>
  <c r="A32" i="3"/>
  <c r="A24" i="11"/>
  <c r="R23" i="11"/>
  <c r="T23" i="11" s="1"/>
  <c r="B23" i="11"/>
  <c r="B24" i="10"/>
  <c r="A25" i="10"/>
  <c r="R24" i="10"/>
  <c r="T24" i="10" s="1"/>
  <c r="A23" i="12"/>
  <c r="B22" i="12"/>
  <c r="R22" i="12"/>
  <c r="T22" i="12" s="1"/>
  <c r="B25" i="9"/>
  <c r="A26" i="9"/>
  <c r="R25" i="9"/>
  <c r="T25" i="9" s="1"/>
  <c r="B28" i="6"/>
  <c r="A29" i="6"/>
  <c r="R28" i="6"/>
  <c r="T28" i="6" s="1"/>
  <c r="R25" i="10" l="1"/>
  <c r="T25" i="10" s="1"/>
  <c r="B25" i="10"/>
  <c r="A26" i="10"/>
  <c r="A31" i="5"/>
  <c r="T30" i="5"/>
  <c r="B30" i="5"/>
  <c r="A28" i="8"/>
  <c r="R27" i="8"/>
  <c r="T27" i="8" s="1"/>
  <c r="B27" i="8"/>
  <c r="B30" i="13"/>
  <c r="R24" i="11"/>
  <c r="T24" i="11" s="1"/>
  <c r="A25" i="11"/>
  <c r="B24" i="11"/>
  <c r="A27" i="9"/>
  <c r="R26" i="9"/>
  <c r="T26" i="9" s="1"/>
  <c r="B26" i="9"/>
  <c r="A33" i="3"/>
  <c r="B32" i="3"/>
  <c r="R32" i="3"/>
  <c r="T32" i="3" s="1"/>
  <c r="A32" i="4"/>
  <c r="B31" i="4"/>
  <c r="T31" i="4"/>
  <c r="T35" i="1"/>
  <c r="U34" i="1"/>
  <c r="U35" i="1" s="1"/>
  <c r="U2" i="2" s="1"/>
  <c r="U4" i="2" s="1"/>
  <c r="U5" i="2" s="1"/>
  <c r="U6" i="2" s="1"/>
  <c r="U7" i="2" s="1"/>
  <c r="U8" i="2" s="1"/>
  <c r="U9" i="2" s="1"/>
  <c r="U10" i="2" s="1"/>
  <c r="U11" i="2" s="1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2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A24" i="12"/>
  <c r="R23" i="12"/>
  <c r="T23" i="12" s="1"/>
  <c r="B23" i="12"/>
  <c r="A30" i="6"/>
  <c r="R29" i="6"/>
  <c r="T29" i="6" s="1"/>
  <c r="B29" i="6"/>
  <c r="B28" i="7"/>
  <c r="A29" i="7"/>
  <c r="R28" i="7"/>
  <c r="T28" i="7" s="1"/>
  <c r="U32" i="3" l="1"/>
  <c r="B30" i="6"/>
  <c r="A31" i="6"/>
  <c r="R30" i="6"/>
  <c r="T30" i="6" s="1"/>
  <c r="T32" i="4"/>
  <c r="B32" i="4"/>
  <c r="A33" i="4"/>
  <c r="A26" i="11"/>
  <c r="R25" i="11"/>
  <c r="T25" i="11" s="1"/>
  <c r="B25" i="11"/>
  <c r="B28" i="8"/>
  <c r="A29" i="8"/>
  <c r="R28" i="8"/>
  <c r="T28" i="8" s="1"/>
  <c r="A25" i="12"/>
  <c r="B24" i="12"/>
  <c r="R24" i="12"/>
  <c r="T24" i="12" s="1"/>
  <c r="T33" i="3"/>
  <c r="B33" i="3"/>
  <c r="A34" i="3"/>
  <c r="B31" i="5"/>
  <c r="A32" i="5"/>
  <c r="T31" i="5"/>
  <c r="B26" i="10"/>
  <c r="A27" i="10"/>
  <c r="R26" i="10"/>
  <c r="T26" i="10" s="1"/>
  <c r="A30" i="7"/>
  <c r="R29" i="7"/>
  <c r="T29" i="7" s="1"/>
  <c r="B29" i="7"/>
  <c r="B27" i="9"/>
  <c r="A28" i="9"/>
  <c r="R27" i="9"/>
  <c r="T27" i="9" s="1"/>
  <c r="U33" i="3" l="1"/>
  <c r="A29" i="9"/>
  <c r="R28" i="9"/>
  <c r="T28" i="9" s="1"/>
  <c r="B28" i="9"/>
  <c r="R26" i="11"/>
  <c r="T26" i="11" s="1"/>
  <c r="B26" i="11"/>
  <c r="A27" i="11"/>
  <c r="B33" i="4"/>
  <c r="A26" i="12"/>
  <c r="B25" i="12"/>
  <c r="R25" i="12"/>
  <c r="T25" i="12" s="1"/>
  <c r="T32" i="5"/>
  <c r="A33" i="5"/>
  <c r="B32" i="5"/>
  <c r="A30" i="8"/>
  <c r="R29" i="8"/>
  <c r="T29" i="8" s="1"/>
  <c r="B29" i="8"/>
  <c r="B30" i="7"/>
  <c r="A31" i="7"/>
  <c r="R30" i="7"/>
  <c r="T30" i="7" s="1"/>
  <c r="B34" i="3"/>
  <c r="A32" i="6"/>
  <c r="R31" i="6"/>
  <c r="T31" i="6" s="1"/>
  <c r="B31" i="6"/>
  <c r="R27" i="10"/>
  <c r="T27" i="10" s="1"/>
  <c r="B27" i="10"/>
  <c r="A28" i="10"/>
  <c r="T34" i="3" l="1"/>
  <c r="R35" i="3"/>
  <c r="A28" i="11"/>
  <c r="R27" i="11"/>
  <c r="T27" i="11" s="1"/>
  <c r="B27" i="11"/>
  <c r="B33" i="5"/>
  <c r="A34" i="5"/>
  <c r="R33" i="5"/>
  <c r="T33" i="5" s="1"/>
  <c r="B32" i="6"/>
  <c r="A33" i="6"/>
  <c r="R32" i="6"/>
  <c r="T32" i="6" s="1"/>
  <c r="B30" i="8"/>
  <c r="A31" i="8"/>
  <c r="R30" i="8"/>
  <c r="T30" i="8" s="1"/>
  <c r="B28" i="10"/>
  <c r="A29" i="10"/>
  <c r="R28" i="10"/>
  <c r="T28" i="10" s="1"/>
  <c r="A32" i="7"/>
  <c r="R31" i="7"/>
  <c r="T31" i="7" s="1"/>
  <c r="B31" i="7"/>
  <c r="A27" i="12"/>
  <c r="B26" i="12"/>
  <c r="R26" i="12"/>
  <c r="T26" i="12" s="1"/>
  <c r="B29" i="9"/>
  <c r="A30" i="9"/>
  <c r="R29" i="9"/>
  <c r="T29" i="9" s="1"/>
  <c r="T33" i="4"/>
  <c r="T34" i="4" s="1"/>
  <c r="R34" i="4"/>
  <c r="B33" i="13" s="1"/>
  <c r="R34" i="5" l="1"/>
  <c r="B34" i="5"/>
  <c r="A32" i="8"/>
  <c r="B31" i="8"/>
  <c r="R31" i="8"/>
  <c r="T31" i="8" s="1"/>
  <c r="R28" i="11"/>
  <c r="T28" i="11" s="1"/>
  <c r="B28" i="11"/>
  <c r="A29" i="11"/>
  <c r="R29" i="10"/>
  <c r="T29" i="10" s="1"/>
  <c r="B29" i="10"/>
  <c r="A30" i="10"/>
  <c r="A28" i="12"/>
  <c r="R27" i="12"/>
  <c r="T27" i="12" s="1"/>
  <c r="B27" i="12"/>
  <c r="B32" i="7"/>
  <c r="A33" i="7"/>
  <c r="R32" i="7"/>
  <c r="T32" i="7" s="1"/>
  <c r="R33" i="6"/>
  <c r="B33" i="6"/>
  <c r="B32" i="13"/>
  <c r="A31" i="9"/>
  <c r="R30" i="9"/>
  <c r="T30" i="9" s="1"/>
  <c r="B30" i="9"/>
  <c r="T35" i="3"/>
  <c r="U34" i="3"/>
  <c r="U35" i="3" s="1"/>
  <c r="U2" i="4" s="1"/>
  <c r="U4" i="4" s="1"/>
  <c r="U5" i="4" s="1"/>
  <c r="U6" i="4" s="1"/>
  <c r="U7" i="4" s="1"/>
  <c r="U8" i="4" s="1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U32" i="4" s="1"/>
  <c r="U33" i="4" s="1"/>
  <c r="U34" i="4" s="1"/>
  <c r="U2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B31" i="9" l="1"/>
  <c r="A32" i="9"/>
  <c r="R31" i="9"/>
  <c r="T31" i="9" s="1"/>
  <c r="A34" i="7"/>
  <c r="R33" i="7"/>
  <c r="T33" i="7" s="1"/>
  <c r="B33" i="7"/>
  <c r="A30" i="11"/>
  <c r="R29" i="11"/>
  <c r="T29" i="11" s="1"/>
  <c r="B29" i="11"/>
  <c r="A29" i="12"/>
  <c r="B28" i="12"/>
  <c r="R28" i="12"/>
  <c r="T28" i="12" s="1"/>
  <c r="B30" i="10"/>
  <c r="A31" i="10"/>
  <c r="R30" i="10"/>
  <c r="T30" i="10" s="1"/>
  <c r="B32" i="8"/>
  <c r="A33" i="8"/>
  <c r="R32" i="8"/>
  <c r="T32" i="8" s="1"/>
  <c r="T33" i="6"/>
  <c r="T34" i="6" s="1"/>
  <c r="R34" i="6"/>
  <c r="B35" i="13" s="1"/>
  <c r="T34" i="5"/>
  <c r="T35" i="5" s="1"/>
  <c r="R35" i="5"/>
  <c r="R31" i="10" l="1"/>
  <c r="T31" i="10" s="1"/>
  <c r="B31" i="10"/>
  <c r="A32" i="10"/>
  <c r="R30" i="11"/>
  <c r="T30" i="11" s="1"/>
  <c r="B30" i="11"/>
  <c r="A31" i="11"/>
  <c r="B34" i="7"/>
  <c r="R34" i="7"/>
  <c r="B34" i="13"/>
  <c r="A30" i="12"/>
  <c r="R29" i="12"/>
  <c r="T29" i="12" s="1"/>
  <c r="B29" i="12"/>
  <c r="A34" i="8"/>
  <c r="B33" i="8"/>
  <c r="R33" i="8"/>
  <c r="T33" i="8" s="1"/>
  <c r="A33" i="9"/>
  <c r="R32" i="9"/>
  <c r="T32" i="9" s="1"/>
  <c r="B32" i="9"/>
  <c r="U34" i="5"/>
  <c r="U35" i="5" s="1"/>
  <c r="U2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2" i="7" s="1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A32" i="11" l="1"/>
  <c r="R31" i="11"/>
  <c r="T31" i="11" s="1"/>
  <c r="B31" i="11"/>
  <c r="A31" i="12"/>
  <c r="B30" i="12"/>
  <c r="R30" i="12"/>
  <c r="T30" i="12" s="1"/>
  <c r="B34" i="8"/>
  <c r="R34" i="8"/>
  <c r="B33" i="9"/>
  <c r="R33" i="9"/>
  <c r="B32" i="10"/>
  <c r="A33" i="10"/>
  <c r="R32" i="10"/>
  <c r="T32" i="10" s="1"/>
  <c r="T34" i="7"/>
  <c r="T35" i="7" s="1"/>
  <c r="R35" i="7"/>
  <c r="A34" i="10" l="1"/>
  <c r="R33" i="10"/>
  <c r="T33" i="10" s="1"/>
  <c r="B33" i="10"/>
  <c r="A32" i="12"/>
  <c r="R31" i="12"/>
  <c r="T31" i="12" s="1"/>
  <c r="B31" i="12"/>
  <c r="U34" i="7"/>
  <c r="U35" i="7" s="1"/>
  <c r="U2" i="8" s="1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T33" i="9"/>
  <c r="T34" i="9" s="1"/>
  <c r="R34" i="9"/>
  <c r="B38" i="13" s="1"/>
  <c r="B36" i="13"/>
  <c r="T34" i="8"/>
  <c r="T35" i="8" s="1"/>
  <c r="R35" i="8"/>
  <c r="B37" i="13" s="1"/>
  <c r="R32" i="11"/>
  <c r="T32" i="11" s="1"/>
  <c r="B32" i="11"/>
  <c r="A33" i="11"/>
  <c r="U34" i="8" l="1"/>
  <c r="U35" i="8" s="1"/>
  <c r="U2" i="9" s="1"/>
  <c r="U4" i="9" s="1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2" i="10" s="1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A33" i="12"/>
  <c r="B32" i="12"/>
  <c r="R32" i="12"/>
  <c r="T32" i="12" s="1"/>
  <c r="R33" i="11"/>
  <c r="B33" i="11"/>
  <c r="B34" i="10"/>
  <c r="R34" i="10"/>
  <c r="T34" i="10" l="1"/>
  <c r="R35" i="10"/>
  <c r="A34" i="12"/>
  <c r="B33" i="12"/>
  <c r="R33" i="12"/>
  <c r="T33" i="12" s="1"/>
  <c r="T33" i="11"/>
  <c r="T34" i="11" s="1"/>
  <c r="R34" i="11"/>
  <c r="B40" i="13" s="1"/>
  <c r="B34" i="12" l="1"/>
  <c r="R34" i="12"/>
  <c r="B39" i="13"/>
  <c r="T35" i="10"/>
  <c r="U34" i="10"/>
  <c r="U35" i="10" s="1"/>
  <c r="U2" i="11" s="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2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T34" i="12" l="1"/>
  <c r="T35" i="12" s="1"/>
  <c r="R35" i="12"/>
  <c r="B41" i="13" l="1"/>
  <c r="B42" i="13" s="1"/>
  <c r="B24" i="13"/>
  <c r="C24" i="13" s="1"/>
  <c r="C25" i="13" s="1"/>
  <c r="B23" i="13"/>
  <c r="C23" i="13" s="1"/>
  <c r="B25" i="13"/>
  <c r="U34" i="12"/>
  <c r="U35" i="12" s="1"/>
  <c r="B11" i="13" l="1"/>
  <c r="C11" i="13" s="1"/>
  <c r="B12" i="13" l="1"/>
  <c r="C1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Alta Engineering AG</author>
    <author/>
  </authors>
  <commentList>
    <comment ref="A14" authorId="0" shapeId="0" xr:uid="{2749E043-69D9-49F8-9670-2DBBA7599DE0}">
      <text>
        <r>
          <rPr>
            <b/>
            <sz val="9"/>
            <color indexed="81"/>
            <rFont val="Segoe UI"/>
            <family val="2"/>
          </rPr>
          <t>Gleitzeitsaldo aus dem alten Jahr, wird übernommen im Januar</t>
        </r>
      </text>
    </comment>
    <comment ref="A15" authorId="1" shapeId="0" xr:uid="{00000000-0006-0000-0C00-000006000000}">
      <text>
        <r>
          <rPr>
            <sz val="10"/>
            <color rgb="FF000000"/>
            <rFont val="Calibri"/>
            <family val="2"/>
            <scheme val="minor"/>
          </rPr>
          <t>nicht bezogene Ferien vom letzten Jahr</t>
        </r>
      </text>
    </comment>
    <comment ref="A17" authorId="1" shapeId="0" xr:uid="{00000000-0006-0000-0C00-000005000000}">
      <text>
        <r>
          <rPr>
            <sz val="10"/>
            <color rgb="FF000000"/>
            <rFont val="Calibri"/>
            <family val="2"/>
            <scheme val="minor"/>
          </rPr>
          <t>Anzahl gearbeitete Monate pro Jahr</t>
        </r>
      </text>
    </comment>
    <comment ref="A23" authorId="1" shapeId="0" xr:uid="{00000000-0006-0000-0C00-000003000000}">
      <text>
        <r>
          <rPr>
            <sz val="10"/>
            <color rgb="FF000000"/>
            <rFont val="Calibri"/>
            <family val="2"/>
            <scheme val="minor"/>
          </rPr>
          <t>Soll- Jahresarbeitszeit ohne eingerechnete Ferien und ohne eingerechnete Vorholzeit</t>
        </r>
      </text>
    </comment>
    <comment ref="A24" authorId="1" shapeId="0" xr:uid="{00000000-0006-0000-0C00-000004000000}">
      <text>
        <r>
          <rPr>
            <sz val="10"/>
            <color rgb="FF000000"/>
            <rFont val="Calibri"/>
            <family val="2"/>
            <scheme val="minor"/>
          </rPr>
          <t>Soll- Jahresarbeitszeit mit eingerechnete Ferien aber ohne eingerechnete Vorholzeit</t>
        </r>
      </text>
    </comment>
    <comment ref="A25" authorId="1" shapeId="0" xr:uid="{00000000-0006-0000-0C00-000002000000}">
      <text>
        <r>
          <rPr>
            <sz val="10"/>
            <color rgb="FF000000"/>
            <rFont val="Calibri"/>
            <family val="2"/>
            <scheme val="minor"/>
          </rPr>
          <t>Soll- Jahresarbeitszeit mit eingerechnete Ferien mit eingerechneter Vorholzeit</t>
        </r>
      </text>
    </comment>
    <comment ref="B29" authorId="1" shapeId="0" xr:uid="{00000000-0006-0000-0C00-000007000000}">
      <text>
        <r>
          <rPr>
            <sz val="10"/>
            <color rgb="FF000000"/>
            <rFont val="Calibri"/>
            <family val="2"/>
            <scheme val="minor"/>
          </rPr>
          <t>Arbeitsstunden pro Monat, nicht eingerechnet ist die Vorholzeit</t>
        </r>
      </text>
    </comment>
    <comment ref="A44" authorId="1" shapeId="0" xr:uid="{00000000-0006-0000-0C00-000001000000}">
      <text>
        <r>
          <rPr>
            <sz val="10"/>
            <color rgb="FF000000"/>
            <rFont val="Calibri"/>
            <family val="2"/>
            <scheme val="minor"/>
          </rPr>
          <t>Vergütung pro Kilometer in CHF, Wert wird in den Monatsblätter übernommen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9XMKtT0qmnmxNxlNnGietZBQI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D00-000003000000}">
      <text>
        <r>
          <rPr>
            <sz val="10"/>
            <color rgb="FF000000"/>
            <rFont val="Calibri"/>
            <family val="2"/>
            <scheme val="minor"/>
          </rPr>
          <t>Hier werden die Daten eingetregen für die Feiertag. Diese werden dann automatisch in den Monatsblättern übernommen</t>
        </r>
      </text>
    </comment>
    <comment ref="D3" authorId="0" shapeId="0" xr:uid="{00000000-0006-0000-0D00-000001000000}">
      <text>
        <r>
          <rPr>
            <sz val="10"/>
            <color rgb="FF000000"/>
            <rFont val="Calibri"/>
            <family val="2"/>
            <scheme val="minor"/>
          </rPr>
          <t>bezahlt wird im Monatsblatt rot eingefärbt (bedingte Formatierung im Monatsblatt); unbezahlt wird gelb eingefärbt (bedingte Formatierung im Monatsblatt); Die Abfrage im Monatsblatt wird hier über diese Spalte gemacht (ja/nein).</t>
        </r>
      </text>
    </comment>
    <comment ref="C22" authorId="0" shapeId="0" xr:uid="{00000000-0006-0000-0D00-000002000000}">
      <text>
        <r>
          <rPr>
            <sz val="10"/>
            <color rgb="FF000000"/>
            <rFont val="Calibri"/>
            <family val="2"/>
            <scheme val="minor"/>
          </rPr>
          <t>Beschriftung für das Wochenende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biX2hWiMP7DJnZRfPtAUcZwHStA=="/>
    </ext>
  </extLst>
</comments>
</file>

<file path=xl/sharedStrings.xml><?xml version="1.0" encoding="utf-8"?>
<sst xmlns="http://schemas.openxmlformats.org/spreadsheetml/2006/main" count="547" uniqueCount="105">
  <si>
    <t>Monatsblatt</t>
  </si>
  <si>
    <t>Name:</t>
  </si>
  <si>
    <t>Monat:</t>
  </si>
  <si>
    <t>Anstellung :</t>
  </si>
  <si>
    <t>Blatt Nr.</t>
  </si>
  <si>
    <t>Ferien:</t>
  </si>
  <si>
    <t>Bezogen:</t>
  </si>
  <si>
    <t>Rest:</t>
  </si>
  <si>
    <t>Stundenübertrag Vormonat :</t>
  </si>
  <si>
    <t>Spesen</t>
  </si>
  <si>
    <t>Projekte</t>
  </si>
  <si>
    <t>Alta Engineering</t>
  </si>
  <si>
    <t>krank</t>
  </si>
  <si>
    <t>Reisezeit</t>
  </si>
  <si>
    <t>CAD</t>
  </si>
  <si>
    <t>Ausbildung</t>
  </si>
  <si>
    <t>Büro</t>
  </si>
  <si>
    <t>Ferien</t>
  </si>
  <si>
    <t>Soll</t>
  </si>
  <si>
    <t>Ist</t>
  </si>
  <si>
    <t>+/-</t>
  </si>
  <si>
    <t>Stand</t>
  </si>
  <si>
    <t>Fr.</t>
  </si>
  <si>
    <t>Km</t>
  </si>
  <si>
    <t>Summe</t>
  </si>
  <si>
    <t>Start [hh:mm]</t>
  </si>
  <si>
    <t>Stop [hh:mm]</t>
  </si>
  <si>
    <t>Ist-Zeit [hh:mm]</t>
  </si>
  <si>
    <t>Ist-Zeit [hh]</t>
  </si>
  <si>
    <t>Ist-Zeit [.hh]</t>
  </si>
  <si>
    <t>Ist-Zeit [h.h]</t>
  </si>
  <si>
    <t>Aufteilung - Istzeit</t>
  </si>
  <si>
    <t>Total</t>
  </si>
  <si>
    <t>Pfisterer AG</t>
  </si>
  <si>
    <t>Alta Eng.</t>
  </si>
  <si>
    <t>:</t>
  </si>
  <si>
    <t>Raytech AG</t>
  </si>
  <si>
    <t>Avesco AG</t>
  </si>
  <si>
    <t>Unproduktiv</t>
  </si>
  <si>
    <t xml:space="preserve">Ausbildung </t>
  </si>
  <si>
    <t>Avesco</t>
  </si>
  <si>
    <t>Web Projekte</t>
  </si>
  <si>
    <t>Villiger</t>
  </si>
  <si>
    <t>Webprojekt</t>
  </si>
  <si>
    <t>Laptop</t>
  </si>
  <si>
    <t>NBU</t>
  </si>
  <si>
    <t>0.5</t>
  </si>
  <si>
    <t>8,8</t>
  </si>
  <si>
    <t>10,5</t>
  </si>
  <si>
    <t>8,5</t>
  </si>
  <si>
    <t>8,67</t>
  </si>
  <si>
    <t>9,5</t>
  </si>
  <si>
    <t>Website</t>
  </si>
  <si>
    <t>Zeiterfassung</t>
  </si>
  <si>
    <t>Firmenname:</t>
  </si>
  <si>
    <t>Alta Engineering AG</t>
  </si>
  <si>
    <t>Michael Küng</t>
  </si>
  <si>
    <t>Anstellung Prozent</t>
  </si>
  <si>
    <t>Arbeitsstunden pro Woche</t>
  </si>
  <si>
    <t>[hh.hh]</t>
  </si>
  <si>
    <t>[mm.mm]</t>
  </si>
  <si>
    <t>Arbeitszeit pro Tag</t>
  </si>
  <si>
    <t>Anzahl Vorholtage</t>
  </si>
  <si>
    <t>Vorholzeit pro Tag</t>
  </si>
  <si>
    <t>Arbeitszeit pro Tag inkl. Vorholzeit</t>
  </si>
  <si>
    <t>Stundenübertrag altes Jahr</t>
  </si>
  <si>
    <t>Ferienübertrag altes Jahr</t>
  </si>
  <si>
    <t>Jahresferientage neu hinzu</t>
  </si>
  <si>
    <t>Anzahl Arbeitsmonate</t>
  </si>
  <si>
    <t>Ferien Guthaben</t>
  </si>
  <si>
    <t>Ferien bezogen im aktuellen Jahr</t>
  </si>
  <si>
    <t>Ferienübertrag nächstes Jahr</t>
  </si>
  <si>
    <t>Stunden</t>
  </si>
  <si>
    <t>Arbeitstage</t>
  </si>
  <si>
    <t>Soll-Jahresarbeitszeit o.F.o.F</t>
  </si>
  <si>
    <t>Soll-Jahresarbeitszeit m.F.o.F</t>
  </si>
  <si>
    <t>Soll-Jahresarbeitszeit m.F.m.F</t>
  </si>
  <si>
    <t>Jahr</t>
  </si>
  <si>
    <t>Monat</t>
  </si>
  <si>
    <t>Soll-Stunden</t>
  </si>
  <si>
    <t>Arbeitsstunden</t>
  </si>
  <si>
    <t>Kilometer Spesensatz</t>
  </si>
  <si>
    <t>CHF</t>
  </si>
  <si>
    <t>Gesamt</t>
  </si>
  <si>
    <t>Datum</t>
  </si>
  <si>
    <t>Feiertag</t>
  </si>
  <si>
    <t>bezahlt / unbezahlt</t>
  </si>
  <si>
    <t>* * * * * * * * Neujahr * * * * * * * * * * * * * * * * * * * * * * * * * * * * * * * * * * * * * * * * * * * * * * * * * * * *</t>
  </si>
  <si>
    <t>ja</t>
  </si>
  <si>
    <t>* * * * * * * * Josefstag * * * * * * * * * * * * * * * * * * * * * * * * * * * * * * * * * * * * * * * * * * * * * * * * * *</t>
  </si>
  <si>
    <t>* * * * * * * * Karfreitag * * * * * * * * * * * * * * * * * * * * * * * * * * * * * * * * * * * * * * * * * * * * * * * * * *</t>
  </si>
  <si>
    <t>* * * * * * * * Ostermontag * * * * * * * * * * * * * * * * * * * * * * * * * * * * * * * * * * * * * * * * * * * * * * * *</t>
  </si>
  <si>
    <t>nein</t>
  </si>
  <si>
    <t>* * * * * * * * Auffahrt * * * * * * * * * * * * * * * * * * * * * * * * * * * * * * * * * * * * * * * * * * * * * * * * * * * *</t>
  </si>
  <si>
    <t>* * * * * * * * Pfingstmontag * * * * * * * * * * * * * * * * * * * * * * * * * * * * * * * * * * * * * * * * * * * * * * *</t>
  </si>
  <si>
    <t>* * * * * * * * Fronleichnam * * * * * * * * * * * * * * * * * * * * * * * * * * * * * * * * * * * * * * * * * * * * * * * *</t>
  </si>
  <si>
    <t>* * * * * * * * Nationalfeiertag * * * * * * * * * * * * * * * * * * * * * * * * * * * * * * * * * * * * * * * * * * * * * *</t>
  </si>
  <si>
    <t>* * * * * * * * Maria Himmelfahrt * * * * * * * * * * * * * * * * * * * * * * * * * * * * * * * * * * * * * * * * * * * *</t>
  </si>
  <si>
    <t>* * * * * * * * Justustag * * * * * * * * * * * * * * * * * * * * * * * * * * * * * * * * * * * * * * * * * * * * * * * * * *</t>
  </si>
  <si>
    <t>* * * * * * * * Allerheiligen * * * * * * * * * * * * * * * * * * * * * * * * * * * * * * * * * * * * * * * * * * * * * * * * *</t>
  </si>
  <si>
    <t xml:space="preserve">* * * * * * * * Maria Empfängnis * * * * * * * * * * * * * * * * * * * * * * * * * * * * * * * * * * * * * * * * * * * * * </t>
  </si>
  <si>
    <t>* * * * * * * * Weihnachtstag * * * * * * * * * * * * * * * * * * * * * * * * * * * * * * * * * * * * * * * * * * * * * * *</t>
  </si>
  <si>
    <t>* * * * * * * * Stephanstag * * * * * * * * * * * * * * * * * * * * * * * * * * * * * * * * * * * * * * * * * * * * * * * * *</t>
  </si>
  <si>
    <t>Wochenende</t>
  </si>
  <si>
    <t>* * * * * * * * Wochenende * * * * * * * * * * * * * * * * * * * * * * * * * * * * * * * * * * * * * * * * * * * * * * *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</si>
</sst>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d"/>
    <numFmt numFmtId="166" formatCode="dd"/>
    <numFmt numFmtId="167" formatCode="0.0"/>
    <numFmt numFmtId="168" formatCode="yyyy"/>
  </numFmts>
  <fonts count="15">
    <font>
      <sz val="10"/>
      <color rgb="FF000000"/>
      <name val="Calibri"/>
      <scheme val="minor"/>
    </font>
    <font>
      <b/>
      <sz val="9"/>
      <color rgb="FF000000"/>
      <name val="Arial"/>
      <family val="2"/>
    </font>
    <font>
      <sz val="10"/>
      <name val="Calibri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theme="1"/>
      <name val="Arimo"/>
    </font>
    <font>
      <sz val="8"/>
      <color theme="1"/>
      <name val="Arial"/>
      <family val="2"/>
    </font>
    <font>
      <sz val="10"/>
      <color theme="1"/>
      <name val="Arimo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Helvetica Neue"/>
    </font>
    <font>
      <sz val="10"/>
      <color theme="1"/>
      <name val="Calibri"/>
      <family val="2"/>
    </font>
    <font>
      <sz val="14"/>
      <color theme="1"/>
      <name val="Arial"/>
      <family val="2"/>
    </font>
    <font>
      <b/>
      <sz val="9"/>
      <color indexed="81"/>
      <name val="Segoe UI"/>
      <family val="2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CCFF"/>
        <bgColor rgb="FF00CCFF"/>
      </patternFill>
    </fill>
    <fill>
      <patternFill patternType="solid">
        <fgColor rgb="FFE3E3E3"/>
        <bgColor rgb="FFE3E3E3"/>
      </patternFill>
    </fill>
    <fill>
      <patternFill patternType="solid">
        <fgColor rgb="FFD8D8D8"/>
        <bgColor rgb="FFD8D8D8"/>
      </patternFill>
    </fill>
  </fills>
  <borders count="6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hair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5" fillId="2" borderId="1" xfId="0" applyFont="1" applyFill="1" applyBorder="1"/>
    <xf numFmtId="0" fontId="4" fillId="2" borderId="2" xfId="0" applyFont="1" applyFill="1" applyBorder="1" applyAlignment="1">
      <alignment horizontal="right"/>
    </xf>
    <xf numFmtId="9" fontId="4" fillId="2" borderId="3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center"/>
    </xf>
    <xf numFmtId="0" fontId="5" fillId="0" borderId="0" xfId="0" applyFont="1"/>
    <xf numFmtId="0" fontId="4" fillId="0" borderId="0" xfId="0" applyFont="1"/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4" fillId="2" borderId="7" xfId="0" applyFont="1" applyFill="1" applyBorder="1"/>
    <xf numFmtId="0" fontId="4" fillId="2" borderId="7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0" fontId="6" fillId="2" borderId="1" xfId="0" quotePrefix="1" applyFont="1" applyFill="1" applyBorder="1" applyAlignment="1">
      <alignment horizontal="right"/>
    </xf>
    <xf numFmtId="0" fontId="5" fillId="2" borderId="8" xfId="0" applyFont="1" applyFill="1" applyBorder="1"/>
    <xf numFmtId="0" fontId="5" fillId="2" borderId="2" xfId="0" applyFont="1" applyFill="1" applyBorder="1"/>
    <xf numFmtId="0" fontId="5" fillId="2" borderId="7" xfId="0" applyFont="1" applyFill="1" applyBorder="1"/>
    <xf numFmtId="164" fontId="5" fillId="2" borderId="9" xfId="0" applyNumberFormat="1" applyFont="1" applyFill="1" applyBorder="1"/>
    <xf numFmtId="17" fontId="7" fillId="0" borderId="0" xfId="0" applyNumberFormat="1" applyFont="1"/>
    <xf numFmtId="0" fontId="4" fillId="2" borderId="10" xfId="0" applyFont="1" applyFill="1" applyBorder="1" applyAlignment="1">
      <alignment horizontal="center" textRotation="90"/>
    </xf>
    <xf numFmtId="0" fontId="4" fillId="2" borderId="11" xfId="0" applyFont="1" applyFill="1" applyBorder="1" applyAlignment="1">
      <alignment horizontal="center" textRotation="90"/>
    </xf>
    <xf numFmtId="0" fontId="4" fillId="2" borderId="12" xfId="0" applyFont="1" applyFill="1" applyBorder="1" applyAlignment="1">
      <alignment horizontal="right"/>
    </xf>
    <xf numFmtId="0" fontId="4" fillId="2" borderId="12" xfId="0" applyFont="1" applyFill="1" applyBorder="1"/>
    <xf numFmtId="0" fontId="4" fillId="2" borderId="11" xfId="0" quotePrefix="1" applyFont="1" applyFill="1" applyBorder="1" applyAlignment="1">
      <alignment horizontal="center" textRotation="90" wrapText="1"/>
    </xf>
    <xf numFmtId="164" fontId="4" fillId="2" borderId="13" xfId="0" quotePrefix="1" applyNumberFormat="1" applyFont="1" applyFill="1" applyBorder="1" applyAlignment="1">
      <alignment horizontal="center" textRotation="90" wrapText="1"/>
    </xf>
    <xf numFmtId="164" fontId="4" fillId="0" borderId="0" xfId="0" applyNumberFormat="1" applyFont="1" applyAlignment="1">
      <alignment horizontal="center" textRotation="90" wrapText="1"/>
    </xf>
    <xf numFmtId="165" fontId="4" fillId="2" borderId="4" xfId="0" applyNumberFormat="1" applyFont="1" applyFill="1" applyBorder="1" applyAlignment="1">
      <alignment horizontal="center"/>
    </xf>
    <xf numFmtId="0" fontId="4" fillId="0" borderId="14" xfId="0" applyFont="1" applyBorder="1"/>
    <xf numFmtId="2" fontId="4" fillId="2" borderId="15" xfId="0" applyNumberFormat="1" applyFont="1" applyFill="1" applyBorder="1"/>
    <xf numFmtId="2" fontId="4" fillId="2" borderId="16" xfId="0" applyNumberFormat="1" applyFont="1" applyFill="1" applyBorder="1"/>
    <xf numFmtId="0" fontId="4" fillId="2" borderId="17" xfId="0" applyFont="1" applyFill="1" applyBorder="1"/>
    <xf numFmtId="20" fontId="6" fillId="0" borderId="0" xfId="0" applyNumberFormat="1" applyFont="1"/>
    <xf numFmtId="20" fontId="6" fillId="0" borderId="18" xfId="0" applyNumberFormat="1" applyFont="1" applyBorder="1"/>
    <xf numFmtId="20" fontId="4" fillId="2" borderId="14" xfId="0" applyNumberFormat="1" applyFont="1" applyFill="1" applyBorder="1"/>
    <xf numFmtId="2" fontId="4" fillId="0" borderId="0" xfId="0" applyNumberFormat="1" applyFont="1"/>
    <xf numFmtId="166" fontId="7" fillId="0" borderId="0" xfId="0" applyNumberFormat="1" applyFont="1"/>
    <xf numFmtId="165" fontId="4" fillId="2" borderId="19" xfId="0" applyNumberFormat="1" applyFont="1" applyFill="1" applyBorder="1" applyAlignment="1">
      <alignment horizontal="center"/>
    </xf>
    <xf numFmtId="0" fontId="4" fillId="3" borderId="20" xfId="0" applyFont="1" applyFill="1" applyBorder="1"/>
    <xf numFmtId="2" fontId="4" fillId="3" borderId="21" xfId="0" applyNumberFormat="1" applyFont="1" applyFill="1" applyBorder="1"/>
    <xf numFmtId="0" fontId="4" fillId="3" borderId="21" xfId="0" applyFont="1" applyFill="1" applyBorder="1"/>
    <xf numFmtId="0" fontId="4" fillId="3" borderId="22" xfId="0" applyFont="1" applyFill="1" applyBorder="1"/>
    <xf numFmtId="2" fontId="4" fillId="2" borderId="20" xfId="0" applyNumberFormat="1" applyFont="1" applyFill="1" applyBorder="1"/>
    <xf numFmtId="2" fontId="4" fillId="2" borderId="23" xfId="0" applyNumberFormat="1" applyFont="1" applyFill="1" applyBorder="1"/>
    <xf numFmtId="2" fontId="4" fillId="2" borderId="24" xfId="0" applyNumberFormat="1" applyFont="1" applyFill="1" applyBorder="1"/>
    <xf numFmtId="0" fontId="4" fillId="3" borderId="25" xfId="0" applyFont="1" applyFill="1" applyBorder="1"/>
    <xf numFmtId="0" fontId="4" fillId="2" borderId="26" xfId="0" applyFont="1" applyFill="1" applyBorder="1"/>
    <xf numFmtId="20" fontId="6" fillId="3" borderId="23" xfId="0" applyNumberFormat="1" applyFont="1" applyFill="1" applyBorder="1"/>
    <xf numFmtId="20" fontId="4" fillId="2" borderId="20" xfId="0" applyNumberFormat="1" applyFont="1" applyFill="1" applyBorder="1"/>
    <xf numFmtId="0" fontId="4" fillId="0" borderId="20" xfId="0" applyFont="1" applyBorder="1"/>
    <xf numFmtId="2" fontId="4" fillId="0" borderId="27" xfId="0" applyNumberFormat="1" applyFont="1" applyBorder="1"/>
    <xf numFmtId="20" fontId="6" fillId="0" borderId="27" xfId="0" applyNumberFormat="1" applyFont="1" applyBorder="1"/>
    <xf numFmtId="20" fontId="6" fillId="0" borderId="23" xfId="0" applyNumberFormat="1" applyFont="1" applyBorder="1"/>
    <xf numFmtId="20" fontId="6" fillId="0" borderId="28" xfId="0" applyNumberFormat="1" applyFont="1" applyBorder="1"/>
    <xf numFmtId="0" fontId="4" fillId="2" borderId="20" xfId="0" applyFont="1" applyFill="1" applyBorder="1"/>
    <xf numFmtId="0" fontId="4" fillId="0" borderId="29" xfId="0" applyFont="1" applyBorder="1"/>
    <xf numFmtId="0" fontId="4" fillId="0" borderId="23" xfId="0" applyFont="1" applyBorder="1"/>
    <xf numFmtId="0" fontId="4" fillId="3" borderId="23" xfId="0" applyFont="1" applyFill="1" applyBorder="1"/>
    <xf numFmtId="165" fontId="4" fillId="2" borderId="10" xfId="0" applyNumberFormat="1" applyFont="1" applyFill="1" applyBorder="1" applyAlignment="1">
      <alignment horizontal="center"/>
    </xf>
    <xf numFmtId="2" fontId="4" fillId="2" borderId="30" xfId="0" applyNumberFormat="1" applyFont="1" applyFill="1" applyBorder="1"/>
    <xf numFmtId="2" fontId="4" fillId="2" borderId="31" xfId="0" applyNumberFormat="1" applyFont="1" applyFill="1" applyBorder="1"/>
    <xf numFmtId="20" fontId="4" fillId="2" borderId="32" xfId="0" applyNumberFormat="1" applyFont="1" applyFill="1" applyBorder="1"/>
    <xf numFmtId="0" fontId="4" fillId="2" borderId="33" xfId="0" applyFont="1" applyFill="1" applyBorder="1" applyAlignment="1">
      <alignment horizontal="center"/>
    </xf>
    <xf numFmtId="2" fontId="4" fillId="2" borderId="34" xfId="0" applyNumberFormat="1" applyFont="1" applyFill="1" applyBorder="1"/>
    <xf numFmtId="167" fontId="4" fillId="2" borderId="35" xfId="0" applyNumberFormat="1" applyFont="1" applyFill="1" applyBorder="1"/>
    <xf numFmtId="2" fontId="4" fillId="2" borderId="36" xfId="0" applyNumberFormat="1" applyFont="1" applyFill="1" applyBorder="1"/>
    <xf numFmtId="37" fontId="4" fillId="2" borderId="36" xfId="0" applyNumberFormat="1" applyFont="1" applyFill="1" applyBorder="1"/>
    <xf numFmtId="2" fontId="4" fillId="2" borderId="37" xfId="0" applyNumberFormat="1" applyFont="1" applyFill="1" applyBorder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0" fontId="4" fillId="2" borderId="8" xfId="0" applyFont="1" applyFill="1" applyBorder="1"/>
    <xf numFmtId="2" fontId="4" fillId="2" borderId="3" xfId="0" applyNumberFormat="1" applyFont="1" applyFill="1" applyBorder="1" applyAlignment="1">
      <alignment horizontal="left"/>
    </xf>
    <xf numFmtId="0" fontId="4" fillId="2" borderId="39" xfId="0" applyFont="1" applyFill="1" applyBorder="1"/>
    <xf numFmtId="164" fontId="4" fillId="2" borderId="9" xfId="0" applyNumberFormat="1" applyFont="1" applyFill="1" applyBorder="1"/>
    <xf numFmtId="0" fontId="4" fillId="2" borderId="40" xfId="0" applyFont="1" applyFill="1" applyBorder="1"/>
    <xf numFmtId="0" fontId="4" fillId="2" borderId="41" xfId="0" quotePrefix="1" applyFont="1" applyFill="1" applyBorder="1" applyAlignment="1">
      <alignment horizontal="center" textRotation="90" wrapText="1"/>
    </xf>
    <xf numFmtId="164" fontId="4" fillId="2" borderId="12" xfId="0" quotePrefix="1" applyNumberFormat="1" applyFont="1" applyFill="1" applyBorder="1" applyAlignment="1">
      <alignment horizontal="center" textRotation="90" wrapText="1"/>
    </xf>
    <xf numFmtId="0" fontId="4" fillId="0" borderId="42" xfId="0" applyFont="1" applyBorder="1"/>
    <xf numFmtId="0" fontId="4" fillId="0" borderId="43" xfId="0" applyFont="1" applyBorder="1"/>
    <xf numFmtId="0" fontId="4" fillId="0" borderId="44" xfId="0" applyFont="1" applyBorder="1"/>
    <xf numFmtId="0" fontId="4" fillId="3" borderId="11" xfId="0" applyFont="1" applyFill="1" applyBorder="1"/>
    <xf numFmtId="0" fontId="4" fillId="2" borderId="45" xfId="0" applyFont="1" applyFill="1" applyBorder="1"/>
    <xf numFmtId="0" fontId="9" fillId="2" borderId="46" xfId="0" applyFont="1" applyFill="1" applyBorder="1"/>
    <xf numFmtId="0" fontId="11" fillId="0" borderId="0" xfId="0" applyFont="1"/>
    <xf numFmtId="0" fontId="5" fillId="2" borderId="35" xfId="0" applyFont="1" applyFill="1" applyBorder="1"/>
    <xf numFmtId="9" fontId="4" fillId="2" borderId="36" xfId="0" applyNumberFormat="1" applyFont="1" applyFill="1" applyBorder="1" applyAlignment="1">
      <alignment horizontal="left"/>
    </xf>
    <xf numFmtId="0" fontId="4" fillId="2" borderId="35" xfId="0" applyFont="1" applyFill="1" applyBorder="1" applyAlignment="1">
      <alignment horizontal="right"/>
    </xf>
    <xf numFmtId="0" fontId="4" fillId="2" borderId="36" xfId="0" applyFont="1" applyFill="1" applyBorder="1" applyAlignment="1">
      <alignment horizontal="center"/>
    </xf>
    <xf numFmtId="0" fontId="4" fillId="0" borderId="48" xfId="0" applyFont="1" applyBorder="1" applyAlignment="1">
      <alignment horizontal="center" textRotation="90" wrapText="1"/>
    </xf>
    <xf numFmtId="0" fontId="4" fillId="0" borderId="49" xfId="0" applyFont="1" applyBorder="1" applyAlignment="1">
      <alignment horizontal="center" textRotation="90" wrapText="1"/>
    </xf>
    <xf numFmtId="0" fontId="4" fillId="2" borderId="12" xfId="0" quotePrefix="1" applyFont="1" applyFill="1" applyBorder="1" applyAlignment="1">
      <alignment horizontal="center" textRotation="90" wrapText="1"/>
    </xf>
    <xf numFmtId="0" fontId="4" fillId="4" borderId="21" xfId="0" applyFont="1" applyFill="1" applyBorder="1"/>
    <xf numFmtId="0" fontId="4" fillId="4" borderId="22" xfId="0" applyFont="1" applyFill="1" applyBorder="1"/>
    <xf numFmtId="0" fontId="4" fillId="0" borderId="50" xfId="0" applyFont="1" applyBorder="1"/>
    <xf numFmtId="0" fontId="4" fillId="0" borderId="48" xfId="0" applyFont="1" applyBorder="1"/>
    <xf numFmtId="20" fontId="6" fillId="0" borderId="48" xfId="0" applyNumberFormat="1" applyFont="1" applyBorder="1"/>
    <xf numFmtId="20" fontId="6" fillId="0" borderId="51" xfId="0" applyNumberFormat="1" applyFont="1" applyBorder="1"/>
    <xf numFmtId="0" fontId="4" fillId="2" borderId="34" xfId="0" applyFont="1" applyFill="1" applyBorder="1"/>
    <xf numFmtId="20" fontId="9" fillId="2" borderId="46" xfId="0" applyNumberFormat="1" applyFont="1" applyFill="1" applyBorder="1"/>
    <xf numFmtId="0" fontId="5" fillId="2" borderId="5" xfId="0" applyFont="1" applyFill="1" applyBorder="1"/>
    <xf numFmtId="164" fontId="5" fillId="2" borderId="3" xfId="0" applyNumberFormat="1" applyFont="1" applyFill="1" applyBorder="1"/>
    <xf numFmtId="164" fontId="4" fillId="2" borderId="52" xfId="0" quotePrefix="1" applyNumberFormat="1" applyFont="1" applyFill="1" applyBorder="1" applyAlignment="1">
      <alignment horizontal="center" textRotation="90" wrapText="1"/>
    </xf>
    <xf numFmtId="2" fontId="4" fillId="2" borderId="14" xfId="0" applyNumberFormat="1" applyFont="1" applyFill="1" applyBorder="1"/>
    <xf numFmtId="0" fontId="4" fillId="2" borderId="53" xfId="0" applyFont="1" applyFill="1" applyBorder="1"/>
    <xf numFmtId="20" fontId="4" fillId="2" borderId="5" xfId="0" applyNumberFormat="1" applyFont="1" applyFill="1" applyBorder="1"/>
    <xf numFmtId="20" fontId="4" fillId="2" borderId="8" xfId="0" applyNumberFormat="1" applyFont="1" applyFill="1" applyBorder="1"/>
    <xf numFmtId="20" fontId="4" fillId="2" borderId="2" xfId="0" applyNumberFormat="1" applyFont="1" applyFill="1" applyBorder="1"/>
    <xf numFmtId="20" fontId="4" fillId="2" borderId="6" xfId="0" applyNumberFormat="1" applyFont="1" applyFill="1" applyBorder="1"/>
    <xf numFmtId="20" fontId="4" fillId="2" borderId="9" xfId="0" applyNumberFormat="1" applyFont="1" applyFill="1" applyBorder="1"/>
    <xf numFmtId="0" fontId="4" fillId="3" borderId="21" xfId="0" applyFont="1" applyFill="1" applyBorder="1" applyAlignment="1">
      <alignment horizontal="right"/>
    </xf>
    <xf numFmtId="0" fontId="4" fillId="0" borderId="27" xfId="0" applyFont="1" applyBorder="1"/>
    <xf numFmtId="0" fontId="7" fillId="0" borderId="23" xfId="0" applyFont="1" applyBorder="1"/>
    <xf numFmtId="0" fontId="7" fillId="3" borderId="23" xfId="0" applyFont="1" applyFill="1" applyBorder="1"/>
    <xf numFmtId="20" fontId="7" fillId="0" borderId="0" xfId="0" applyNumberFormat="1" applyFont="1"/>
    <xf numFmtId="0" fontId="4" fillId="2" borderId="54" xfId="0" applyFont="1" applyFill="1" applyBorder="1"/>
    <xf numFmtId="2" fontId="4" fillId="2" borderId="55" xfId="0" applyNumberFormat="1" applyFont="1" applyFill="1" applyBorder="1" applyAlignment="1">
      <alignment horizontal="left"/>
    </xf>
    <xf numFmtId="0" fontId="4" fillId="2" borderId="11" xfId="0" applyFont="1" applyFill="1" applyBorder="1" applyAlignment="1">
      <alignment horizontal="center" textRotation="90" wrapText="1"/>
    </xf>
    <xf numFmtId="0" fontId="4" fillId="2" borderId="4" xfId="0" applyFont="1" applyFill="1" applyBorder="1"/>
    <xf numFmtId="0" fontId="4" fillId="2" borderId="19" xfId="0" applyFont="1" applyFill="1" applyBorder="1"/>
    <xf numFmtId="2" fontId="4" fillId="2" borderId="56" xfId="0" applyNumberFormat="1" applyFont="1" applyFill="1" applyBorder="1"/>
    <xf numFmtId="0" fontId="4" fillId="2" borderId="3" xfId="0" applyFont="1" applyFill="1" applyBorder="1"/>
    <xf numFmtId="0" fontId="4" fillId="2" borderId="1" xfId="0" applyFont="1" applyFill="1" applyBorder="1"/>
    <xf numFmtId="164" fontId="4" fillId="2" borderId="3" xfId="0" applyNumberFormat="1" applyFont="1" applyFill="1" applyBorder="1"/>
    <xf numFmtId="20" fontId="6" fillId="0" borderId="57" xfId="0" applyNumberFormat="1" applyFont="1" applyBorder="1"/>
    <xf numFmtId="20" fontId="6" fillId="0" borderId="58" xfId="0" applyNumberFormat="1" applyFont="1" applyBorder="1"/>
    <xf numFmtId="0" fontId="4" fillId="0" borderId="59" xfId="0" applyFont="1" applyBorder="1"/>
    <xf numFmtId="0" fontId="4" fillId="0" borderId="60" xfId="0" applyFont="1" applyBorder="1" applyAlignment="1">
      <alignment horizontal="right"/>
    </xf>
    <xf numFmtId="0" fontId="12" fillId="0" borderId="0" xfId="0" applyFont="1"/>
    <xf numFmtId="168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0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1" fontId="12" fillId="0" borderId="0" xfId="0" applyNumberFormat="1" applyFont="1"/>
    <xf numFmtId="14" fontId="12" fillId="0" borderId="0" xfId="0" applyNumberFormat="1" applyFont="1"/>
    <xf numFmtId="167" fontId="12" fillId="0" borderId="0" xfId="0" applyNumberFormat="1" applyFont="1"/>
    <xf numFmtId="168" fontId="12" fillId="0" borderId="0" xfId="0" applyNumberFormat="1" applyFont="1" applyAlignment="1">
      <alignment horizontal="right"/>
    </xf>
    <xf numFmtId="17" fontId="12" fillId="0" borderId="0" xfId="0" applyNumberFormat="1" applyFont="1"/>
    <xf numFmtId="167" fontId="12" fillId="0" borderId="0" xfId="0" applyNumberFormat="1" applyFont="1" applyAlignment="1">
      <alignment horizontal="right"/>
    </xf>
    <xf numFmtId="37" fontId="12" fillId="0" borderId="0" xfId="0" applyNumberFormat="1" applyFont="1"/>
    <xf numFmtId="0" fontId="4" fillId="0" borderId="12" xfId="0" applyFont="1" applyBorder="1" applyAlignment="1">
      <alignment horizontal="center" textRotation="90"/>
    </xf>
    <xf numFmtId="0" fontId="4" fillId="0" borderId="11" xfId="0" applyFont="1" applyBorder="1" applyAlignment="1">
      <alignment horizontal="center" textRotation="90" wrapText="1"/>
    </xf>
    <xf numFmtId="0" fontId="4" fillId="0" borderId="11" xfId="0" applyFont="1" applyBorder="1" applyAlignment="1">
      <alignment horizontal="center" textRotation="90"/>
    </xf>
    <xf numFmtId="0" fontId="4" fillId="2" borderId="48" xfId="0" applyFont="1" applyFill="1" applyBorder="1" applyAlignment="1">
      <alignment horizontal="center" textRotation="90"/>
    </xf>
    <xf numFmtId="0" fontId="4" fillId="2" borderId="49" xfId="0" applyFont="1" applyFill="1" applyBorder="1" applyAlignment="1">
      <alignment horizontal="right"/>
    </xf>
    <xf numFmtId="0" fontId="4" fillId="2" borderId="49" xfId="0" quotePrefix="1" applyFont="1" applyFill="1" applyBorder="1" applyAlignment="1">
      <alignment horizontal="right"/>
    </xf>
    <xf numFmtId="0" fontId="4" fillId="2" borderId="50" xfId="0" applyFont="1" applyFill="1" applyBorder="1" applyAlignment="1">
      <alignment horizontal="right"/>
    </xf>
    <xf numFmtId="0" fontId="4" fillId="2" borderId="49" xfId="0" applyFont="1" applyFill="1" applyBorder="1"/>
    <xf numFmtId="0" fontId="4" fillId="2" borderId="50" xfId="0" applyFont="1" applyFill="1" applyBorder="1"/>
    <xf numFmtId="0" fontId="4" fillId="2" borderId="49" xfId="0" quotePrefix="1" applyFont="1" applyFill="1" applyBorder="1" applyAlignment="1">
      <alignment horizontal="center" textRotation="90" wrapText="1"/>
    </xf>
    <xf numFmtId="0" fontId="4" fillId="2" borderId="51" xfId="0" quotePrefix="1" applyFont="1" applyFill="1" applyBorder="1" applyAlignment="1">
      <alignment horizontal="center" textRotation="90" wrapText="1"/>
    </xf>
    <xf numFmtId="164" fontId="4" fillId="2" borderId="42" xfId="0" quotePrefix="1" applyNumberFormat="1" applyFont="1" applyFill="1" applyBorder="1" applyAlignment="1">
      <alignment horizontal="center" textRotation="90" wrapText="1"/>
    </xf>
    <xf numFmtId="164" fontId="4" fillId="2" borderId="18" xfId="0" quotePrefix="1" applyNumberFormat="1" applyFont="1" applyFill="1" applyBorder="1" applyAlignment="1">
      <alignment horizontal="center" textRotation="90" wrapText="1"/>
    </xf>
    <xf numFmtId="2" fontId="4" fillId="0" borderId="21" xfId="0" applyNumberFormat="1" applyFont="1" applyBorder="1"/>
    <xf numFmtId="0" fontId="4" fillId="0" borderId="21" xfId="0" applyFont="1" applyBorder="1"/>
    <xf numFmtId="0" fontId="4" fillId="0" borderId="22" xfId="0" applyFont="1" applyBorder="1"/>
    <xf numFmtId="0" fontId="4" fillId="0" borderId="25" xfId="0" applyFont="1" applyBorder="1"/>
    <xf numFmtId="20" fontId="6" fillId="3" borderId="27" xfId="0" applyNumberFormat="1" applyFont="1" applyFill="1" applyBorder="1"/>
    <xf numFmtId="20" fontId="6" fillId="3" borderId="28" xfId="0" applyNumberFormat="1" applyFont="1" applyFill="1" applyBorder="1"/>
    <xf numFmtId="0" fontId="4" fillId="3" borderId="29" xfId="0" applyFont="1" applyFill="1" applyBorder="1"/>
    <xf numFmtId="0" fontId="4" fillId="0" borderId="12" xfId="0" applyFont="1" applyBorder="1"/>
    <xf numFmtId="0" fontId="4" fillId="0" borderId="11" xfId="0" applyFont="1" applyBorder="1"/>
    <xf numFmtId="0" fontId="4" fillId="0" borderId="37" xfId="0" applyFont="1" applyBorder="1"/>
    <xf numFmtId="0" fontId="4" fillId="2" borderId="47" xfId="0" applyFont="1" applyFill="1" applyBorder="1"/>
    <xf numFmtId="2" fontId="8" fillId="2" borderId="47" xfId="0" applyNumberFormat="1" applyFont="1" applyFill="1" applyBorder="1"/>
    <xf numFmtId="37" fontId="4" fillId="2" borderId="47" xfId="0" applyNumberFormat="1" applyFont="1" applyFill="1" applyBorder="1"/>
    <xf numFmtId="0" fontId="9" fillId="2" borderId="47" xfId="0" applyFont="1" applyFill="1" applyBorder="1"/>
    <xf numFmtId="0" fontId="9" fillId="2" borderId="48" xfId="0" applyFont="1" applyFill="1" applyBorder="1"/>
    <xf numFmtId="164" fontId="4" fillId="2" borderId="49" xfId="0" quotePrefix="1" applyNumberFormat="1" applyFont="1" applyFill="1" applyBorder="1" applyAlignment="1">
      <alignment horizontal="center" textRotation="90" wrapText="1"/>
    </xf>
    <xf numFmtId="164" fontId="4" fillId="2" borderId="50" xfId="0" quotePrefix="1" applyNumberFormat="1" applyFont="1" applyFill="1" applyBorder="1" applyAlignment="1">
      <alignment horizontal="center" textRotation="90" wrapText="1"/>
    </xf>
    <xf numFmtId="0" fontId="4" fillId="2" borderId="47" xfId="0" applyFont="1" applyFill="1" applyBorder="1" applyAlignment="1">
      <alignment horizontal="right"/>
    </xf>
    <xf numFmtId="0" fontId="4" fillId="3" borderId="27" xfId="0" applyFont="1" applyFill="1" applyBorder="1"/>
    <xf numFmtId="20" fontId="9" fillId="2" borderId="47" xfId="0" applyNumberFormat="1" applyFont="1" applyFill="1" applyBorder="1"/>
    <xf numFmtId="164" fontId="4" fillId="2" borderId="51" xfId="0" quotePrefix="1" applyNumberFormat="1" applyFont="1" applyFill="1" applyBorder="1" applyAlignment="1">
      <alignment horizontal="center" textRotation="90" wrapText="1"/>
    </xf>
    <xf numFmtId="0" fontId="4" fillId="2" borderId="18" xfId="0" applyFont="1" applyFill="1" applyBorder="1"/>
    <xf numFmtId="0" fontId="4" fillId="2" borderId="18" xfId="0" applyFont="1" applyFill="1" applyBorder="1" applyAlignment="1">
      <alignment horizontal="left"/>
    </xf>
    <xf numFmtId="0" fontId="4" fillId="2" borderId="18" xfId="0" applyFont="1" applyFill="1" applyBorder="1" applyAlignment="1">
      <alignment horizontal="right"/>
    </xf>
    <xf numFmtId="0" fontId="4" fillId="2" borderId="42" xfId="0" applyFont="1" applyFill="1" applyBorder="1" applyAlignment="1">
      <alignment horizontal="left"/>
    </xf>
    <xf numFmtId="0" fontId="6" fillId="2" borderId="42" xfId="0" quotePrefix="1" applyFont="1" applyFill="1" applyBorder="1" applyAlignment="1">
      <alignment horizontal="right"/>
    </xf>
    <xf numFmtId="0" fontId="4" fillId="2" borderId="50" xfId="0" quotePrefix="1" applyFont="1" applyFill="1" applyBorder="1" applyAlignment="1">
      <alignment horizontal="center" textRotation="90" wrapText="1"/>
    </xf>
    <xf numFmtId="20" fontId="6" fillId="3" borderId="57" xfId="0" applyNumberFormat="1" applyFont="1" applyFill="1" applyBorder="1"/>
    <xf numFmtId="20" fontId="6" fillId="3" borderId="58" xfId="0" applyNumberFormat="1" applyFont="1" applyFill="1" applyBorder="1"/>
    <xf numFmtId="22" fontId="4" fillId="0" borderId="21" xfId="0" applyNumberFormat="1" applyFont="1" applyBorder="1"/>
    <xf numFmtId="17" fontId="4" fillId="2" borderId="2" xfId="0" applyNumberFormat="1" applyFont="1" applyFill="1" applyBorder="1" applyAlignment="1">
      <alignment horizontal="left"/>
    </xf>
    <xf numFmtId="0" fontId="2" fillId="0" borderId="3" xfId="0" applyFont="1" applyBorder="1" applyAlignment="1"/>
    <xf numFmtId="0" fontId="4" fillId="2" borderId="1" xfId="0" applyFont="1" applyFill="1" applyBorder="1" applyAlignment="1">
      <alignment horizontal="center"/>
    </xf>
    <xf numFmtId="0" fontId="2" fillId="0" borderId="2" xfId="0" applyFont="1" applyBorder="1" applyAlignment="1"/>
    <xf numFmtId="0" fontId="1" fillId="2" borderId="35" xfId="0" applyFont="1" applyFill="1" applyBorder="1" applyAlignment="1">
      <alignment horizontal="left"/>
    </xf>
    <xf numFmtId="0" fontId="2" fillId="0" borderId="47" xfId="0" applyFont="1" applyBorder="1" applyAlignment="1"/>
    <xf numFmtId="0" fontId="2" fillId="0" borderId="36" xfId="0" applyFont="1" applyBorder="1" applyAlignment="1"/>
    <xf numFmtId="0" fontId="3" fillId="2" borderId="1" xfId="0" applyFont="1" applyFill="1" applyBorder="1" applyAlignment="1">
      <alignment horizontal="center"/>
    </xf>
    <xf numFmtId="0" fontId="3" fillId="2" borderId="1" xfId="0" quotePrefix="1" applyFont="1" applyFill="1" applyBorder="1" applyAlignment="1">
      <alignment horizontal="right"/>
    </xf>
    <xf numFmtId="0" fontId="4" fillId="2" borderId="2" xfId="0" applyFont="1" applyFill="1" applyBorder="1" applyAlignment="1">
      <alignment horizontal="left"/>
    </xf>
    <xf numFmtId="0" fontId="4" fillId="2" borderId="1" xfId="0" quotePrefix="1" applyFont="1" applyFill="1" applyBorder="1" applyAlignment="1">
      <alignment horizontal="right"/>
    </xf>
    <xf numFmtId="0" fontId="3" fillId="2" borderId="35" xfId="0" applyFont="1" applyFill="1" applyBorder="1" applyAlignment="1">
      <alignment horizontal="center"/>
    </xf>
    <xf numFmtId="0" fontId="2" fillId="0" borderId="38" xfId="0" applyFont="1" applyBorder="1" applyAlignment="1"/>
    <xf numFmtId="0" fontId="1" fillId="2" borderId="1" xfId="0" applyFont="1" applyFill="1" applyBorder="1" applyAlignment="1">
      <alignment horizontal="left"/>
    </xf>
    <xf numFmtId="17" fontId="4" fillId="2" borderId="47" xfId="0" applyNumberFormat="1" applyFont="1" applyFill="1" applyBorder="1" applyAlignment="1">
      <alignment horizontal="left"/>
    </xf>
    <xf numFmtId="0" fontId="3" fillId="2" borderId="35" xfId="0" quotePrefix="1" applyFont="1" applyFill="1" applyBorder="1" applyAlignment="1">
      <alignment horizontal="right"/>
    </xf>
    <xf numFmtId="0" fontId="4" fillId="2" borderId="47" xfId="0" applyFont="1" applyFill="1" applyBorder="1" applyAlignment="1">
      <alignment horizontal="left"/>
    </xf>
    <xf numFmtId="0" fontId="4" fillId="2" borderId="35" xfId="0" quotePrefix="1" applyFont="1" applyFill="1" applyBorder="1" applyAlignment="1">
      <alignment horizontal="right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 patternType="none"/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  <col min="39" max="39" width="11.42578125" customWidth="1"/>
    <col min="40" max="40" width="6.7109375" customWidth="1"/>
    <col min="41" max="41" width="6.42578125" customWidth="1"/>
    <col min="42" max="44" width="11.42578125" customWidth="1"/>
  </cols>
  <sheetData>
    <row r="1" spans="1:44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196" t="s">
        <v>1</v>
      </c>
      <c r="I1" s="191"/>
      <c r="J1" s="197" t="str">
        <f>Summen!B3</f>
        <v>Michael Küng</v>
      </c>
      <c r="K1" s="191"/>
      <c r="L1" s="191"/>
      <c r="M1" s="189"/>
      <c r="N1" s="198" t="s">
        <v>2</v>
      </c>
      <c r="O1" s="191"/>
      <c r="P1" s="188">
        <f>Summen!B27</f>
        <v>46023</v>
      </c>
      <c r="Q1" s="189"/>
      <c r="R1" s="1"/>
      <c r="S1" s="2" t="s">
        <v>3</v>
      </c>
      <c r="T1" s="2"/>
      <c r="U1" s="3">
        <f>Summen!B5</f>
        <v>1</v>
      </c>
      <c r="V1" s="1"/>
      <c r="W1" s="4" t="s">
        <v>4</v>
      </c>
      <c r="X1" s="5">
        <v>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  <c r="AM1" s="6"/>
      <c r="AN1" s="6"/>
      <c r="AO1" s="6"/>
      <c r="AP1" s="6"/>
      <c r="AQ1" s="6"/>
      <c r="AR1" s="6"/>
    </row>
    <row r="2" spans="1:44" ht="12.75" customHeight="1">
      <c r="A2" s="8"/>
      <c r="B2" s="9"/>
      <c r="C2" s="10" t="s">
        <v>5</v>
      </c>
      <c r="D2" s="11"/>
      <c r="E2" s="12">
        <f>Summen!B18</f>
        <v>10.8</v>
      </c>
      <c r="F2" s="11" t="s">
        <v>6</v>
      </c>
      <c r="G2" s="11"/>
      <c r="H2" s="12">
        <v>0</v>
      </c>
      <c r="I2" s="11" t="s">
        <v>7</v>
      </c>
      <c r="J2" s="13">
        <f>E2-H2</f>
        <v>10.8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5">
        <f>Summen!B14</f>
        <v>0</v>
      </c>
      <c r="V2" s="190" t="s">
        <v>9</v>
      </c>
      <c r="W2" s="191"/>
      <c r="X2" s="189"/>
      <c r="Y2" s="17"/>
      <c r="Z2" s="17"/>
      <c r="AA2" s="17"/>
      <c r="AB2" s="17"/>
      <c r="AC2" s="17"/>
      <c r="AD2" s="17"/>
      <c r="AE2" s="17"/>
      <c r="AF2" s="18"/>
      <c r="AG2" s="1"/>
      <c r="AH2" s="19"/>
      <c r="AI2" s="19"/>
      <c r="AJ2" s="20"/>
      <c r="AK2" s="6"/>
      <c r="AL2" s="7"/>
      <c r="AO2" s="21"/>
    </row>
    <row r="3" spans="1:44" ht="69.75" customHeight="1">
      <c r="A3" s="22" t="s">
        <v>10</v>
      </c>
      <c r="B3" s="145"/>
      <c r="C3" s="146" t="s">
        <v>11</v>
      </c>
      <c r="D3" s="146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26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156" t="s">
        <v>27</v>
      </c>
      <c r="AH3" s="157" t="s">
        <v>28</v>
      </c>
      <c r="AI3" s="157" t="s">
        <v>29</v>
      </c>
      <c r="AJ3" s="27" t="s">
        <v>30</v>
      </c>
      <c r="AK3" s="6"/>
      <c r="AL3" s="28" t="s">
        <v>31</v>
      </c>
    </row>
    <row r="4" spans="1:44" ht="13.5" customHeight="1">
      <c r="A4" s="29">
        <f>P1</f>
        <v>46023</v>
      </c>
      <c r="B4" s="30" t="str">
        <f>IFERROR(VLOOKUP(A4, Feiertage!$B:$C, 2, 0), IF(OR(WEEKDAY(A4,2)=6, WEEKDAY(A4,2)=7), Feiertage!$C$23, ""))</f>
        <v>* * * * * * * * Neujahr * * * * * * * * * * * * * * * * * * * * * * * * * * * * * * * * * * * * * * * * * * * * * * * * * * * *</v>
      </c>
      <c r="C4" s="158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60"/>
      <c r="R4" s="44">
        <f>IF(OR(WEEKDAY(A4,2)=6,WEEKDAY(A4,2)=7),0,IFERROR(IF(VLOOKUP(A4,Feiertage!$B:$D,3,0)="ja",0,Summen!$B$9),Summen!$B$9))</f>
        <v>0</v>
      </c>
      <c r="S4" s="31">
        <f t="shared" ref="S4:S34" si="0">SUM(C4:Q4)</f>
        <v>0</v>
      </c>
      <c r="T4" s="31">
        <f t="shared" ref="T4:T34" si="1">S4-R4</f>
        <v>0</v>
      </c>
      <c r="U4" s="32">
        <f>U2+T4</f>
        <v>0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  <c r="AN4" s="38"/>
      <c r="AQ4" s="38"/>
    </row>
    <row r="5" spans="1:44" ht="13.5" customHeight="1">
      <c r="A5" s="39">
        <f t="shared" ref="A5:A34" si="7">A4+1</f>
        <v>46024</v>
      </c>
      <c r="B5" s="40" t="str">
        <f>IFERROR(VLOOKUP(A5, Feiertage!$B:$C, 2, 0), IF(OR(WEEKDAY(A5,2)=6, WEEKDAY(A5,2)=7), Feiertage!$C$23, ""))</f>
        <v/>
      </c>
      <c r="C5" s="41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v>0</v>
      </c>
      <c r="S5" s="45">
        <f t="shared" si="0"/>
        <v>0</v>
      </c>
      <c r="T5" s="45">
        <f t="shared" si="1"/>
        <v>0</v>
      </c>
      <c r="U5" s="46">
        <f t="shared" ref="U5:U34" si="8">U4+T5</f>
        <v>0</v>
      </c>
      <c r="V5" s="42"/>
      <c r="W5" s="47"/>
      <c r="X5" s="48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  <c r="AQ5" s="38"/>
    </row>
    <row r="6" spans="1:44" ht="13.5" customHeight="1">
      <c r="A6" s="39">
        <f t="shared" si="7"/>
        <v>46025</v>
      </c>
      <c r="B6" s="51" t="str">
        <f>IFERROR(VLOOKUP(A6, Feiertage!$B:$C, 2, 0), IF(OR(WEEKDAY(A6,2)=6, WEEKDAY(A6,2)=7), Feiertage!$C$23, ""))</f>
        <v>* * * * * * * * Wochenende * * * * * * * * * * * * * * * * * * * * * * * * * * * * * * * * * * * * * * * * * * * * * * * *</v>
      </c>
      <c r="C6" s="52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48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  <c r="AQ6" s="38"/>
    </row>
    <row r="7" spans="1:44" ht="13.5" customHeight="1">
      <c r="A7" s="39">
        <f t="shared" si="7"/>
        <v>46026</v>
      </c>
      <c r="B7" s="164" t="str">
        <f>IFERROR(VLOOKUP(A7, Feiertage!$B:$C, 2, 0), IF(OR(WEEKDAY(A7,2)=6, WEEKDAY(A7,2)=7), Feiertage!$C$23, ""))</f>
        <v>* * * * * * * * Wochenende * * * * * * * * * * * * * * * * * * * * * * * * * * * * * * * * * * * * * * * * * * * * * * * *</v>
      </c>
      <c r="C7" s="41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48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  <c r="AQ7" s="38"/>
    </row>
    <row r="8" spans="1:44" ht="13.5" customHeight="1">
      <c r="A8" s="39">
        <f t="shared" si="7"/>
        <v>46027</v>
      </c>
      <c r="B8" s="51" t="str">
        <f>IFERROR(VLOOKUP(A8, Feiertage!$B:$C, 2, 0), IF(OR(WEEKDAY(A8,2)=6, WEEKDAY(A8,2)=7), Feiertage!$C$23, ""))</f>
        <v/>
      </c>
      <c r="C8" s="158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48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  <c r="AQ8" s="38"/>
    </row>
    <row r="9" spans="1:44" ht="13.5" customHeight="1">
      <c r="A9" s="39">
        <f t="shared" si="7"/>
        <v>46028</v>
      </c>
      <c r="B9" s="40" t="str">
        <f>IFERROR(VLOOKUP(A9, Feiertage!$B:$C, 2, 0), IF(OR(WEEKDAY(A9,2)=6, WEEKDAY(A9,2)=7), Feiertage!$C$23, ""))</f>
        <v/>
      </c>
      <c r="C9" s="41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48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  <c r="AQ9" s="38"/>
    </row>
    <row r="10" spans="1:44" ht="13.5" customHeight="1">
      <c r="A10" s="39">
        <f t="shared" si="7"/>
        <v>46029</v>
      </c>
      <c r="B10" s="51" t="str">
        <f>IFERROR(VLOOKUP(A10, Feiertage!$B:$C, 2, 0), IF(OR(WEEKDAY(A10,2)=6, WEEKDAY(A10,2)=7), Feiertage!$C$23, ""))</f>
        <v/>
      </c>
      <c r="C10" s="52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48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  <c r="AQ10" s="38"/>
    </row>
    <row r="11" spans="1:44" ht="13.5" customHeight="1">
      <c r="A11" s="39">
        <f t="shared" si="7"/>
        <v>46030</v>
      </c>
      <c r="B11" s="40" t="str">
        <f>IFERROR(VLOOKUP(A11, Feiertage!$B:$C, 2, 0), IF(OR(WEEKDAY(A11,2)=6, WEEKDAY(A11,2)=7), Feiertage!$C$23, ""))</f>
        <v/>
      </c>
      <c r="C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48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  <c r="AQ11" s="38"/>
    </row>
    <row r="12" spans="1:44" ht="13.5" customHeight="1">
      <c r="A12" s="39">
        <f t="shared" si="7"/>
        <v>46031</v>
      </c>
      <c r="B12" s="57" t="str">
        <f>IFERROR(VLOOKUP(A12, Feiertage!$B:$C, 2, 0), IF(OR(WEEKDAY(A12,2)=6, WEEKDAY(A12,2)=7), Feiertage!$C$23, ""))</f>
        <v/>
      </c>
      <c r="C12" s="158"/>
      <c r="D12" s="58"/>
      <c r="E12" s="58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48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  <c r="AQ12" s="38"/>
    </row>
    <row r="13" spans="1:44" ht="13.5" customHeight="1">
      <c r="A13" s="39">
        <f t="shared" si="7"/>
        <v>46032</v>
      </c>
      <c r="B13" s="164" t="str">
        <f>IFERROR(VLOOKUP(A13, Feiertage!$B:$C, 2, 0), IF(OR(WEEKDAY(A13,2)=6, WEEKDAY(A13,2)=7), Feiertage!$C$23, ""))</f>
        <v>* * * * * * * * Wochenende * * * * * * * * * * * * * * * * * * * * * * * * * * * * * * * * * * * * * * * * * * * * * * * *</v>
      </c>
      <c r="C13" s="41"/>
      <c r="D13" s="59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48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  <c r="AQ13" s="38"/>
    </row>
    <row r="14" spans="1:44" ht="13.5" customHeight="1">
      <c r="A14" s="39">
        <f t="shared" si="7"/>
        <v>46033</v>
      </c>
      <c r="B14" s="57" t="str">
        <f>IFERROR(VLOOKUP(A14, Feiertage!$B:$C, 2, 0), IF(OR(WEEKDAY(A14,2)=6, WEEKDAY(A14,2)=7), Feiertage!$C$23, ""))</f>
        <v>* * * * * * * * Wochenende * * * * * * * * * * * * * * * * * * * * * * * * * * * * * * * * * * * * * * * * * * * * * * * *</v>
      </c>
      <c r="C14" s="158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48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  <c r="AQ14" s="38"/>
    </row>
    <row r="15" spans="1:44" ht="13.5" customHeight="1">
      <c r="A15" s="39">
        <f t="shared" si="7"/>
        <v>46034</v>
      </c>
      <c r="B15" s="164" t="str">
        <f>IFERROR(VLOOKUP(A15, Feiertage!$B:$C, 2, 0), IF(OR(WEEKDAY(A15,2)=6, WEEKDAY(A15,2)=7), Feiertage!$C$23, ""))</f>
        <v/>
      </c>
      <c r="C15" s="41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48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  <c r="AQ15" s="38"/>
    </row>
    <row r="16" spans="1:44" ht="13.5" customHeight="1">
      <c r="A16" s="39">
        <f t="shared" si="7"/>
        <v>46035</v>
      </c>
      <c r="B16" s="57" t="str">
        <f>IFERROR(VLOOKUP(A16, Feiertage!$B:$C, 2, 0), IF(OR(WEEKDAY(A16,2)=6, WEEKDAY(A16,2)=7), Feiertage!$C$23, ""))</f>
        <v/>
      </c>
      <c r="C16" s="158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48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  <c r="AQ16" s="38"/>
    </row>
    <row r="17" spans="1:43" ht="13.5" customHeight="1">
      <c r="A17" s="39">
        <f t="shared" si="7"/>
        <v>46036</v>
      </c>
      <c r="B17" s="164" t="str">
        <f>IFERROR(VLOOKUP(A17, Feiertage!$B:$C, 2, 0), IF(OR(WEEKDAY(A17,2)=6, WEEKDAY(A17,2)=7), Feiertage!$C$23, ""))</f>
        <v/>
      </c>
      <c r="C17" s="41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48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  <c r="AQ17" s="38"/>
    </row>
    <row r="18" spans="1:43" ht="13.5" customHeight="1">
      <c r="A18" s="39">
        <f t="shared" si="7"/>
        <v>46037</v>
      </c>
      <c r="B18" s="57" t="str">
        <f>IFERROR(VLOOKUP(A18, Feiertage!$B:$C, 2, 0), IF(OR(WEEKDAY(A18,2)=6, WEEKDAY(A18,2)=7), Feiertage!$C$23, ""))</f>
        <v/>
      </c>
      <c r="C18" s="158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v>0</v>
      </c>
      <c r="S18" s="45">
        <f t="shared" si="0"/>
        <v>0</v>
      </c>
      <c r="T18" s="45">
        <f t="shared" si="1"/>
        <v>0</v>
      </c>
      <c r="U18" s="46">
        <f t="shared" si="8"/>
        <v>0</v>
      </c>
      <c r="V18" s="159"/>
      <c r="W18" s="161"/>
      <c r="X18" s="48">
        <f>V18+W18*Summen!$B$44</f>
        <v>0</v>
      </c>
      <c r="Y18" s="53"/>
      <c r="Z18" s="54"/>
      <c r="AA18" s="54"/>
      <c r="AB18" s="54"/>
      <c r="AC18" s="54"/>
      <c r="AD18" s="54"/>
      <c r="AE18" s="54"/>
      <c r="AF18" s="55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  <c r="AQ18" s="38"/>
    </row>
    <row r="19" spans="1:43" ht="13.5" customHeight="1">
      <c r="A19" s="39">
        <f t="shared" si="7"/>
        <v>46038</v>
      </c>
      <c r="B19" s="164" t="str">
        <f>IFERROR(VLOOKUP(A19, Feiertage!$B:$C, 2, 0), IF(OR(WEEKDAY(A19,2)=6, WEEKDAY(A19,2)=7), Feiertage!$C$23, ""))</f>
        <v/>
      </c>
      <c r="C19" s="41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v>0</v>
      </c>
      <c r="S19" s="45">
        <f t="shared" si="0"/>
        <v>0</v>
      </c>
      <c r="T19" s="45">
        <f t="shared" si="1"/>
        <v>0</v>
      </c>
      <c r="U19" s="46">
        <f t="shared" si="8"/>
        <v>0</v>
      </c>
      <c r="V19" s="42"/>
      <c r="W19" s="47"/>
      <c r="X19" s="48">
        <f>V19+W19*Summen!$B$44</f>
        <v>0</v>
      </c>
      <c r="Y19" s="162"/>
      <c r="Z19" s="49"/>
      <c r="AA19" s="49"/>
      <c r="AB19" s="49"/>
      <c r="AC19" s="49"/>
      <c r="AD19" s="49"/>
      <c r="AE19" s="49"/>
      <c r="AF19" s="163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  <c r="AQ19" s="38"/>
    </row>
    <row r="20" spans="1:43" ht="13.5" customHeight="1">
      <c r="A20" s="39">
        <f t="shared" si="7"/>
        <v>46039</v>
      </c>
      <c r="B20" s="57" t="str">
        <f>IFERROR(VLOOKUP(A20, Feiertage!$B:$C, 2, 0), IF(OR(WEEKDAY(A20,2)=6, WEEKDAY(A20,2)=7), Feiertage!$C$23, ""))</f>
        <v>* * * * * * * * Wochenende * * * * * * * * * * * * * * * * * * * * * * * * * * * * * * * * * * * * * * * * * * * * * * * *</v>
      </c>
      <c r="C20" s="158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0</v>
      </c>
      <c r="S20" s="45">
        <f t="shared" si="0"/>
        <v>0</v>
      </c>
      <c r="T20" s="45">
        <f t="shared" si="1"/>
        <v>0</v>
      </c>
      <c r="U20" s="46">
        <f t="shared" si="8"/>
        <v>0</v>
      </c>
      <c r="V20" s="159"/>
      <c r="W20" s="161"/>
      <c r="X20" s="48">
        <f>V20+W20*Summen!$B$44</f>
        <v>0</v>
      </c>
      <c r="Y20" s="53"/>
      <c r="Z20" s="54"/>
      <c r="AA20" s="54"/>
      <c r="AB20" s="54"/>
      <c r="AC20" s="54"/>
      <c r="AD20" s="54"/>
      <c r="AE20" s="54"/>
      <c r="AF20" s="55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  <c r="AQ20" s="38"/>
    </row>
    <row r="21" spans="1:43" ht="13.5" customHeight="1">
      <c r="A21" s="39">
        <f t="shared" si="7"/>
        <v>46040</v>
      </c>
      <c r="B21" s="164" t="str">
        <f>IFERROR(VLOOKUP(A21, Feiertage!$B:$C, 2, 0), IF(OR(WEEKDAY(A21,2)=6, WEEKDAY(A21,2)=7), Feiertage!$C$23, ""))</f>
        <v>* * * * * * * * Wochenende * * * * * * * * * * * * * * * * * * * * * * * * * * * * * * * * * * * * * * * * * * * * * * * *</v>
      </c>
      <c r="C21" s="41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0</v>
      </c>
      <c r="S21" s="45">
        <f t="shared" si="0"/>
        <v>0</v>
      </c>
      <c r="T21" s="45">
        <f t="shared" si="1"/>
        <v>0</v>
      </c>
      <c r="U21" s="46">
        <f t="shared" si="8"/>
        <v>0</v>
      </c>
      <c r="V21" s="42"/>
      <c r="W21" s="47"/>
      <c r="X21" s="48">
        <f>V21+W21*Summen!$B$44</f>
        <v>0</v>
      </c>
      <c r="Y21" s="162"/>
      <c r="Z21" s="49"/>
      <c r="AA21" s="49"/>
      <c r="AB21" s="49"/>
      <c r="AC21" s="49"/>
      <c r="AD21" s="49"/>
      <c r="AE21" s="49"/>
      <c r="AF21" s="163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  <c r="AQ21" s="38"/>
    </row>
    <row r="22" spans="1:43" ht="13.5" customHeight="1">
      <c r="A22" s="39">
        <f t="shared" si="7"/>
        <v>46041</v>
      </c>
      <c r="B22" s="57" t="str">
        <f>IFERROR(VLOOKUP(A22, Feiertage!$B:$C, 2, 0), IF(OR(WEEKDAY(A22,2)=6, WEEKDAY(A22,2)=7), Feiertage!$C$23, ""))</f>
        <v/>
      </c>
      <c r="C22" s="158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v>0</v>
      </c>
      <c r="S22" s="45">
        <f t="shared" si="0"/>
        <v>0</v>
      </c>
      <c r="T22" s="45">
        <f t="shared" si="1"/>
        <v>0</v>
      </c>
      <c r="U22" s="46">
        <f t="shared" si="8"/>
        <v>0</v>
      </c>
      <c r="V22" s="159"/>
      <c r="W22" s="161"/>
      <c r="X22" s="48">
        <f>V22+W22*Summen!$B$44</f>
        <v>0</v>
      </c>
      <c r="Y22" s="53"/>
      <c r="Z22" s="54"/>
      <c r="AA22" s="54"/>
      <c r="AB22" s="54"/>
      <c r="AC22" s="54"/>
      <c r="AD22" s="54"/>
      <c r="AE22" s="54"/>
      <c r="AF22" s="55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  <c r="AQ22" s="38"/>
    </row>
    <row r="23" spans="1:43" ht="13.5" customHeight="1">
      <c r="A23" s="39">
        <f t="shared" si="7"/>
        <v>46042</v>
      </c>
      <c r="B23" s="164" t="str">
        <f>IFERROR(VLOOKUP(A23, Feiertage!$B:$C, 2, 0), IF(OR(WEEKDAY(A23,2)=6, WEEKDAY(A23,2)=7), Feiertage!$C$23, ""))</f>
        <v/>
      </c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v>0</v>
      </c>
      <c r="S23" s="45">
        <f t="shared" si="0"/>
        <v>0</v>
      </c>
      <c r="T23" s="45">
        <f t="shared" si="1"/>
        <v>0</v>
      </c>
      <c r="U23" s="46">
        <f t="shared" si="8"/>
        <v>0</v>
      </c>
      <c r="V23" s="42"/>
      <c r="W23" s="47"/>
      <c r="X23" s="48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  <c r="AQ23" s="38"/>
    </row>
    <row r="24" spans="1:43" ht="13.5" customHeight="1">
      <c r="A24" s="39">
        <f t="shared" si="7"/>
        <v>46043</v>
      </c>
      <c r="B24" s="57" t="str">
        <f>IFERROR(VLOOKUP(A24, Feiertage!$B:$C, 2, 0), IF(OR(WEEKDAY(A24,2)=6, WEEKDAY(A24,2)=7), Feiertage!$C$23, ""))</f>
        <v/>
      </c>
      <c r="C24" s="158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v>0</v>
      </c>
      <c r="S24" s="45">
        <f t="shared" si="0"/>
        <v>0</v>
      </c>
      <c r="T24" s="45">
        <f t="shared" si="1"/>
        <v>0</v>
      </c>
      <c r="U24" s="46">
        <f t="shared" si="8"/>
        <v>0</v>
      </c>
      <c r="V24" s="159"/>
      <c r="W24" s="161"/>
      <c r="X24" s="48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  <c r="AQ24" s="38"/>
    </row>
    <row r="25" spans="1:43" ht="13.5" customHeight="1">
      <c r="A25" s="39">
        <f t="shared" si="7"/>
        <v>46044</v>
      </c>
      <c r="B25" s="164" t="str">
        <f>IFERROR(VLOOKUP(A25, Feiertage!$B:$C, 2, 0), IF(OR(WEEKDAY(A25,2)=6, WEEKDAY(A25,2)=7), Feiertage!$C$23, ""))</f>
        <v/>
      </c>
      <c r="C25" s="41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v>0</v>
      </c>
      <c r="S25" s="45">
        <f t="shared" si="0"/>
        <v>0</v>
      </c>
      <c r="T25" s="45">
        <f t="shared" si="1"/>
        <v>0</v>
      </c>
      <c r="U25" s="46">
        <f t="shared" si="8"/>
        <v>0</v>
      </c>
      <c r="V25" s="42"/>
      <c r="W25" s="47"/>
      <c r="X25" s="48">
        <f>V25+W25*Summen!$B$44</f>
        <v>0</v>
      </c>
      <c r="Y25" s="162"/>
      <c r="Z25" s="49"/>
      <c r="AA25" s="49"/>
      <c r="AB25" s="49"/>
      <c r="AC25" s="49"/>
      <c r="AD25" s="49"/>
      <c r="AE25" s="49"/>
      <c r="AF25" s="163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  <c r="AQ25" s="38"/>
    </row>
    <row r="26" spans="1:43" ht="13.5" customHeight="1">
      <c r="A26" s="39">
        <f t="shared" si="7"/>
        <v>46045</v>
      </c>
      <c r="B26" s="57" t="str">
        <f>IFERROR(VLOOKUP(A26, Feiertage!$B:$C, 2, 0), IF(OR(WEEKDAY(A26,2)=6, WEEKDAY(A26,2)=7), Feiertage!$C$23, ""))</f>
        <v/>
      </c>
      <c r="C26" s="158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v>0</v>
      </c>
      <c r="S26" s="45">
        <f t="shared" si="0"/>
        <v>0</v>
      </c>
      <c r="T26" s="45">
        <f t="shared" si="1"/>
        <v>0</v>
      </c>
      <c r="U26" s="46">
        <f t="shared" si="8"/>
        <v>0</v>
      </c>
      <c r="V26" s="159"/>
      <c r="W26" s="161"/>
      <c r="X26" s="48">
        <f>V26+W26*Summen!$B$44</f>
        <v>0</v>
      </c>
      <c r="Y26" s="53"/>
      <c r="Z26" s="54"/>
      <c r="AA26" s="54"/>
      <c r="AB26" s="54"/>
      <c r="AC26" s="54"/>
      <c r="AD26" s="54"/>
      <c r="AE26" s="54"/>
      <c r="AF26" s="55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  <c r="AQ26" s="38"/>
    </row>
    <row r="27" spans="1:43" ht="13.5" customHeight="1">
      <c r="A27" s="39">
        <f t="shared" si="7"/>
        <v>46046</v>
      </c>
      <c r="B27" s="164" t="str">
        <f>IFERROR(VLOOKUP(A27, Feiertage!$B:$C, 2, 0), IF(OR(WEEKDAY(A27,2)=6, WEEKDAY(A27,2)=7), Feiertage!$C$23, ""))</f>
        <v>* * * * * * * * Wochenende * * * * * * * * * * * * * * * * * * * * * * * * * * * * * * * * * * * * * * * * * * * * * * * *</v>
      </c>
      <c r="C27" s="41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0</v>
      </c>
      <c r="S27" s="45">
        <f t="shared" si="0"/>
        <v>0</v>
      </c>
      <c r="T27" s="45">
        <f t="shared" si="1"/>
        <v>0</v>
      </c>
      <c r="U27" s="46">
        <f t="shared" si="8"/>
        <v>0</v>
      </c>
      <c r="V27" s="42"/>
      <c r="W27" s="47"/>
      <c r="X27" s="48">
        <f>V27+W27*Summen!$B$44</f>
        <v>0</v>
      </c>
      <c r="Y27" s="162"/>
      <c r="Z27" s="49"/>
      <c r="AA27" s="49"/>
      <c r="AB27" s="49"/>
      <c r="AC27" s="49"/>
      <c r="AD27" s="49"/>
      <c r="AE27" s="49"/>
      <c r="AF27" s="163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  <c r="AQ27" s="38"/>
    </row>
    <row r="28" spans="1:43" ht="13.5" customHeight="1">
      <c r="A28" s="39">
        <f t="shared" si="7"/>
        <v>46047</v>
      </c>
      <c r="B28" s="57" t="str">
        <f>IFERROR(VLOOKUP(A28, Feiertage!$B:$C, 2, 0), IF(OR(WEEKDAY(A28,2)=6, WEEKDAY(A28,2)=7), Feiertage!$C$23, ""))</f>
        <v>* * * * * * * * Wochenende * * * * * * * * * * * * * * * * * * * * * * * * * * * * * * * * * * * * * * * * * * * * * * * *</v>
      </c>
      <c r="C28" s="158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0</v>
      </c>
      <c r="S28" s="45">
        <f t="shared" si="0"/>
        <v>0</v>
      </c>
      <c r="T28" s="45">
        <f t="shared" si="1"/>
        <v>0</v>
      </c>
      <c r="U28" s="46">
        <f t="shared" si="8"/>
        <v>0</v>
      </c>
      <c r="V28" s="159"/>
      <c r="W28" s="161"/>
      <c r="X28" s="48">
        <f>V28+W28*Summen!$B$44</f>
        <v>0</v>
      </c>
      <c r="Y28" s="53"/>
      <c r="Z28" s="54"/>
      <c r="AA28" s="54"/>
      <c r="AB28" s="54"/>
      <c r="AC28" s="54"/>
      <c r="AD28" s="54"/>
      <c r="AE28" s="54"/>
      <c r="AF28" s="55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  <c r="AQ28" s="38"/>
    </row>
    <row r="29" spans="1:43" ht="13.5" customHeight="1">
      <c r="A29" s="39">
        <f t="shared" si="7"/>
        <v>46048</v>
      </c>
      <c r="B29" s="164" t="str">
        <f>IFERROR(VLOOKUP(A29, Feiertage!$B:$C, 2, 0), IF(OR(WEEKDAY(A29,2)=6, WEEKDAY(A29,2)=7), Feiertage!$C$23, ""))</f>
        <v/>
      </c>
      <c r="C29" s="41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v>0</v>
      </c>
      <c r="S29" s="45">
        <f t="shared" si="0"/>
        <v>0</v>
      </c>
      <c r="T29" s="45">
        <f t="shared" si="1"/>
        <v>0</v>
      </c>
      <c r="U29" s="46">
        <f t="shared" si="8"/>
        <v>0</v>
      </c>
      <c r="V29" s="42"/>
      <c r="W29" s="47"/>
      <c r="X29" s="48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  <c r="AQ29" s="38"/>
    </row>
    <row r="30" spans="1:43" ht="13.5" customHeight="1">
      <c r="A30" s="39">
        <f t="shared" si="7"/>
        <v>46049</v>
      </c>
      <c r="B30" s="57" t="str">
        <f>IFERROR(VLOOKUP(A30, Feiertage!$B:$C, 2, 0), IF(OR(WEEKDAY(A30,2)=6, WEEKDAY(A30,2)=7), Feiertage!$C$23, ""))</f>
        <v/>
      </c>
      <c r="C30" s="158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v>0</v>
      </c>
      <c r="S30" s="45">
        <f t="shared" si="0"/>
        <v>0</v>
      </c>
      <c r="T30" s="45">
        <f t="shared" si="1"/>
        <v>0</v>
      </c>
      <c r="U30" s="46">
        <f t="shared" si="8"/>
        <v>0</v>
      </c>
      <c r="V30" s="159"/>
      <c r="W30" s="161"/>
      <c r="X30" s="48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  <c r="AQ30" s="38"/>
    </row>
    <row r="31" spans="1:43" ht="13.5" customHeight="1">
      <c r="A31" s="39">
        <f t="shared" si="7"/>
        <v>46050</v>
      </c>
      <c r="B31" s="164" t="str">
        <f>IFERROR(VLOOKUP(A31, Feiertage!$B:$C, 2, 0), IF(OR(WEEKDAY(A31,2)=6, WEEKDAY(A31,2)=7), Feiertage!$C$23, ""))</f>
        <v/>
      </c>
      <c r="C31" s="41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v>0</v>
      </c>
      <c r="S31" s="45">
        <f t="shared" si="0"/>
        <v>0</v>
      </c>
      <c r="T31" s="45">
        <f t="shared" si="1"/>
        <v>0</v>
      </c>
      <c r="U31" s="46">
        <f t="shared" si="8"/>
        <v>0</v>
      </c>
      <c r="V31" s="42"/>
      <c r="W31" s="47"/>
      <c r="X31" s="48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  <c r="AQ31" s="38"/>
    </row>
    <row r="32" spans="1:43" ht="13.5" customHeight="1">
      <c r="A32" s="39">
        <f t="shared" si="7"/>
        <v>46051</v>
      </c>
      <c r="B32" s="57" t="str">
        <f>IFERROR(VLOOKUP(A32, Feiertage!$B:$C, 2, 0), IF(OR(WEEKDAY(A32,2)=6, WEEKDAY(A32,2)=7), Feiertage!$C$23, ""))</f>
        <v/>
      </c>
      <c r="C32" s="158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v>0</v>
      </c>
      <c r="S32" s="45">
        <f t="shared" si="0"/>
        <v>0</v>
      </c>
      <c r="T32" s="45">
        <f t="shared" si="1"/>
        <v>0</v>
      </c>
      <c r="U32" s="46">
        <f t="shared" si="8"/>
        <v>0</v>
      </c>
      <c r="V32" s="159"/>
      <c r="W32" s="161"/>
      <c r="X32" s="48">
        <f>V32+W32*Summen!$B$44</f>
        <v>0</v>
      </c>
      <c r="Y32" s="53"/>
      <c r="Z32" s="54"/>
      <c r="AA32" s="54"/>
      <c r="AB32" s="54"/>
      <c r="AC32" s="54"/>
      <c r="AD32" s="54"/>
      <c r="AE32" s="54"/>
      <c r="AF32" s="55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  <c r="AQ32" s="38"/>
    </row>
    <row r="33" spans="1:43" ht="13.5" customHeight="1">
      <c r="A33" s="39">
        <f t="shared" si="7"/>
        <v>46052</v>
      </c>
      <c r="B33" s="164" t="str">
        <f>IFERROR(VLOOKUP(A33, Feiertage!$B:$C, 2, 0), IF(OR(WEEKDAY(A33,2)=6, WEEKDAY(A33,2)=7), Feiertage!$C$23, ""))</f>
        <v/>
      </c>
      <c r="C33" s="41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v>0</v>
      </c>
      <c r="S33" s="45">
        <f t="shared" si="0"/>
        <v>0</v>
      </c>
      <c r="T33" s="45">
        <f t="shared" si="1"/>
        <v>0</v>
      </c>
      <c r="U33" s="46">
        <f t="shared" si="8"/>
        <v>0</v>
      </c>
      <c r="V33" s="42"/>
      <c r="W33" s="47"/>
      <c r="X33" s="48">
        <f>V33+W33*Summen!$B$44</f>
        <v>0</v>
      </c>
      <c r="Y33" s="162"/>
      <c r="Z33" s="49"/>
      <c r="AA33" s="49"/>
      <c r="AB33" s="49"/>
      <c r="AC33" s="49"/>
      <c r="AD33" s="49"/>
      <c r="AE33" s="49"/>
      <c r="AF33" s="163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  <c r="AQ33" s="38"/>
    </row>
    <row r="34" spans="1:43" ht="13.5" customHeight="1">
      <c r="A34" s="60">
        <f t="shared" si="7"/>
        <v>46053</v>
      </c>
      <c r="B34" s="165" t="str">
        <f>IFERROR(VLOOKUP(A34, Feiertage!$B:$C, 2, 0), IF(OR(WEEKDAY(A34,2)=6, WEEKDAY(A34,2)=7), Feiertage!$C$23, ""))</f>
        <v>* * * * * * * * Wochenende * * * * * * * * * * * * * * * * * * * * * * * * * * * * * * * * * * * * * * * * * * * * * * * *</v>
      </c>
      <c r="C34" s="158"/>
      <c r="D34" s="159"/>
      <c r="E34" s="159"/>
      <c r="F34" s="159"/>
      <c r="G34" s="159"/>
      <c r="H34" s="159"/>
      <c r="I34" s="159"/>
      <c r="J34" s="159"/>
      <c r="K34" s="166"/>
      <c r="L34" s="166"/>
      <c r="M34" s="166"/>
      <c r="N34" s="166"/>
      <c r="O34" s="166"/>
      <c r="P34" s="166"/>
      <c r="Q34" s="167"/>
      <c r="R34" s="44">
        <f>IF(OR(WEEKDAY(A34,2)=6,WEEKDAY(A34,2)=7),0,IFERROR(IF(VLOOKUP(A34,Feiertage!$B:$D,3,0)="ja",0,Summen!$B$9),Summen!$B$9))</f>
        <v>0</v>
      </c>
      <c r="S34" s="61">
        <f t="shared" si="0"/>
        <v>0</v>
      </c>
      <c r="T34" s="61">
        <f t="shared" si="1"/>
        <v>0</v>
      </c>
      <c r="U34" s="62">
        <f t="shared" si="8"/>
        <v>0</v>
      </c>
      <c r="V34" s="159"/>
      <c r="W34" s="161"/>
      <c r="X34" s="48">
        <f>V34+W34*Summen!$B$44</f>
        <v>0</v>
      </c>
      <c r="Y34" s="34"/>
      <c r="Z34" s="35"/>
      <c r="AA34" s="35"/>
      <c r="AB34" s="35"/>
      <c r="AC34" s="35"/>
      <c r="AD34" s="35"/>
      <c r="AE34" s="35"/>
      <c r="AF34" s="35"/>
      <c r="AG34" s="63">
        <f t="shared" si="2"/>
        <v>0</v>
      </c>
      <c r="AH34" s="61">
        <f t="shared" si="3"/>
        <v>0</v>
      </c>
      <c r="AI34" s="61">
        <f t="shared" si="4"/>
        <v>0</v>
      </c>
      <c r="AJ34" s="62">
        <f t="shared" si="5"/>
        <v>0</v>
      </c>
      <c r="AL34" s="37">
        <f t="shared" si="6"/>
        <v>0</v>
      </c>
      <c r="AQ34" s="38"/>
    </row>
    <row r="35" spans="1:43" ht="18" customHeight="1">
      <c r="A35" s="64" t="s">
        <v>32</v>
      </c>
      <c r="B35" s="168"/>
      <c r="C35" s="65">
        <f t="shared" ref="C35:T35" si="9">SUM(C4:C34)</f>
        <v>0</v>
      </c>
      <c r="D35" s="168">
        <f t="shared" si="9"/>
        <v>0</v>
      </c>
      <c r="E35" s="168">
        <f t="shared" si="9"/>
        <v>0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0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0</v>
      </c>
      <c r="S35" s="169">
        <f t="shared" si="9"/>
        <v>0</v>
      </c>
      <c r="T35" s="169">
        <f t="shared" si="9"/>
        <v>0</v>
      </c>
      <c r="U35" s="67">
        <f>U34</f>
        <v>0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171"/>
      <c r="Z35" s="171"/>
      <c r="AA35" s="171"/>
      <c r="AB35" s="171"/>
      <c r="AC35" s="171"/>
      <c r="AD35" s="171"/>
      <c r="AE35" s="171"/>
      <c r="AF35" s="171"/>
      <c r="AG35" s="172"/>
      <c r="AH35" s="172"/>
      <c r="AI35" s="172"/>
      <c r="AJ35" s="69">
        <f>SUM(AJ4:AJ34)</f>
        <v>0</v>
      </c>
      <c r="AK35" s="70"/>
      <c r="AL35" s="37">
        <f t="shared" si="6"/>
        <v>0</v>
      </c>
      <c r="AQ35" s="38"/>
    </row>
    <row r="36" spans="1:43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3"/>
      <c r="AQ36" s="38"/>
    </row>
    <row r="37" spans="1:43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3"/>
      <c r="AQ37" s="38"/>
    </row>
    <row r="38" spans="1:43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3"/>
    </row>
    <row r="39" spans="1:43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3"/>
    </row>
    <row r="40" spans="1:43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3"/>
    </row>
    <row r="41" spans="1:43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3"/>
    </row>
    <row r="42" spans="1:43" ht="12.75" customHeight="1">
      <c r="A42" s="71"/>
      <c r="AL42" s="73"/>
    </row>
    <row r="43" spans="1:43" ht="12.75" customHeight="1">
      <c r="A43" s="71"/>
      <c r="AL43" s="73"/>
    </row>
    <row r="44" spans="1:43" ht="12.75" customHeight="1">
      <c r="A44" s="71"/>
      <c r="AL44" s="73"/>
    </row>
    <row r="45" spans="1:43" ht="12.75" customHeight="1">
      <c r="A45" s="71"/>
      <c r="AL45" s="73"/>
    </row>
    <row r="46" spans="1:43" ht="12.75" customHeight="1">
      <c r="A46" s="71"/>
      <c r="AL46" s="73"/>
    </row>
    <row r="47" spans="1:43" ht="12.75" customHeight="1">
      <c r="A47" s="71"/>
      <c r="AL47" s="73"/>
    </row>
    <row r="48" spans="1:43" ht="12.75" customHeight="1">
      <c r="A48" s="71"/>
      <c r="AL48" s="73"/>
    </row>
    <row r="49" spans="1:38" ht="12.75" customHeight="1">
      <c r="A49" s="71"/>
      <c r="AL49" s="73"/>
    </row>
    <row r="50" spans="1:38" ht="12.75" customHeight="1">
      <c r="A50" s="71"/>
      <c r="AL50" s="73"/>
    </row>
    <row r="51" spans="1:38" ht="12.75" customHeight="1">
      <c r="A51" s="71"/>
      <c r="AL51" s="73"/>
    </row>
    <row r="52" spans="1:38" ht="12.75" customHeight="1">
      <c r="A52" s="71"/>
      <c r="AL52" s="73"/>
    </row>
    <row r="53" spans="1:38" ht="12.75" customHeight="1">
      <c r="A53" s="71"/>
      <c r="AL53" s="73"/>
    </row>
    <row r="54" spans="1:38" ht="12.75" customHeight="1">
      <c r="A54" s="71"/>
      <c r="AL54" s="73"/>
    </row>
    <row r="55" spans="1:38" ht="12.75" customHeight="1">
      <c r="A55" s="71"/>
      <c r="AL55" s="73"/>
    </row>
    <row r="56" spans="1:38" ht="12.75" customHeight="1">
      <c r="A56" s="71"/>
      <c r="AL56" s="73"/>
    </row>
    <row r="57" spans="1:38" ht="12.75" customHeight="1">
      <c r="A57" s="71"/>
      <c r="AL57" s="73"/>
    </row>
    <row r="58" spans="1:38" ht="12.75" customHeight="1">
      <c r="A58" s="71"/>
      <c r="AL58" s="73"/>
    </row>
    <row r="59" spans="1:38" ht="12.75" customHeight="1">
      <c r="A59" s="71"/>
      <c r="AL59" s="73"/>
    </row>
    <row r="60" spans="1:38" ht="12.75" customHeight="1">
      <c r="A60" s="71"/>
      <c r="AL60" s="73"/>
    </row>
    <row r="61" spans="1:38" ht="12.75" customHeight="1">
      <c r="A61" s="71"/>
      <c r="AL61" s="73"/>
    </row>
    <row r="62" spans="1:38" ht="12.75" customHeight="1">
      <c r="A62" s="71"/>
      <c r="AL62" s="73"/>
    </row>
    <row r="63" spans="1:38" ht="12.75" customHeight="1">
      <c r="A63" s="71"/>
      <c r="AL63" s="73"/>
    </row>
    <row r="64" spans="1:38" ht="12.75" customHeight="1">
      <c r="A64" s="71"/>
      <c r="AL64" s="73"/>
    </row>
    <row r="65" spans="1:38" ht="12.75" customHeight="1">
      <c r="A65" s="71"/>
      <c r="AL65" s="73"/>
    </row>
    <row r="66" spans="1:38" ht="12.75" customHeight="1">
      <c r="A66" s="71"/>
      <c r="AL66" s="73"/>
    </row>
    <row r="67" spans="1:38" ht="12.75" customHeight="1">
      <c r="A67" s="71"/>
      <c r="AL67" s="73"/>
    </row>
    <row r="68" spans="1:38" ht="12.75" customHeight="1">
      <c r="A68" s="71"/>
      <c r="AL68" s="73"/>
    </row>
    <row r="69" spans="1:38" ht="12.75" customHeight="1">
      <c r="A69" s="71"/>
      <c r="AL69" s="73"/>
    </row>
    <row r="70" spans="1:38" ht="12.75" customHeight="1">
      <c r="A70" s="71"/>
      <c r="AL70" s="73"/>
    </row>
    <row r="71" spans="1:38" ht="12.75" customHeight="1">
      <c r="A71" s="71"/>
      <c r="AL71" s="73"/>
    </row>
    <row r="72" spans="1:38" ht="12.75" customHeight="1">
      <c r="A72" s="71"/>
      <c r="AL72" s="73"/>
    </row>
    <row r="73" spans="1:38" ht="12.75" customHeight="1">
      <c r="A73" s="71"/>
      <c r="AL73" s="73"/>
    </row>
    <row r="74" spans="1:38" ht="12.75" customHeight="1">
      <c r="A74" s="71"/>
      <c r="AL74" s="73"/>
    </row>
    <row r="75" spans="1:38" ht="12.75" customHeight="1">
      <c r="A75" s="71"/>
      <c r="AL75" s="73"/>
    </row>
    <row r="76" spans="1:38" ht="12.75" customHeight="1">
      <c r="A76" s="71"/>
      <c r="AL76" s="73"/>
    </row>
    <row r="77" spans="1:38" ht="12.75" customHeight="1">
      <c r="A77" s="71"/>
      <c r="AL77" s="73"/>
    </row>
    <row r="78" spans="1:38" ht="12.75" customHeight="1">
      <c r="A78" s="71"/>
      <c r="AL78" s="73"/>
    </row>
    <row r="79" spans="1:38" ht="12.75" customHeight="1">
      <c r="A79" s="71"/>
      <c r="AL79" s="73"/>
    </row>
    <row r="80" spans="1:38" ht="12.75" customHeight="1">
      <c r="A80" s="71"/>
      <c r="AL80" s="73"/>
    </row>
    <row r="81" spans="1:38" ht="12.75" customHeight="1">
      <c r="A81" s="71"/>
      <c r="AL81" s="73"/>
    </row>
    <row r="82" spans="1:38" ht="12.75" customHeight="1">
      <c r="A82" s="71"/>
      <c r="AL82" s="73"/>
    </row>
    <row r="83" spans="1:38" ht="12.75" customHeight="1">
      <c r="A83" s="71"/>
      <c r="AL83" s="73"/>
    </row>
    <row r="84" spans="1:38" ht="12.75" customHeight="1">
      <c r="A84" s="71"/>
      <c r="AL84" s="73"/>
    </row>
    <row r="85" spans="1:38" ht="12.75" customHeight="1">
      <c r="A85" s="71"/>
      <c r="AL85" s="73"/>
    </row>
    <row r="86" spans="1:38" ht="12.75" customHeight="1">
      <c r="A86" s="71"/>
      <c r="AL86" s="73"/>
    </row>
    <row r="87" spans="1:38" ht="12.75" customHeight="1">
      <c r="A87" s="71"/>
      <c r="AL87" s="73"/>
    </row>
    <row r="88" spans="1:38" ht="12.75" customHeight="1">
      <c r="A88" s="71"/>
      <c r="AL88" s="73"/>
    </row>
    <row r="89" spans="1:38" ht="12.75" customHeight="1">
      <c r="A89" s="71"/>
      <c r="AL89" s="73"/>
    </row>
    <row r="90" spans="1:38" ht="12.75" customHeight="1">
      <c r="A90" s="71"/>
      <c r="AL90" s="73"/>
    </row>
    <row r="91" spans="1:38" ht="12.75" customHeight="1">
      <c r="A91" s="71"/>
      <c r="AL91" s="73"/>
    </row>
    <row r="92" spans="1:38" ht="12.75" customHeight="1">
      <c r="A92" s="71"/>
      <c r="AL92" s="73"/>
    </row>
    <row r="93" spans="1:38" ht="12.75" customHeight="1">
      <c r="A93" s="71"/>
      <c r="AL93" s="73"/>
    </row>
    <row r="94" spans="1:38" ht="12.75" customHeight="1">
      <c r="A94" s="71"/>
      <c r="AL94" s="73"/>
    </row>
    <row r="95" spans="1:38" ht="12.75" customHeight="1">
      <c r="A95" s="71"/>
      <c r="AL95" s="73"/>
    </row>
    <row r="96" spans="1:38" ht="12.75" customHeight="1">
      <c r="A96" s="71"/>
      <c r="AL96" s="73"/>
    </row>
    <row r="97" spans="1:38" ht="12.75" customHeight="1">
      <c r="A97" s="71"/>
      <c r="AL97" s="73"/>
    </row>
    <row r="98" spans="1:38" ht="12.75" customHeight="1">
      <c r="A98" s="71"/>
      <c r="AL98" s="73"/>
    </row>
    <row r="99" spans="1:38" ht="12.75" customHeight="1">
      <c r="A99" s="71"/>
      <c r="AL99" s="73"/>
    </row>
    <row r="100" spans="1:38" ht="12.75" customHeight="1">
      <c r="A100" s="71"/>
      <c r="AL100" s="73"/>
    </row>
    <row r="101" spans="1:38" ht="12.75" customHeight="1">
      <c r="A101" s="71"/>
      <c r="AL101" s="73"/>
    </row>
    <row r="102" spans="1:38" ht="12.75" customHeight="1">
      <c r="A102" s="71"/>
      <c r="AL102" s="73"/>
    </row>
    <row r="103" spans="1:38" ht="12.75" customHeight="1">
      <c r="A103" s="71"/>
      <c r="AL103" s="73"/>
    </row>
    <row r="104" spans="1:38" ht="12.75" customHeight="1">
      <c r="A104" s="71"/>
      <c r="AL104" s="73"/>
    </row>
    <row r="105" spans="1:38" ht="12.75" customHeight="1">
      <c r="A105" s="71"/>
      <c r="AL105" s="73"/>
    </row>
    <row r="106" spans="1:38" ht="12.75" customHeight="1">
      <c r="A106" s="71"/>
      <c r="AL106" s="73"/>
    </row>
    <row r="107" spans="1:38" ht="12.75" customHeight="1">
      <c r="A107" s="71"/>
      <c r="AL107" s="73"/>
    </row>
    <row r="108" spans="1:38" ht="12.75" customHeight="1">
      <c r="A108" s="71"/>
      <c r="AL108" s="73"/>
    </row>
    <row r="109" spans="1:38" ht="12.75" customHeight="1">
      <c r="A109" s="71"/>
      <c r="AL109" s="73"/>
    </row>
    <row r="110" spans="1:38" ht="12.75" customHeight="1">
      <c r="A110" s="71"/>
      <c r="AL110" s="73"/>
    </row>
    <row r="111" spans="1:38" ht="12.75" customHeight="1">
      <c r="A111" s="71"/>
      <c r="AL111" s="73"/>
    </row>
    <row r="112" spans="1:38" ht="12.75" customHeight="1">
      <c r="A112" s="71"/>
      <c r="AL112" s="73"/>
    </row>
    <row r="113" spans="1:38" ht="12.75" customHeight="1">
      <c r="A113" s="71"/>
      <c r="AL113" s="73"/>
    </row>
    <row r="114" spans="1:38" ht="12.75" customHeight="1">
      <c r="A114" s="71"/>
      <c r="AL114" s="73"/>
    </row>
    <row r="115" spans="1:38" ht="12.75" customHeight="1">
      <c r="A115" s="71"/>
      <c r="AL115" s="73"/>
    </row>
    <row r="116" spans="1:38" ht="12.75" customHeight="1">
      <c r="A116" s="71"/>
      <c r="AL116" s="73"/>
    </row>
    <row r="117" spans="1:38" ht="12.75" customHeight="1">
      <c r="A117" s="71"/>
      <c r="AL117" s="73"/>
    </row>
    <row r="118" spans="1:38" ht="12.75" customHeight="1">
      <c r="A118" s="71"/>
      <c r="AL118" s="73"/>
    </row>
    <row r="119" spans="1:38" ht="12.75" customHeight="1">
      <c r="A119" s="71"/>
      <c r="AL119" s="73"/>
    </row>
    <row r="120" spans="1:38" ht="12.75" customHeight="1">
      <c r="A120" s="71"/>
      <c r="AL120" s="73"/>
    </row>
    <row r="121" spans="1:38" ht="12.75" customHeight="1">
      <c r="A121" s="71"/>
      <c r="AL121" s="73"/>
    </row>
    <row r="122" spans="1:38" ht="12.75" customHeight="1">
      <c r="A122" s="71"/>
      <c r="AL122" s="73"/>
    </row>
    <row r="123" spans="1:38" ht="12.75" customHeight="1">
      <c r="A123" s="71"/>
      <c r="AL123" s="73"/>
    </row>
    <row r="124" spans="1:38" ht="12.75" customHeight="1">
      <c r="A124" s="71"/>
      <c r="AL124" s="73"/>
    </row>
    <row r="125" spans="1:38" ht="12.75" customHeight="1">
      <c r="A125" s="71"/>
      <c r="AL125" s="73"/>
    </row>
    <row r="126" spans="1:38" ht="12.75" customHeight="1">
      <c r="A126" s="71"/>
      <c r="AL126" s="73"/>
    </row>
    <row r="127" spans="1:38" ht="12.75" customHeight="1">
      <c r="A127" s="71"/>
      <c r="AL127" s="73"/>
    </row>
    <row r="128" spans="1:38" ht="12.75" customHeight="1">
      <c r="A128" s="71"/>
      <c r="AL128" s="73"/>
    </row>
    <row r="129" spans="1:38" ht="12.75" customHeight="1">
      <c r="A129" s="71"/>
      <c r="AL129" s="73"/>
    </row>
    <row r="130" spans="1:38" ht="12.75" customHeight="1">
      <c r="A130" s="71"/>
      <c r="AL130" s="73"/>
    </row>
    <row r="131" spans="1:38" ht="12.75" customHeight="1">
      <c r="A131" s="71"/>
      <c r="AL131" s="73"/>
    </row>
    <row r="132" spans="1:38" ht="12.75" customHeight="1">
      <c r="A132" s="71"/>
      <c r="AL132" s="73"/>
    </row>
    <row r="133" spans="1:38" ht="12.75" customHeight="1">
      <c r="A133" s="71"/>
      <c r="AL133" s="73"/>
    </row>
    <row r="134" spans="1:38" ht="12.75" customHeight="1">
      <c r="A134" s="71"/>
      <c r="AL134" s="73"/>
    </row>
    <row r="135" spans="1:38" ht="12.75" customHeight="1">
      <c r="A135" s="71"/>
      <c r="AL135" s="73"/>
    </row>
    <row r="136" spans="1:38" ht="12.75" customHeight="1">
      <c r="A136" s="71"/>
      <c r="AL136" s="73"/>
    </row>
    <row r="137" spans="1:38" ht="12.75" customHeight="1">
      <c r="A137" s="71"/>
      <c r="AL137" s="73"/>
    </row>
    <row r="138" spans="1:38" ht="12.75" customHeight="1">
      <c r="A138" s="71"/>
      <c r="AL138" s="73"/>
    </row>
    <row r="139" spans="1:38" ht="12.75" customHeight="1">
      <c r="A139" s="71"/>
      <c r="AL139" s="73"/>
    </row>
    <row r="140" spans="1:38" ht="12.75" customHeight="1">
      <c r="A140" s="71"/>
      <c r="AL140" s="73"/>
    </row>
    <row r="141" spans="1:38" ht="12.75" customHeight="1">
      <c r="A141" s="71"/>
      <c r="AL141" s="73"/>
    </row>
    <row r="142" spans="1:38" ht="12.75" customHeight="1">
      <c r="A142" s="71"/>
      <c r="AL142" s="73"/>
    </row>
    <row r="143" spans="1:38" ht="12.75" customHeight="1">
      <c r="A143" s="71"/>
      <c r="AL143" s="73"/>
    </row>
    <row r="144" spans="1:38" ht="12.75" customHeight="1">
      <c r="A144" s="71"/>
      <c r="AL144" s="73"/>
    </row>
    <row r="145" spans="1:38" ht="12.75" customHeight="1">
      <c r="A145" s="71"/>
      <c r="AL145" s="73"/>
    </row>
    <row r="146" spans="1:38" ht="12.75" customHeight="1">
      <c r="A146" s="71"/>
      <c r="AL146" s="73"/>
    </row>
    <row r="147" spans="1:38" ht="12.75" customHeight="1">
      <c r="A147" s="71"/>
      <c r="AL147" s="73"/>
    </row>
    <row r="148" spans="1:38" ht="12.75" customHeight="1">
      <c r="A148" s="71"/>
      <c r="AL148" s="73"/>
    </row>
    <row r="149" spans="1:38" ht="12.75" customHeight="1">
      <c r="A149" s="71"/>
      <c r="AL149" s="73"/>
    </row>
    <row r="150" spans="1:38" ht="12.75" customHeight="1">
      <c r="A150" s="71"/>
      <c r="AL150" s="73"/>
    </row>
    <row r="151" spans="1:38" ht="12.75" customHeight="1">
      <c r="A151" s="71"/>
      <c r="AL151" s="73"/>
    </row>
    <row r="152" spans="1:38" ht="12.75" customHeight="1">
      <c r="A152" s="71"/>
      <c r="AL152" s="73"/>
    </row>
    <row r="153" spans="1:38" ht="12.75" customHeight="1">
      <c r="A153" s="71"/>
      <c r="AL153" s="73"/>
    </row>
    <row r="154" spans="1:38" ht="12.75" customHeight="1">
      <c r="A154" s="71"/>
      <c r="AL154" s="73"/>
    </row>
    <row r="155" spans="1:38" ht="12.75" customHeight="1">
      <c r="A155" s="71"/>
      <c r="AL155" s="73"/>
    </row>
    <row r="156" spans="1:38" ht="12.75" customHeight="1">
      <c r="A156" s="71"/>
      <c r="AL156" s="73"/>
    </row>
    <row r="157" spans="1:38" ht="12.75" customHeight="1">
      <c r="A157" s="71"/>
      <c r="AL157" s="73"/>
    </row>
    <row r="158" spans="1:38" ht="12.75" customHeight="1">
      <c r="A158" s="71"/>
      <c r="AL158" s="73"/>
    </row>
    <row r="159" spans="1:38" ht="12.75" customHeight="1">
      <c r="A159" s="71"/>
      <c r="AL159" s="73"/>
    </row>
    <row r="160" spans="1:38" ht="12.75" customHeight="1">
      <c r="A160" s="71"/>
      <c r="AL160" s="73"/>
    </row>
    <row r="161" spans="1:38" ht="12.75" customHeight="1">
      <c r="A161" s="71"/>
      <c r="AL161" s="73"/>
    </row>
    <row r="162" spans="1:38" ht="12.75" customHeight="1">
      <c r="A162" s="71"/>
      <c r="AL162" s="73"/>
    </row>
    <row r="163" spans="1:38" ht="12.75" customHeight="1">
      <c r="A163" s="71"/>
      <c r="AL163" s="73"/>
    </row>
    <row r="164" spans="1:38" ht="12.75" customHeight="1">
      <c r="A164" s="71"/>
      <c r="AL164" s="73"/>
    </row>
    <row r="165" spans="1:38" ht="12.75" customHeight="1">
      <c r="A165" s="71"/>
      <c r="AL165" s="73"/>
    </row>
    <row r="166" spans="1:38" ht="12.75" customHeight="1">
      <c r="A166" s="71"/>
      <c r="AL166" s="73"/>
    </row>
    <row r="167" spans="1:38" ht="12.75" customHeight="1">
      <c r="A167" s="71"/>
      <c r="AL167" s="73"/>
    </row>
    <row r="168" spans="1:38" ht="12.75" customHeight="1">
      <c r="A168" s="71"/>
      <c r="AL168" s="73"/>
    </row>
    <row r="169" spans="1:38" ht="12.75" customHeight="1">
      <c r="A169" s="71"/>
      <c r="AL169" s="73"/>
    </row>
    <row r="170" spans="1:38" ht="12.75" customHeight="1">
      <c r="A170" s="71"/>
      <c r="AL170" s="73"/>
    </row>
    <row r="171" spans="1:38" ht="12.75" customHeight="1">
      <c r="A171" s="71"/>
      <c r="AL171" s="73"/>
    </row>
    <row r="172" spans="1:38" ht="12.75" customHeight="1">
      <c r="A172" s="71"/>
      <c r="AL172" s="73"/>
    </row>
    <row r="173" spans="1:38" ht="12.75" customHeight="1">
      <c r="A173" s="71"/>
      <c r="AL173" s="73"/>
    </row>
    <row r="174" spans="1:38" ht="12.75" customHeight="1">
      <c r="A174" s="71"/>
      <c r="AL174" s="73"/>
    </row>
    <row r="175" spans="1:38" ht="12.75" customHeight="1">
      <c r="A175" s="71"/>
      <c r="AL175" s="73"/>
    </row>
    <row r="176" spans="1:38" ht="12.75" customHeight="1">
      <c r="A176" s="71"/>
      <c r="AL176" s="73"/>
    </row>
    <row r="177" spans="1:38" ht="12.75" customHeight="1">
      <c r="A177" s="71"/>
      <c r="AL177" s="73"/>
    </row>
    <row r="178" spans="1:38" ht="12.75" customHeight="1">
      <c r="A178" s="71"/>
      <c r="AL178" s="73"/>
    </row>
    <row r="179" spans="1:38" ht="12.75" customHeight="1">
      <c r="A179" s="71"/>
      <c r="AL179" s="73"/>
    </row>
    <row r="180" spans="1:38" ht="12.75" customHeight="1">
      <c r="A180" s="71"/>
      <c r="AL180" s="73"/>
    </row>
    <row r="181" spans="1:38" ht="12.75" customHeight="1">
      <c r="A181" s="71"/>
      <c r="AL181" s="73"/>
    </row>
    <row r="182" spans="1:38" ht="12.75" customHeight="1">
      <c r="A182" s="71"/>
      <c r="AL182" s="73"/>
    </row>
    <row r="183" spans="1:38" ht="12.75" customHeight="1">
      <c r="A183" s="71"/>
      <c r="AL183" s="73"/>
    </row>
    <row r="184" spans="1:38" ht="12.75" customHeight="1">
      <c r="A184" s="71"/>
      <c r="AL184" s="73"/>
    </row>
    <row r="185" spans="1:38" ht="12.75" customHeight="1">
      <c r="A185" s="71"/>
      <c r="AL185" s="73"/>
    </row>
    <row r="186" spans="1:38" ht="12.75" customHeight="1">
      <c r="A186" s="71"/>
      <c r="AL186" s="73"/>
    </row>
    <row r="187" spans="1:38" ht="12.75" customHeight="1">
      <c r="A187" s="71"/>
      <c r="AL187" s="73"/>
    </row>
    <row r="188" spans="1:38" ht="12.75" customHeight="1">
      <c r="A188" s="71"/>
      <c r="AL188" s="73"/>
    </row>
    <row r="189" spans="1:38" ht="12.75" customHeight="1">
      <c r="A189" s="71"/>
      <c r="AL189" s="73"/>
    </row>
    <row r="190" spans="1:38" ht="12.75" customHeight="1">
      <c r="A190" s="71"/>
      <c r="AL190" s="73"/>
    </row>
    <row r="191" spans="1:38" ht="12.75" customHeight="1">
      <c r="A191" s="71"/>
      <c r="AL191" s="73"/>
    </row>
    <row r="192" spans="1:38" ht="12.75" customHeight="1">
      <c r="A192" s="71"/>
      <c r="AL192" s="73"/>
    </row>
    <row r="193" spans="1:38" ht="12.75" customHeight="1">
      <c r="A193" s="71"/>
      <c r="AL193" s="73"/>
    </row>
    <row r="194" spans="1:38" ht="12.75" customHeight="1">
      <c r="A194" s="71"/>
      <c r="AL194" s="73"/>
    </row>
    <row r="195" spans="1:38" ht="12.75" customHeight="1">
      <c r="A195" s="71"/>
      <c r="AL195" s="73"/>
    </row>
    <row r="196" spans="1:38" ht="12.75" customHeight="1">
      <c r="A196" s="71"/>
      <c r="AL196" s="73"/>
    </row>
    <row r="197" spans="1:38" ht="12.75" customHeight="1">
      <c r="A197" s="71"/>
      <c r="AL197" s="73"/>
    </row>
    <row r="198" spans="1:38" ht="12.75" customHeight="1">
      <c r="A198" s="71"/>
      <c r="AL198" s="73"/>
    </row>
    <row r="199" spans="1:38" ht="12.75" customHeight="1">
      <c r="A199" s="71"/>
      <c r="AL199" s="73"/>
    </row>
    <row r="200" spans="1:38" ht="12.75" customHeight="1">
      <c r="A200" s="71"/>
      <c r="AL200" s="73"/>
    </row>
    <row r="201" spans="1:38" ht="12.75" customHeight="1">
      <c r="A201" s="71"/>
      <c r="AL201" s="73"/>
    </row>
    <row r="202" spans="1:38" ht="12.75" customHeight="1">
      <c r="A202" s="71"/>
      <c r="AL202" s="73"/>
    </row>
    <row r="203" spans="1:38" ht="12.75" customHeight="1">
      <c r="A203" s="71"/>
      <c r="AL203" s="73"/>
    </row>
    <row r="204" spans="1:38" ht="12.75" customHeight="1">
      <c r="A204" s="71"/>
      <c r="AL204" s="73"/>
    </row>
    <row r="205" spans="1:38" ht="12.75" customHeight="1">
      <c r="A205" s="71"/>
      <c r="AL205" s="73"/>
    </row>
    <row r="206" spans="1:38" ht="12.75" customHeight="1">
      <c r="A206" s="71"/>
      <c r="AL206" s="73"/>
    </row>
    <row r="207" spans="1:38" ht="12.75" customHeight="1">
      <c r="A207" s="71"/>
      <c r="AL207" s="73"/>
    </row>
    <row r="208" spans="1:38" ht="12.75" customHeight="1">
      <c r="A208" s="71"/>
      <c r="AL208" s="73"/>
    </row>
    <row r="209" spans="1:38" ht="12.75" customHeight="1">
      <c r="A209" s="71"/>
      <c r="AL209" s="73"/>
    </row>
    <row r="210" spans="1:38" ht="12.75" customHeight="1">
      <c r="A210" s="71"/>
      <c r="AL210" s="73"/>
    </row>
    <row r="211" spans="1:38" ht="12.75" customHeight="1">
      <c r="A211" s="71"/>
      <c r="AL211" s="73"/>
    </row>
    <row r="212" spans="1:38" ht="12.75" customHeight="1">
      <c r="A212" s="71"/>
      <c r="AL212" s="73"/>
    </row>
    <row r="213" spans="1:38" ht="12.75" customHeight="1">
      <c r="A213" s="71"/>
      <c r="AL213" s="73"/>
    </row>
    <row r="214" spans="1:38" ht="12.75" customHeight="1">
      <c r="A214" s="71"/>
      <c r="AL214" s="73"/>
    </row>
    <row r="215" spans="1:38" ht="12.75" customHeight="1">
      <c r="A215" s="71"/>
      <c r="AL215" s="73"/>
    </row>
    <row r="216" spans="1:38" ht="12.75" customHeight="1">
      <c r="A216" s="71"/>
      <c r="AL216" s="73"/>
    </row>
    <row r="217" spans="1:38" ht="12.75" customHeight="1">
      <c r="A217" s="71"/>
      <c r="AL217" s="73"/>
    </row>
    <row r="218" spans="1:38" ht="12.75" customHeight="1">
      <c r="A218" s="71"/>
      <c r="AL218" s="73"/>
    </row>
    <row r="219" spans="1:38" ht="12.75" customHeight="1">
      <c r="A219" s="71"/>
      <c r="AL219" s="73"/>
    </row>
    <row r="220" spans="1:38" ht="12.75" customHeight="1">
      <c r="A220" s="71"/>
      <c r="AL220" s="73"/>
    </row>
    <row r="221" spans="1:38" ht="12.75" customHeight="1">
      <c r="A221" s="71"/>
      <c r="AL221" s="73"/>
    </row>
    <row r="222" spans="1:38" ht="12.75" customHeight="1">
      <c r="A222" s="71"/>
      <c r="AL222" s="73"/>
    </row>
    <row r="223" spans="1:38" ht="12.75" customHeight="1">
      <c r="A223" s="71"/>
      <c r="AL223" s="73"/>
    </row>
    <row r="224" spans="1:38" ht="12.75" customHeight="1">
      <c r="A224" s="71"/>
      <c r="AL224" s="73"/>
    </row>
    <row r="225" spans="1:38" ht="12.75" customHeight="1">
      <c r="A225" s="71"/>
      <c r="AL225" s="73"/>
    </row>
    <row r="226" spans="1:38" ht="12.75" customHeight="1">
      <c r="A226" s="71"/>
      <c r="AL226" s="73"/>
    </row>
    <row r="227" spans="1:38" ht="12.75" customHeight="1">
      <c r="A227" s="71"/>
      <c r="AL227" s="73"/>
    </row>
    <row r="228" spans="1:38" ht="12.75" customHeight="1">
      <c r="A228" s="71"/>
      <c r="AL228" s="73"/>
    </row>
    <row r="229" spans="1:38" ht="12.75" customHeight="1">
      <c r="A229" s="71"/>
      <c r="AL229" s="73"/>
    </row>
    <row r="230" spans="1:38" ht="12.75" customHeight="1">
      <c r="A230" s="71"/>
      <c r="AL230" s="73"/>
    </row>
    <row r="231" spans="1:38" ht="12.75" customHeight="1">
      <c r="A231" s="71"/>
      <c r="AL231" s="73"/>
    </row>
    <row r="232" spans="1:38" ht="12.75" customHeight="1">
      <c r="A232" s="71"/>
      <c r="AL232" s="73"/>
    </row>
    <row r="233" spans="1:38" ht="12.75" customHeight="1">
      <c r="A233" s="71"/>
      <c r="AL233" s="73"/>
    </row>
    <row r="234" spans="1:38" ht="12.75" customHeight="1">
      <c r="A234" s="71"/>
      <c r="AL234" s="73"/>
    </row>
    <row r="235" spans="1:38" ht="12.75" customHeight="1">
      <c r="A235" s="71"/>
      <c r="AL235" s="73"/>
    </row>
    <row r="236" spans="1:38" ht="12.75" customHeight="1">
      <c r="A236" s="71"/>
      <c r="AL236" s="73"/>
    </row>
    <row r="237" spans="1:38" ht="12.75" customHeight="1">
      <c r="A237" s="71"/>
      <c r="AL237" s="73"/>
    </row>
    <row r="238" spans="1:38" ht="12.75" customHeight="1">
      <c r="A238" s="71"/>
      <c r="AL238" s="73"/>
    </row>
    <row r="239" spans="1:38" ht="12.75" customHeight="1">
      <c r="A239" s="71"/>
      <c r="AL239" s="73"/>
    </row>
    <row r="240" spans="1:38" ht="12.75" customHeight="1">
      <c r="A240" s="71"/>
      <c r="AL240" s="73"/>
    </row>
    <row r="241" spans="1:38" ht="12.75" customHeight="1">
      <c r="A241" s="71"/>
      <c r="AL241" s="73"/>
    </row>
    <row r="242" spans="1:38" ht="12.75" customHeight="1">
      <c r="A242" s="71"/>
      <c r="AL242" s="73"/>
    </row>
    <row r="243" spans="1:38" ht="12.75" customHeight="1">
      <c r="A243" s="71"/>
      <c r="AL243" s="73"/>
    </row>
    <row r="244" spans="1:38" ht="12.75" customHeight="1">
      <c r="A244" s="71"/>
      <c r="AL244" s="73"/>
    </row>
    <row r="245" spans="1:38" ht="12.75" customHeight="1">
      <c r="A245" s="71"/>
      <c r="AL245" s="73"/>
    </row>
    <row r="246" spans="1:38" ht="12.75" customHeight="1">
      <c r="A246" s="71"/>
      <c r="AL246" s="73"/>
    </row>
    <row r="247" spans="1:38" ht="12.75" customHeight="1">
      <c r="A247" s="71"/>
      <c r="AL247" s="73"/>
    </row>
    <row r="248" spans="1:38" ht="12.75" customHeight="1">
      <c r="A248" s="71"/>
      <c r="AL248" s="73"/>
    </row>
    <row r="249" spans="1:38" ht="12.75" customHeight="1">
      <c r="A249" s="71"/>
      <c r="AL249" s="73"/>
    </row>
    <row r="250" spans="1:38" ht="12.75" customHeight="1">
      <c r="A250" s="71"/>
      <c r="AL250" s="73"/>
    </row>
    <row r="251" spans="1:38" ht="12.75" customHeight="1">
      <c r="A251" s="71"/>
      <c r="AL251" s="73"/>
    </row>
    <row r="252" spans="1:38" ht="12.75" customHeight="1">
      <c r="A252" s="71"/>
      <c r="AL252" s="73"/>
    </row>
    <row r="253" spans="1:38" ht="12.75" customHeight="1">
      <c r="A253" s="71"/>
      <c r="AL253" s="73"/>
    </row>
    <row r="254" spans="1:38" ht="12.75" customHeight="1">
      <c r="A254" s="71"/>
      <c r="AL254" s="73"/>
    </row>
    <row r="255" spans="1:38" ht="12.75" customHeight="1">
      <c r="A255" s="71"/>
      <c r="AL255" s="73"/>
    </row>
    <row r="256" spans="1:38" ht="12.75" customHeight="1">
      <c r="A256" s="71"/>
      <c r="AL256" s="73"/>
    </row>
    <row r="257" spans="1:38" ht="12.75" customHeight="1">
      <c r="A257" s="71"/>
      <c r="AL257" s="73"/>
    </row>
    <row r="258" spans="1:38" ht="12.75" customHeight="1">
      <c r="A258" s="71"/>
      <c r="AL258" s="73"/>
    </row>
    <row r="259" spans="1:38" ht="12.75" customHeight="1">
      <c r="A259" s="71"/>
      <c r="AL259" s="73"/>
    </row>
    <row r="260" spans="1:38" ht="12.75" customHeight="1">
      <c r="A260" s="71"/>
      <c r="AL260" s="73"/>
    </row>
    <row r="261" spans="1:38" ht="12.75" customHeight="1">
      <c r="A261" s="71"/>
      <c r="AL261" s="73"/>
    </row>
    <row r="262" spans="1:38" ht="12.75" customHeight="1">
      <c r="A262" s="71"/>
      <c r="AL262" s="73"/>
    </row>
    <row r="263" spans="1:38" ht="12.75" customHeight="1">
      <c r="A263" s="71"/>
      <c r="AL263" s="73"/>
    </row>
    <row r="264" spans="1:38" ht="12.75" customHeight="1">
      <c r="A264" s="71"/>
      <c r="AL264" s="73"/>
    </row>
    <row r="265" spans="1:38" ht="12.75" customHeight="1">
      <c r="A265" s="71"/>
      <c r="AL265" s="73"/>
    </row>
    <row r="266" spans="1:38" ht="12.75" customHeight="1">
      <c r="A266" s="71"/>
      <c r="AL266" s="73"/>
    </row>
    <row r="267" spans="1:38" ht="12.75" customHeight="1">
      <c r="A267" s="71"/>
      <c r="AL267" s="73"/>
    </row>
    <row r="268" spans="1:38" ht="12.75" customHeight="1">
      <c r="A268" s="71"/>
      <c r="AL268" s="73"/>
    </row>
    <row r="269" spans="1:38" ht="12.75" customHeight="1">
      <c r="A269" s="71"/>
      <c r="AL269" s="73"/>
    </row>
    <row r="270" spans="1:38" ht="12.75" customHeight="1">
      <c r="A270" s="71"/>
      <c r="AL270" s="73"/>
    </row>
    <row r="271" spans="1:38" ht="12.75" customHeight="1">
      <c r="A271" s="71"/>
      <c r="AL271" s="73"/>
    </row>
    <row r="272" spans="1:38" ht="12.75" customHeight="1">
      <c r="A272" s="71"/>
      <c r="AL272" s="73"/>
    </row>
    <row r="273" spans="1:38" ht="12.75" customHeight="1">
      <c r="A273" s="71"/>
      <c r="AL273" s="73"/>
    </row>
    <row r="274" spans="1:38" ht="12.75" customHeight="1">
      <c r="A274" s="71"/>
      <c r="AL274" s="73"/>
    </row>
    <row r="275" spans="1:38" ht="12.75" customHeight="1">
      <c r="A275" s="71"/>
      <c r="AL275" s="73"/>
    </row>
    <row r="276" spans="1:38" ht="12.75" customHeight="1">
      <c r="A276" s="71"/>
      <c r="AL276" s="73"/>
    </row>
    <row r="277" spans="1:38" ht="12.75" customHeight="1">
      <c r="A277" s="71"/>
      <c r="AL277" s="73"/>
    </row>
    <row r="278" spans="1:38" ht="12.75" customHeight="1">
      <c r="A278" s="71"/>
      <c r="AL278" s="73"/>
    </row>
    <row r="279" spans="1:38" ht="12.75" customHeight="1">
      <c r="A279" s="71"/>
      <c r="AL279" s="73"/>
    </row>
    <row r="280" spans="1:38" ht="12.75" customHeight="1">
      <c r="A280" s="71"/>
      <c r="AL280" s="73"/>
    </row>
    <row r="281" spans="1:38" ht="12.75" customHeight="1">
      <c r="A281" s="71"/>
      <c r="AL281" s="73"/>
    </row>
    <row r="282" spans="1:38" ht="12.75" customHeight="1">
      <c r="A282" s="71"/>
      <c r="AL282" s="73"/>
    </row>
    <row r="283" spans="1:38" ht="12.75" customHeight="1">
      <c r="A283" s="71"/>
      <c r="AL283" s="73"/>
    </row>
    <row r="284" spans="1:38" ht="12.75" customHeight="1">
      <c r="A284" s="71"/>
      <c r="AL284" s="73"/>
    </row>
    <row r="285" spans="1:38" ht="12.75" customHeight="1">
      <c r="A285" s="71"/>
      <c r="AL285" s="73"/>
    </row>
    <row r="286" spans="1:38" ht="12.75" customHeight="1">
      <c r="A286" s="71"/>
      <c r="AL286" s="73"/>
    </row>
    <row r="287" spans="1:38" ht="12.75" customHeight="1">
      <c r="A287" s="71"/>
      <c r="AL287" s="73"/>
    </row>
    <row r="288" spans="1:38" ht="12.75" customHeight="1">
      <c r="A288" s="71"/>
      <c r="AL288" s="73"/>
    </row>
    <row r="289" spans="1:38" ht="12.75" customHeight="1">
      <c r="A289" s="71"/>
      <c r="AL289" s="73"/>
    </row>
    <row r="290" spans="1:38" ht="12.75" customHeight="1">
      <c r="A290" s="71"/>
      <c r="AL290" s="73"/>
    </row>
    <row r="291" spans="1:38" ht="12.75" customHeight="1">
      <c r="A291" s="71"/>
      <c r="AL291" s="73"/>
    </row>
    <row r="292" spans="1:38" ht="12.75" customHeight="1">
      <c r="A292" s="71"/>
      <c r="AL292" s="73"/>
    </row>
    <row r="293" spans="1:38" ht="12.75" customHeight="1">
      <c r="A293" s="71"/>
      <c r="AL293" s="73"/>
    </row>
    <row r="294" spans="1:38" ht="12.75" customHeight="1">
      <c r="A294" s="71"/>
      <c r="AL294" s="73"/>
    </row>
    <row r="295" spans="1:38" ht="12.75" customHeight="1">
      <c r="A295" s="71"/>
      <c r="AL295" s="73"/>
    </row>
    <row r="296" spans="1:38" ht="12.75" customHeight="1">
      <c r="A296" s="71"/>
      <c r="AL296" s="73"/>
    </row>
    <row r="297" spans="1:38" ht="12.75" customHeight="1">
      <c r="A297" s="71"/>
      <c r="AL297" s="73"/>
    </row>
    <row r="298" spans="1:38" ht="12.75" customHeight="1">
      <c r="A298" s="71"/>
      <c r="AL298" s="73"/>
    </row>
    <row r="299" spans="1:38" ht="12.75" customHeight="1">
      <c r="A299" s="71"/>
      <c r="AL299" s="73"/>
    </row>
    <row r="300" spans="1:38" ht="12.75" customHeight="1">
      <c r="A300" s="71"/>
      <c r="AL300" s="73"/>
    </row>
    <row r="301" spans="1:38" ht="12.75" customHeight="1">
      <c r="A301" s="71"/>
      <c r="AL301" s="73"/>
    </row>
    <row r="302" spans="1:38" ht="12.75" customHeight="1">
      <c r="A302" s="71"/>
      <c r="AL302" s="73"/>
    </row>
    <row r="303" spans="1:38" ht="12.75" customHeight="1">
      <c r="A303" s="71"/>
      <c r="AL303" s="73"/>
    </row>
    <row r="304" spans="1:38" ht="12.75" customHeight="1">
      <c r="A304" s="71"/>
      <c r="AL304" s="73"/>
    </row>
    <row r="305" spans="1:38" ht="12.75" customHeight="1">
      <c r="A305" s="71"/>
      <c r="AL305" s="73"/>
    </row>
    <row r="306" spans="1:38" ht="12.75" customHeight="1">
      <c r="A306" s="71"/>
      <c r="AL306" s="73"/>
    </row>
    <row r="307" spans="1:38" ht="12.75" customHeight="1">
      <c r="A307" s="71"/>
      <c r="AL307" s="73"/>
    </row>
    <row r="308" spans="1:38" ht="12.75" customHeight="1">
      <c r="A308" s="71"/>
      <c r="AL308" s="73"/>
    </row>
    <row r="309" spans="1:38" ht="12.75" customHeight="1">
      <c r="A309" s="71"/>
      <c r="AL309" s="73"/>
    </row>
    <row r="310" spans="1:38" ht="12.75" customHeight="1">
      <c r="A310" s="71"/>
      <c r="AL310" s="73"/>
    </row>
    <row r="311" spans="1:38" ht="12.75" customHeight="1">
      <c r="A311" s="71"/>
      <c r="AL311" s="73"/>
    </row>
    <row r="312" spans="1:38" ht="12.75" customHeight="1">
      <c r="A312" s="71"/>
      <c r="AL312" s="73"/>
    </row>
    <row r="313" spans="1:38" ht="12.75" customHeight="1">
      <c r="A313" s="71"/>
      <c r="AL313" s="73"/>
    </row>
    <row r="314" spans="1:38" ht="12.75" customHeight="1">
      <c r="A314" s="71"/>
      <c r="AL314" s="73"/>
    </row>
    <row r="315" spans="1:38" ht="12.75" customHeight="1">
      <c r="A315" s="71"/>
      <c r="AL315" s="73"/>
    </row>
    <row r="316" spans="1:38" ht="12.75" customHeight="1">
      <c r="A316" s="71"/>
      <c r="AL316" s="73"/>
    </row>
    <row r="317" spans="1:38" ht="12.75" customHeight="1">
      <c r="A317" s="71"/>
      <c r="AL317" s="73"/>
    </row>
    <row r="318" spans="1:38" ht="12.75" customHeight="1">
      <c r="A318" s="71"/>
      <c r="AL318" s="73"/>
    </row>
    <row r="319" spans="1:38" ht="12.75" customHeight="1">
      <c r="A319" s="71"/>
      <c r="AL319" s="73"/>
    </row>
    <row r="320" spans="1:38" ht="12.75" customHeight="1">
      <c r="A320" s="71"/>
      <c r="AL320" s="73"/>
    </row>
    <row r="321" spans="1:38" ht="12.75" customHeight="1">
      <c r="A321" s="71"/>
      <c r="AL321" s="73"/>
    </row>
    <row r="322" spans="1:38" ht="12.75" customHeight="1">
      <c r="A322" s="71"/>
      <c r="AL322" s="73"/>
    </row>
    <row r="323" spans="1:38" ht="12.75" customHeight="1">
      <c r="A323" s="71"/>
      <c r="AL323" s="73"/>
    </row>
    <row r="324" spans="1:38" ht="12.75" customHeight="1">
      <c r="A324" s="71"/>
      <c r="AL324" s="73"/>
    </row>
    <row r="325" spans="1:38" ht="12.75" customHeight="1">
      <c r="A325" s="71"/>
      <c r="AL325" s="73"/>
    </row>
    <row r="326" spans="1:38" ht="12.75" customHeight="1">
      <c r="A326" s="71"/>
      <c r="AL326" s="73"/>
    </row>
    <row r="327" spans="1:38" ht="12.75" customHeight="1">
      <c r="A327" s="71"/>
      <c r="AL327" s="73"/>
    </row>
    <row r="328" spans="1:38" ht="12.75" customHeight="1">
      <c r="A328" s="71"/>
      <c r="AL328" s="73"/>
    </row>
    <row r="329" spans="1:38" ht="12.75" customHeight="1">
      <c r="A329" s="71"/>
      <c r="AL329" s="73"/>
    </row>
    <row r="330" spans="1:38" ht="12.75" customHeight="1">
      <c r="A330" s="71"/>
      <c r="AL330" s="73"/>
    </row>
    <row r="331" spans="1:38" ht="12.75" customHeight="1">
      <c r="A331" s="71"/>
      <c r="AL331" s="73"/>
    </row>
    <row r="332" spans="1:38" ht="12.75" customHeight="1">
      <c r="A332" s="71"/>
      <c r="AL332" s="73"/>
    </row>
    <row r="333" spans="1:38" ht="12.75" customHeight="1">
      <c r="A333" s="71"/>
      <c r="AL333" s="73"/>
    </row>
    <row r="334" spans="1:38" ht="12.75" customHeight="1">
      <c r="A334" s="71"/>
      <c r="AL334" s="73"/>
    </row>
    <row r="335" spans="1:38" ht="12.75" customHeight="1">
      <c r="A335" s="71"/>
      <c r="AL335" s="73"/>
    </row>
    <row r="336" spans="1:38" ht="12.75" customHeight="1">
      <c r="A336" s="71"/>
      <c r="AL336" s="73"/>
    </row>
    <row r="337" spans="1:38" ht="12.75" customHeight="1">
      <c r="A337" s="71"/>
      <c r="AL337" s="73"/>
    </row>
    <row r="338" spans="1:38" ht="12.75" customHeight="1">
      <c r="A338" s="71"/>
      <c r="AL338" s="73"/>
    </row>
    <row r="339" spans="1:38" ht="12.75" customHeight="1">
      <c r="A339" s="71"/>
      <c r="AL339" s="73"/>
    </row>
    <row r="340" spans="1:38" ht="12.75" customHeight="1">
      <c r="A340" s="71"/>
      <c r="AL340" s="73"/>
    </row>
    <row r="341" spans="1:38" ht="12.75" customHeight="1">
      <c r="A341" s="71"/>
      <c r="AL341" s="73"/>
    </row>
    <row r="342" spans="1:38" ht="12.75" customHeight="1">
      <c r="A342" s="71"/>
      <c r="AL342" s="73"/>
    </row>
    <row r="343" spans="1:38" ht="12.75" customHeight="1">
      <c r="A343" s="71"/>
      <c r="AL343" s="73"/>
    </row>
    <row r="344" spans="1:38" ht="12.75" customHeight="1">
      <c r="A344" s="71"/>
      <c r="AL344" s="73"/>
    </row>
    <row r="345" spans="1:38" ht="12.75" customHeight="1">
      <c r="A345" s="71"/>
      <c r="AL345" s="73"/>
    </row>
    <row r="346" spans="1:38" ht="12.75" customHeight="1">
      <c r="A346" s="71"/>
      <c r="AL346" s="73"/>
    </row>
    <row r="347" spans="1:38" ht="12.75" customHeight="1">
      <c r="A347" s="71"/>
      <c r="AL347" s="73"/>
    </row>
    <row r="348" spans="1:38" ht="12.75" customHeight="1">
      <c r="A348" s="71"/>
      <c r="AL348" s="73"/>
    </row>
    <row r="349" spans="1:38" ht="12.75" customHeight="1">
      <c r="A349" s="71"/>
      <c r="AL349" s="73"/>
    </row>
    <row r="350" spans="1:38" ht="12.75" customHeight="1">
      <c r="A350" s="71"/>
      <c r="AL350" s="73"/>
    </row>
    <row r="351" spans="1:38" ht="12.75" customHeight="1">
      <c r="A351" s="71"/>
      <c r="AL351" s="73"/>
    </row>
    <row r="352" spans="1:38" ht="12.75" customHeight="1">
      <c r="A352" s="71"/>
      <c r="AL352" s="73"/>
    </row>
    <row r="353" spans="1:38" ht="12.75" customHeight="1">
      <c r="A353" s="71"/>
      <c r="AL353" s="73"/>
    </row>
    <row r="354" spans="1:38" ht="12.75" customHeight="1">
      <c r="A354" s="71"/>
      <c r="AL354" s="73"/>
    </row>
    <row r="355" spans="1:38" ht="12.75" customHeight="1">
      <c r="A355" s="71"/>
      <c r="AL355" s="73"/>
    </row>
    <row r="356" spans="1:38" ht="12.75" customHeight="1">
      <c r="A356" s="71"/>
      <c r="AL356" s="73"/>
    </row>
    <row r="357" spans="1:38" ht="12.75" customHeight="1">
      <c r="A357" s="71"/>
      <c r="AL357" s="73"/>
    </row>
    <row r="358" spans="1:38" ht="12.75" customHeight="1">
      <c r="A358" s="71"/>
      <c r="AL358" s="73"/>
    </row>
    <row r="359" spans="1:38" ht="12.75" customHeight="1">
      <c r="A359" s="71"/>
      <c r="AL359" s="73"/>
    </row>
    <row r="360" spans="1:38" ht="12.75" customHeight="1">
      <c r="A360" s="71"/>
      <c r="AL360" s="73"/>
    </row>
    <row r="361" spans="1:38" ht="12.75" customHeight="1">
      <c r="A361" s="71"/>
      <c r="AL361" s="73"/>
    </row>
    <row r="362" spans="1:38" ht="12.75" customHeight="1">
      <c r="A362" s="71"/>
      <c r="AL362" s="73"/>
    </row>
    <row r="363" spans="1:38" ht="12.75" customHeight="1">
      <c r="A363" s="71"/>
      <c r="AL363" s="73"/>
    </row>
    <row r="364" spans="1:38" ht="12.75" customHeight="1">
      <c r="A364" s="71"/>
      <c r="AL364" s="73"/>
    </row>
    <row r="365" spans="1:38" ht="12.75" customHeight="1">
      <c r="A365" s="71"/>
      <c r="AL365" s="73"/>
    </row>
    <row r="366" spans="1:38" ht="12.75" customHeight="1">
      <c r="A366" s="71"/>
      <c r="AL366" s="73"/>
    </row>
    <row r="367" spans="1:38" ht="12.75" customHeight="1">
      <c r="A367" s="71"/>
      <c r="AL367" s="73"/>
    </row>
    <row r="368" spans="1:38" ht="12.75" customHeight="1">
      <c r="A368" s="71"/>
      <c r="AL368" s="73"/>
    </row>
    <row r="369" spans="1:38" ht="12.75" customHeight="1">
      <c r="A369" s="71"/>
      <c r="AL369" s="73"/>
    </row>
    <row r="370" spans="1:38" ht="12.75" customHeight="1">
      <c r="A370" s="71"/>
      <c r="AL370" s="73"/>
    </row>
    <row r="371" spans="1:38" ht="12.75" customHeight="1">
      <c r="A371" s="71"/>
      <c r="AL371" s="73"/>
    </row>
    <row r="372" spans="1:38" ht="12.75" customHeight="1">
      <c r="A372" s="71"/>
      <c r="AL372" s="73"/>
    </row>
    <row r="373" spans="1:38" ht="12.75" customHeight="1">
      <c r="A373" s="71"/>
      <c r="AL373" s="73"/>
    </row>
    <row r="374" spans="1:38" ht="12.75" customHeight="1">
      <c r="A374" s="71"/>
      <c r="AL374" s="73"/>
    </row>
    <row r="375" spans="1:38" ht="12.75" customHeight="1">
      <c r="A375" s="71"/>
      <c r="AL375" s="73"/>
    </row>
    <row r="376" spans="1:38" ht="12.75" customHeight="1">
      <c r="A376" s="71"/>
      <c r="AL376" s="73"/>
    </row>
    <row r="377" spans="1:38" ht="12.75" customHeight="1">
      <c r="A377" s="71"/>
      <c r="AL377" s="73"/>
    </row>
    <row r="378" spans="1:38" ht="12.75" customHeight="1">
      <c r="A378" s="71"/>
      <c r="AL378" s="73"/>
    </row>
    <row r="379" spans="1:38" ht="12.75" customHeight="1">
      <c r="A379" s="71"/>
      <c r="AL379" s="73"/>
    </row>
    <row r="380" spans="1:38" ht="12.75" customHeight="1">
      <c r="A380" s="71"/>
      <c r="AL380" s="73"/>
    </row>
    <row r="381" spans="1:38" ht="12.75" customHeight="1">
      <c r="A381" s="71"/>
      <c r="AL381" s="73"/>
    </row>
    <row r="382" spans="1:38" ht="12.75" customHeight="1">
      <c r="A382" s="71"/>
      <c r="AL382" s="73"/>
    </row>
    <row r="383" spans="1:38" ht="12.75" customHeight="1">
      <c r="A383" s="71"/>
      <c r="AL383" s="73"/>
    </row>
    <row r="384" spans="1:38" ht="12.75" customHeight="1">
      <c r="A384" s="71"/>
      <c r="AL384" s="73"/>
    </row>
    <row r="385" spans="1:38" ht="12.75" customHeight="1">
      <c r="A385" s="71"/>
      <c r="AL385" s="73"/>
    </row>
    <row r="386" spans="1:38" ht="12.75" customHeight="1">
      <c r="A386" s="71"/>
      <c r="AL386" s="73"/>
    </row>
    <row r="387" spans="1:38" ht="12.75" customHeight="1">
      <c r="A387" s="71"/>
      <c r="AL387" s="73"/>
    </row>
    <row r="388" spans="1:38" ht="12.75" customHeight="1">
      <c r="A388" s="71"/>
      <c r="AL388" s="73"/>
    </row>
    <row r="389" spans="1:38" ht="12.75" customHeight="1">
      <c r="A389" s="71"/>
      <c r="AL389" s="73"/>
    </row>
    <row r="390" spans="1:38" ht="12.75" customHeight="1">
      <c r="A390" s="71"/>
      <c r="AL390" s="73"/>
    </row>
    <row r="391" spans="1:38" ht="12.75" customHeight="1">
      <c r="A391" s="71"/>
      <c r="AL391" s="73"/>
    </row>
    <row r="392" spans="1:38" ht="12.75" customHeight="1">
      <c r="A392" s="71"/>
      <c r="AL392" s="73"/>
    </row>
    <row r="393" spans="1:38" ht="12.75" customHeight="1">
      <c r="A393" s="71"/>
      <c r="AL393" s="73"/>
    </row>
    <row r="394" spans="1:38" ht="12.75" customHeight="1">
      <c r="A394" s="71"/>
      <c r="AL394" s="73"/>
    </row>
    <row r="395" spans="1:38" ht="12.75" customHeight="1">
      <c r="A395" s="71"/>
      <c r="AL395" s="73"/>
    </row>
    <row r="396" spans="1:38" ht="12.75" customHeight="1">
      <c r="A396" s="71"/>
      <c r="AL396" s="73"/>
    </row>
    <row r="397" spans="1:38" ht="12.75" customHeight="1">
      <c r="A397" s="71"/>
      <c r="AL397" s="73"/>
    </row>
    <row r="398" spans="1:38" ht="12.75" customHeight="1">
      <c r="A398" s="71"/>
      <c r="AL398" s="73"/>
    </row>
    <row r="399" spans="1:38" ht="12.75" customHeight="1">
      <c r="A399" s="71"/>
      <c r="AL399" s="73"/>
    </row>
    <row r="400" spans="1:38" ht="12.75" customHeight="1">
      <c r="A400" s="71"/>
      <c r="AL400" s="73"/>
    </row>
    <row r="401" spans="1:38" ht="12.75" customHeight="1">
      <c r="A401" s="71"/>
      <c r="AL401" s="73"/>
    </row>
    <row r="402" spans="1:38" ht="12.75" customHeight="1">
      <c r="A402" s="71"/>
      <c r="AL402" s="73"/>
    </row>
    <row r="403" spans="1:38" ht="12.75" customHeight="1">
      <c r="A403" s="71"/>
      <c r="AL403" s="73"/>
    </row>
    <row r="404" spans="1:38" ht="12.75" customHeight="1">
      <c r="A404" s="71"/>
      <c r="AL404" s="73"/>
    </row>
    <row r="405" spans="1:38" ht="12.75" customHeight="1">
      <c r="A405" s="71"/>
      <c r="AL405" s="73"/>
    </row>
    <row r="406" spans="1:38" ht="12.75" customHeight="1">
      <c r="A406" s="71"/>
      <c r="AL406" s="73"/>
    </row>
    <row r="407" spans="1:38" ht="12.75" customHeight="1">
      <c r="A407" s="71"/>
      <c r="AL407" s="73"/>
    </row>
    <row r="408" spans="1:38" ht="12.75" customHeight="1">
      <c r="A408" s="71"/>
      <c r="AL408" s="73"/>
    </row>
    <row r="409" spans="1:38" ht="12.75" customHeight="1">
      <c r="A409" s="71"/>
      <c r="AL409" s="73"/>
    </row>
    <row r="410" spans="1:38" ht="12.75" customHeight="1">
      <c r="A410" s="71"/>
      <c r="AL410" s="73"/>
    </row>
    <row r="411" spans="1:38" ht="12.75" customHeight="1">
      <c r="A411" s="71"/>
      <c r="AL411" s="73"/>
    </row>
    <row r="412" spans="1:38" ht="12.75" customHeight="1">
      <c r="A412" s="71"/>
      <c r="AL412" s="73"/>
    </row>
    <row r="413" spans="1:38" ht="12.75" customHeight="1">
      <c r="A413" s="71"/>
      <c r="AL413" s="73"/>
    </row>
    <row r="414" spans="1:38" ht="12.75" customHeight="1">
      <c r="A414" s="71"/>
      <c r="AL414" s="73"/>
    </row>
    <row r="415" spans="1:38" ht="12.75" customHeight="1">
      <c r="A415" s="71"/>
      <c r="AL415" s="73"/>
    </row>
    <row r="416" spans="1:38" ht="12.75" customHeight="1">
      <c r="A416" s="71"/>
      <c r="AL416" s="73"/>
    </row>
    <row r="417" spans="1:38" ht="12.75" customHeight="1">
      <c r="A417" s="71"/>
      <c r="AL417" s="73"/>
    </row>
    <row r="418" spans="1:38" ht="12.75" customHeight="1">
      <c r="A418" s="71"/>
      <c r="AL418" s="73"/>
    </row>
    <row r="419" spans="1:38" ht="12.75" customHeight="1">
      <c r="A419" s="71"/>
      <c r="AL419" s="73"/>
    </row>
    <row r="420" spans="1:38" ht="12.75" customHeight="1">
      <c r="A420" s="71"/>
      <c r="AL420" s="73"/>
    </row>
    <row r="421" spans="1:38" ht="12.75" customHeight="1">
      <c r="A421" s="71"/>
      <c r="AL421" s="73"/>
    </row>
    <row r="422" spans="1:38" ht="12.75" customHeight="1">
      <c r="A422" s="71"/>
      <c r="AL422" s="73"/>
    </row>
    <row r="423" spans="1:38" ht="12.75" customHeight="1">
      <c r="A423" s="71"/>
      <c r="AL423" s="73"/>
    </row>
    <row r="424" spans="1:38" ht="12.75" customHeight="1">
      <c r="A424" s="71"/>
      <c r="AL424" s="73"/>
    </row>
    <row r="425" spans="1:38" ht="12.75" customHeight="1">
      <c r="A425" s="71"/>
      <c r="AL425" s="73"/>
    </row>
    <row r="426" spans="1:38" ht="12.75" customHeight="1">
      <c r="A426" s="71"/>
      <c r="AL426" s="73"/>
    </row>
    <row r="427" spans="1:38" ht="12.75" customHeight="1">
      <c r="A427" s="71"/>
      <c r="AL427" s="73"/>
    </row>
    <row r="428" spans="1:38" ht="12.75" customHeight="1">
      <c r="A428" s="71"/>
      <c r="AL428" s="73"/>
    </row>
    <row r="429" spans="1:38" ht="12.75" customHeight="1">
      <c r="A429" s="71"/>
      <c r="AL429" s="73"/>
    </row>
    <row r="430" spans="1:38" ht="12.75" customHeight="1">
      <c r="A430" s="71"/>
      <c r="AL430" s="73"/>
    </row>
    <row r="431" spans="1:38" ht="12.75" customHeight="1">
      <c r="A431" s="71"/>
      <c r="AL431" s="73"/>
    </row>
    <row r="432" spans="1:38" ht="12.75" customHeight="1">
      <c r="A432" s="71"/>
      <c r="AL432" s="73"/>
    </row>
    <row r="433" spans="1:38" ht="12.75" customHeight="1">
      <c r="A433" s="71"/>
      <c r="AL433" s="73"/>
    </row>
    <row r="434" spans="1:38" ht="12.75" customHeight="1">
      <c r="A434" s="71"/>
      <c r="AL434" s="73"/>
    </row>
    <row r="435" spans="1:38" ht="12.75" customHeight="1">
      <c r="A435" s="71"/>
      <c r="AL435" s="73"/>
    </row>
    <row r="436" spans="1:38" ht="12.75" customHeight="1">
      <c r="A436" s="71"/>
      <c r="AL436" s="73"/>
    </row>
    <row r="437" spans="1:38" ht="12.75" customHeight="1">
      <c r="A437" s="71"/>
      <c r="AL437" s="73"/>
    </row>
    <row r="438" spans="1:38" ht="12.75" customHeight="1">
      <c r="A438" s="71"/>
      <c r="AL438" s="73"/>
    </row>
    <row r="439" spans="1:38" ht="12.75" customHeight="1">
      <c r="A439" s="71"/>
      <c r="AL439" s="73"/>
    </row>
    <row r="440" spans="1:38" ht="12.75" customHeight="1">
      <c r="A440" s="71"/>
      <c r="AL440" s="73"/>
    </row>
    <row r="441" spans="1:38" ht="12.75" customHeight="1">
      <c r="A441" s="71"/>
      <c r="AL441" s="73"/>
    </row>
    <row r="442" spans="1:38" ht="12.75" customHeight="1">
      <c r="A442" s="71"/>
      <c r="AL442" s="73"/>
    </row>
    <row r="443" spans="1:38" ht="12.75" customHeight="1">
      <c r="A443" s="71"/>
      <c r="AL443" s="73"/>
    </row>
    <row r="444" spans="1:38" ht="12.75" customHeight="1">
      <c r="A444" s="71"/>
      <c r="AL444" s="73"/>
    </row>
    <row r="445" spans="1:38" ht="12.75" customHeight="1">
      <c r="A445" s="71"/>
      <c r="AL445" s="73"/>
    </row>
    <row r="446" spans="1:38" ht="12.75" customHeight="1">
      <c r="A446" s="71"/>
      <c r="AL446" s="73"/>
    </row>
    <row r="447" spans="1:38" ht="12.75" customHeight="1">
      <c r="A447" s="71"/>
      <c r="AL447" s="73"/>
    </row>
    <row r="448" spans="1:38" ht="12.75" customHeight="1">
      <c r="A448" s="71"/>
      <c r="AL448" s="73"/>
    </row>
    <row r="449" spans="1:38" ht="12.75" customHeight="1">
      <c r="A449" s="71"/>
      <c r="AL449" s="73"/>
    </row>
    <row r="450" spans="1:38" ht="12.75" customHeight="1">
      <c r="A450" s="71"/>
      <c r="AL450" s="73"/>
    </row>
    <row r="451" spans="1:38" ht="12.75" customHeight="1">
      <c r="A451" s="71"/>
      <c r="AL451" s="73"/>
    </row>
    <row r="452" spans="1:38" ht="12.75" customHeight="1">
      <c r="A452" s="71"/>
      <c r="AL452" s="73"/>
    </row>
    <row r="453" spans="1:38" ht="12.75" customHeight="1">
      <c r="A453" s="71"/>
      <c r="AL453" s="73"/>
    </row>
    <row r="454" spans="1:38" ht="12.75" customHeight="1">
      <c r="A454" s="71"/>
      <c r="AL454" s="73"/>
    </row>
    <row r="455" spans="1:38" ht="12.75" customHeight="1">
      <c r="A455" s="71"/>
      <c r="AL455" s="73"/>
    </row>
    <row r="456" spans="1:38" ht="12.75" customHeight="1">
      <c r="A456" s="71"/>
      <c r="AL456" s="73"/>
    </row>
    <row r="457" spans="1:38" ht="12.75" customHeight="1">
      <c r="A457" s="71"/>
      <c r="AL457" s="73"/>
    </row>
    <row r="458" spans="1:38" ht="12.75" customHeight="1">
      <c r="A458" s="71"/>
      <c r="AL458" s="73"/>
    </row>
    <row r="459" spans="1:38" ht="12.75" customHeight="1">
      <c r="A459" s="71"/>
      <c r="AL459" s="73"/>
    </row>
    <row r="460" spans="1:38" ht="12.75" customHeight="1">
      <c r="A460" s="71"/>
      <c r="AL460" s="73"/>
    </row>
    <row r="461" spans="1:38" ht="12.75" customHeight="1">
      <c r="A461" s="71"/>
      <c r="AL461" s="73"/>
    </row>
    <row r="462" spans="1:38" ht="12.75" customHeight="1">
      <c r="A462" s="71"/>
      <c r="AL462" s="73"/>
    </row>
    <row r="463" spans="1:38" ht="12.75" customHeight="1">
      <c r="A463" s="71"/>
      <c r="AL463" s="73"/>
    </row>
    <row r="464" spans="1:38" ht="12.75" customHeight="1">
      <c r="A464" s="71"/>
      <c r="AL464" s="73"/>
    </row>
    <row r="465" spans="1:38" ht="12.75" customHeight="1">
      <c r="A465" s="71"/>
      <c r="AL465" s="73"/>
    </row>
    <row r="466" spans="1:38" ht="12.75" customHeight="1">
      <c r="A466" s="71"/>
      <c r="AL466" s="73"/>
    </row>
    <row r="467" spans="1:38" ht="12.75" customHeight="1">
      <c r="A467" s="71"/>
      <c r="AL467" s="73"/>
    </row>
    <row r="468" spans="1:38" ht="12.75" customHeight="1">
      <c r="A468" s="71"/>
      <c r="AL468" s="73"/>
    </row>
    <row r="469" spans="1:38" ht="12.75" customHeight="1">
      <c r="A469" s="71"/>
      <c r="AL469" s="73"/>
    </row>
    <row r="470" spans="1:38" ht="12.75" customHeight="1">
      <c r="A470" s="71"/>
      <c r="AL470" s="73"/>
    </row>
    <row r="471" spans="1:38" ht="12.75" customHeight="1">
      <c r="A471" s="71"/>
      <c r="AL471" s="73"/>
    </row>
    <row r="472" spans="1:38" ht="12.75" customHeight="1">
      <c r="A472" s="71"/>
      <c r="AL472" s="73"/>
    </row>
    <row r="473" spans="1:38" ht="12.75" customHeight="1">
      <c r="A473" s="71"/>
      <c r="AL473" s="73"/>
    </row>
    <row r="474" spans="1:38" ht="12.75" customHeight="1">
      <c r="A474" s="71"/>
      <c r="AL474" s="73"/>
    </row>
    <row r="475" spans="1:38" ht="12.75" customHeight="1">
      <c r="A475" s="71"/>
      <c r="AL475" s="73"/>
    </row>
    <row r="476" spans="1:38" ht="12.75" customHeight="1">
      <c r="A476" s="71"/>
      <c r="AL476" s="73"/>
    </row>
    <row r="477" spans="1:38" ht="12.75" customHeight="1">
      <c r="A477" s="71"/>
      <c r="AL477" s="73"/>
    </row>
    <row r="478" spans="1:38" ht="12.75" customHeight="1">
      <c r="A478" s="71"/>
      <c r="AL478" s="73"/>
    </row>
    <row r="479" spans="1:38" ht="12.75" customHeight="1">
      <c r="A479" s="71"/>
      <c r="AL479" s="73"/>
    </row>
    <row r="480" spans="1:38" ht="12.75" customHeight="1">
      <c r="A480" s="71"/>
      <c r="AL480" s="73"/>
    </row>
    <row r="481" spans="1:38" ht="12.75" customHeight="1">
      <c r="A481" s="71"/>
      <c r="AL481" s="73"/>
    </row>
    <row r="482" spans="1:38" ht="12.75" customHeight="1">
      <c r="A482" s="71"/>
      <c r="AL482" s="73"/>
    </row>
    <row r="483" spans="1:38" ht="12.75" customHeight="1">
      <c r="A483" s="71"/>
      <c r="AL483" s="73"/>
    </row>
    <row r="484" spans="1:38" ht="12.75" customHeight="1">
      <c r="A484" s="71"/>
      <c r="AL484" s="73"/>
    </row>
    <row r="485" spans="1:38" ht="12.75" customHeight="1">
      <c r="A485" s="71"/>
      <c r="AL485" s="73"/>
    </row>
    <row r="486" spans="1:38" ht="12.75" customHeight="1">
      <c r="A486" s="71"/>
      <c r="AL486" s="73"/>
    </row>
    <row r="487" spans="1:38" ht="12.75" customHeight="1">
      <c r="A487" s="71"/>
      <c r="AL487" s="73"/>
    </row>
    <row r="488" spans="1:38" ht="12.75" customHeight="1">
      <c r="A488" s="71"/>
      <c r="AL488" s="73"/>
    </row>
    <row r="489" spans="1:38" ht="12.75" customHeight="1">
      <c r="A489" s="71"/>
      <c r="AL489" s="73"/>
    </row>
    <row r="490" spans="1:38" ht="12.75" customHeight="1">
      <c r="A490" s="71"/>
      <c r="AL490" s="73"/>
    </row>
    <row r="491" spans="1:38" ht="12.75" customHeight="1">
      <c r="A491" s="71"/>
      <c r="AL491" s="73"/>
    </row>
    <row r="492" spans="1:38" ht="12.75" customHeight="1">
      <c r="A492" s="71"/>
      <c r="AL492" s="73"/>
    </row>
    <row r="493" spans="1:38" ht="12.75" customHeight="1">
      <c r="A493" s="71"/>
      <c r="AL493" s="73"/>
    </row>
    <row r="494" spans="1:38" ht="12.75" customHeight="1">
      <c r="A494" s="71"/>
      <c r="AL494" s="73"/>
    </row>
    <row r="495" spans="1:38" ht="12.75" customHeight="1">
      <c r="A495" s="71"/>
      <c r="AL495" s="73"/>
    </row>
    <row r="496" spans="1:38" ht="12.75" customHeight="1">
      <c r="A496" s="71"/>
      <c r="AL496" s="73"/>
    </row>
    <row r="497" spans="1:38" ht="12.75" customHeight="1">
      <c r="A497" s="71"/>
      <c r="AL497" s="73"/>
    </row>
    <row r="498" spans="1:38" ht="12.75" customHeight="1">
      <c r="A498" s="71"/>
      <c r="AL498" s="73"/>
    </row>
    <row r="499" spans="1:38" ht="12.75" customHeight="1">
      <c r="A499" s="71"/>
      <c r="AL499" s="73"/>
    </row>
    <row r="500" spans="1:38" ht="12.75" customHeight="1">
      <c r="A500" s="71"/>
      <c r="AL500" s="73"/>
    </row>
    <row r="501" spans="1:38" ht="12.75" customHeight="1">
      <c r="A501" s="71"/>
      <c r="AL501" s="73"/>
    </row>
    <row r="502" spans="1:38" ht="12.75" customHeight="1">
      <c r="A502" s="71"/>
      <c r="AL502" s="73"/>
    </row>
    <row r="503" spans="1:38" ht="12.75" customHeight="1">
      <c r="A503" s="71"/>
      <c r="AL503" s="73"/>
    </row>
    <row r="504" spans="1:38" ht="12.75" customHeight="1">
      <c r="A504" s="71"/>
      <c r="AL504" s="73"/>
    </row>
    <row r="505" spans="1:38" ht="12.75" customHeight="1">
      <c r="A505" s="71"/>
      <c r="AL505" s="73"/>
    </row>
    <row r="506" spans="1:38" ht="12.75" customHeight="1">
      <c r="A506" s="71"/>
      <c r="AL506" s="73"/>
    </row>
    <row r="507" spans="1:38" ht="12.75" customHeight="1">
      <c r="A507" s="71"/>
      <c r="AL507" s="73"/>
    </row>
    <row r="508" spans="1:38" ht="12.75" customHeight="1">
      <c r="A508" s="71"/>
      <c r="AL508" s="73"/>
    </row>
    <row r="509" spans="1:38" ht="12.75" customHeight="1">
      <c r="A509" s="71"/>
      <c r="AL509" s="73"/>
    </row>
    <row r="510" spans="1:38" ht="12.75" customHeight="1">
      <c r="A510" s="71"/>
      <c r="AL510" s="73"/>
    </row>
    <row r="511" spans="1:38" ht="12.75" customHeight="1">
      <c r="A511" s="71"/>
      <c r="AL511" s="73"/>
    </row>
    <row r="512" spans="1:38" ht="12.75" customHeight="1">
      <c r="A512" s="71"/>
      <c r="AL512" s="73"/>
    </row>
    <row r="513" spans="1:38" ht="12.75" customHeight="1">
      <c r="A513" s="71"/>
      <c r="AL513" s="73"/>
    </row>
    <row r="514" spans="1:38" ht="12.75" customHeight="1">
      <c r="A514" s="71"/>
      <c r="AL514" s="73"/>
    </row>
    <row r="515" spans="1:38" ht="12.75" customHeight="1">
      <c r="A515" s="71"/>
      <c r="AL515" s="73"/>
    </row>
    <row r="516" spans="1:38" ht="12.75" customHeight="1">
      <c r="A516" s="71"/>
      <c r="AL516" s="73"/>
    </row>
    <row r="517" spans="1:38" ht="12.75" customHeight="1">
      <c r="A517" s="71"/>
      <c r="AL517" s="73"/>
    </row>
    <row r="518" spans="1:38" ht="12.75" customHeight="1">
      <c r="A518" s="71"/>
      <c r="AL518" s="73"/>
    </row>
    <row r="519" spans="1:38" ht="12.75" customHeight="1">
      <c r="A519" s="71"/>
      <c r="AL519" s="73"/>
    </row>
    <row r="520" spans="1:38" ht="12.75" customHeight="1">
      <c r="A520" s="71"/>
      <c r="AL520" s="73"/>
    </row>
    <row r="521" spans="1:38" ht="12.75" customHeight="1">
      <c r="A521" s="71"/>
      <c r="AL521" s="73"/>
    </row>
    <row r="522" spans="1:38" ht="12.75" customHeight="1">
      <c r="A522" s="71"/>
      <c r="AL522" s="73"/>
    </row>
    <row r="523" spans="1:38" ht="12.75" customHeight="1">
      <c r="A523" s="71"/>
      <c r="AL523" s="73"/>
    </row>
    <row r="524" spans="1:38" ht="12.75" customHeight="1">
      <c r="A524" s="71"/>
      <c r="AL524" s="73"/>
    </row>
    <row r="525" spans="1:38" ht="12.75" customHeight="1">
      <c r="A525" s="71"/>
      <c r="AL525" s="73"/>
    </row>
    <row r="526" spans="1:38" ht="12.75" customHeight="1">
      <c r="A526" s="71"/>
      <c r="AL526" s="73"/>
    </row>
    <row r="527" spans="1:38" ht="12.75" customHeight="1">
      <c r="A527" s="71"/>
      <c r="AL527" s="73"/>
    </row>
    <row r="528" spans="1:38" ht="12.75" customHeight="1">
      <c r="A528" s="71"/>
      <c r="AL528" s="73"/>
    </row>
    <row r="529" spans="1:38" ht="12.75" customHeight="1">
      <c r="A529" s="71"/>
      <c r="AL529" s="73"/>
    </row>
    <row r="530" spans="1:38" ht="12.75" customHeight="1">
      <c r="A530" s="71"/>
      <c r="AL530" s="73"/>
    </row>
    <row r="531" spans="1:38" ht="12.75" customHeight="1">
      <c r="A531" s="71"/>
      <c r="AL531" s="73"/>
    </row>
    <row r="532" spans="1:38" ht="12.75" customHeight="1">
      <c r="A532" s="71"/>
      <c r="AL532" s="73"/>
    </row>
    <row r="533" spans="1:38" ht="12.75" customHeight="1">
      <c r="A533" s="71"/>
      <c r="AL533" s="73"/>
    </row>
    <row r="534" spans="1:38" ht="12.75" customHeight="1">
      <c r="A534" s="71"/>
      <c r="AL534" s="73"/>
    </row>
    <row r="535" spans="1:38" ht="12.75" customHeight="1">
      <c r="A535" s="71"/>
      <c r="AL535" s="73"/>
    </row>
    <row r="536" spans="1:38" ht="12.75" customHeight="1">
      <c r="A536" s="71"/>
      <c r="AL536" s="73"/>
    </row>
    <row r="537" spans="1:38" ht="12.75" customHeight="1">
      <c r="A537" s="71"/>
      <c r="AL537" s="73"/>
    </row>
    <row r="538" spans="1:38" ht="12.75" customHeight="1">
      <c r="A538" s="71"/>
      <c r="AL538" s="73"/>
    </row>
    <row r="539" spans="1:38" ht="12.75" customHeight="1">
      <c r="A539" s="71"/>
      <c r="AL539" s="73"/>
    </row>
    <row r="540" spans="1:38" ht="12.75" customHeight="1">
      <c r="A540" s="71"/>
      <c r="AL540" s="73"/>
    </row>
    <row r="541" spans="1:38" ht="12.75" customHeight="1">
      <c r="A541" s="71"/>
      <c r="AL541" s="73"/>
    </row>
    <row r="542" spans="1:38" ht="12.75" customHeight="1">
      <c r="A542" s="71"/>
      <c r="AL542" s="73"/>
    </row>
    <row r="543" spans="1:38" ht="12.75" customHeight="1">
      <c r="A543" s="71"/>
      <c r="AL543" s="73"/>
    </row>
    <row r="544" spans="1:38" ht="12.75" customHeight="1">
      <c r="A544" s="71"/>
      <c r="AL544" s="73"/>
    </row>
    <row r="545" spans="1:38" ht="12.75" customHeight="1">
      <c r="A545" s="71"/>
      <c r="AL545" s="73"/>
    </row>
    <row r="546" spans="1:38" ht="12.75" customHeight="1">
      <c r="A546" s="71"/>
      <c r="AL546" s="73"/>
    </row>
    <row r="547" spans="1:38" ht="12.75" customHeight="1">
      <c r="A547" s="71"/>
      <c r="AL547" s="73"/>
    </row>
    <row r="548" spans="1:38" ht="12.75" customHeight="1">
      <c r="A548" s="71"/>
      <c r="AL548" s="73"/>
    </row>
    <row r="549" spans="1:38" ht="12.75" customHeight="1">
      <c r="A549" s="71"/>
      <c r="AL549" s="73"/>
    </row>
    <row r="550" spans="1:38" ht="12.75" customHeight="1">
      <c r="A550" s="71"/>
      <c r="AL550" s="73"/>
    </row>
    <row r="551" spans="1:38" ht="12.75" customHeight="1">
      <c r="A551" s="71"/>
      <c r="AL551" s="73"/>
    </row>
    <row r="552" spans="1:38" ht="12.75" customHeight="1">
      <c r="A552" s="71"/>
      <c r="AL552" s="73"/>
    </row>
    <row r="553" spans="1:38" ht="12.75" customHeight="1">
      <c r="A553" s="71"/>
      <c r="AL553" s="73"/>
    </row>
    <row r="554" spans="1:38" ht="12.75" customHeight="1">
      <c r="A554" s="71"/>
      <c r="AL554" s="73"/>
    </row>
    <row r="555" spans="1:38" ht="12.75" customHeight="1">
      <c r="A555" s="71"/>
      <c r="AL555" s="73"/>
    </row>
    <row r="556" spans="1:38" ht="12.75" customHeight="1">
      <c r="A556" s="71"/>
      <c r="AL556" s="73"/>
    </row>
    <row r="557" spans="1:38" ht="12.75" customHeight="1">
      <c r="A557" s="71"/>
      <c r="AL557" s="73"/>
    </row>
    <row r="558" spans="1:38" ht="12.75" customHeight="1">
      <c r="A558" s="71"/>
      <c r="AL558" s="73"/>
    </row>
    <row r="559" spans="1:38" ht="12.75" customHeight="1">
      <c r="A559" s="71"/>
      <c r="AL559" s="73"/>
    </row>
    <row r="560" spans="1:38" ht="12.75" customHeight="1">
      <c r="A560" s="71"/>
      <c r="AL560" s="73"/>
    </row>
    <row r="561" spans="1:38" ht="12.75" customHeight="1">
      <c r="A561" s="71"/>
      <c r="AL561" s="73"/>
    </row>
    <row r="562" spans="1:38" ht="12.75" customHeight="1">
      <c r="A562" s="71"/>
      <c r="AL562" s="73"/>
    </row>
    <row r="563" spans="1:38" ht="12.75" customHeight="1">
      <c r="A563" s="71"/>
      <c r="AL563" s="73"/>
    </row>
    <row r="564" spans="1:38" ht="12.75" customHeight="1">
      <c r="A564" s="71"/>
      <c r="AL564" s="73"/>
    </row>
    <row r="565" spans="1:38" ht="12.75" customHeight="1">
      <c r="A565" s="71"/>
      <c r="AL565" s="73"/>
    </row>
    <row r="566" spans="1:38" ht="12.75" customHeight="1">
      <c r="A566" s="71"/>
      <c r="AL566" s="73"/>
    </row>
    <row r="567" spans="1:38" ht="12.75" customHeight="1">
      <c r="A567" s="71"/>
      <c r="AL567" s="73"/>
    </row>
    <row r="568" spans="1:38" ht="12.75" customHeight="1">
      <c r="A568" s="71"/>
      <c r="AL568" s="73"/>
    </row>
    <row r="569" spans="1:38" ht="12.75" customHeight="1">
      <c r="A569" s="71"/>
      <c r="AL569" s="73"/>
    </row>
    <row r="570" spans="1:38" ht="12.75" customHeight="1">
      <c r="A570" s="71"/>
      <c r="AL570" s="73"/>
    </row>
    <row r="571" spans="1:38" ht="12.75" customHeight="1">
      <c r="A571" s="71"/>
      <c r="AL571" s="73"/>
    </row>
    <row r="572" spans="1:38" ht="12.75" customHeight="1">
      <c r="A572" s="71"/>
      <c r="AL572" s="73"/>
    </row>
    <row r="573" spans="1:38" ht="12.75" customHeight="1">
      <c r="A573" s="71"/>
      <c r="AL573" s="73"/>
    </row>
    <row r="574" spans="1:38" ht="12.75" customHeight="1">
      <c r="A574" s="71"/>
      <c r="AL574" s="73"/>
    </row>
    <row r="575" spans="1:38" ht="12.75" customHeight="1">
      <c r="A575" s="71"/>
      <c r="AL575" s="73"/>
    </row>
    <row r="576" spans="1:38" ht="12.75" customHeight="1">
      <c r="A576" s="71"/>
      <c r="AL576" s="73"/>
    </row>
    <row r="577" spans="1:38" ht="12.75" customHeight="1">
      <c r="A577" s="71"/>
      <c r="AL577" s="73"/>
    </row>
    <row r="578" spans="1:38" ht="12.75" customHeight="1">
      <c r="A578" s="71"/>
      <c r="AL578" s="73"/>
    </row>
    <row r="579" spans="1:38" ht="12.75" customHeight="1">
      <c r="A579" s="71"/>
      <c r="AL579" s="73"/>
    </row>
    <row r="580" spans="1:38" ht="12.75" customHeight="1">
      <c r="A580" s="71"/>
      <c r="AL580" s="73"/>
    </row>
    <row r="581" spans="1:38" ht="12.75" customHeight="1">
      <c r="A581" s="71"/>
      <c r="AL581" s="73"/>
    </row>
    <row r="582" spans="1:38" ht="12.75" customHeight="1">
      <c r="A582" s="71"/>
      <c r="AL582" s="73"/>
    </row>
    <row r="583" spans="1:38" ht="12.75" customHeight="1">
      <c r="A583" s="71"/>
      <c r="AL583" s="73"/>
    </row>
    <row r="584" spans="1:38" ht="12.75" customHeight="1">
      <c r="A584" s="71"/>
      <c r="AL584" s="73"/>
    </row>
    <row r="585" spans="1:38" ht="12.75" customHeight="1">
      <c r="A585" s="71"/>
      <c r="AL585" s="73"/>
    </row>
    <row r="586" spans="1:38" ht="12.75" customHeight="1">
      <c r="A586" s="71"/>
      <c r="AL586" s="73"/>
    </row>
    <row r="587" spans="1:38" ht="12.75" customHeight="1">
      <c r="A587" s="71"/>
      <c r="AL587" s="73"/>
    </row>
    <row r="588" spans="1:38" ht="12.75" customHeight="1">
      <c r="A588" s="71"/>
      <c r="AL588" s="73"/>
    </row>
    <row r="589" spans="1:38" ht="12.75" customHeight="1">
      <c r="A589" s="71"/>
      <c r="AL589" s="73"/>
    </row>
    <row r="590" spans="1:38" ht="12.75" customHeight="1">
      <c r="A590" s="71"/>
      <c r="AL590" s="73"/>
    </row>
    <row r="591" spans="1:38" ht="12.75" customHeight="1">
      <c r="A591" s="71"/>
      <c r="AL591" s="73"/>
    </row>
    <row r="592" spans="1:38" ht="12.75" customHeight="1">
      <c r="A592" s="71"/>
      <c r="AL592" s="73"/>
    </row>
    <row r="593" spans="1:38" ht="12.75" customHeight="1">
      <c r="A593" s="71"/>
      <c r="AL593" s="73"/>
    </row>
    <row r="594" spans="1:38" ht="12.75" customHeight="1">
      <c r="A594" s="71"/>
      <c r="AL594" s="73"/>
    </row>
    <row r="595" spans="1:38" ht="12.75" customHeight="1">
      <c r="A595" s="71"/>
      <c r="AL595" s="73"/>
    </row>
    <row r="596" spans="1:38" ht="12.75" customHeight="1">
      <c r="A596" s="71"/>
      <c r="AL596" s="73"/>
    </row>
    <row r="597" spans="1:38" ht="12.75" customHeight="1">
      <c r="A597" s="71"/>
      <c r="AL597" s="73"/>
    </row>
    <row r="598" spans="1:38" ht="12.75" customHeight="1">
      <c r="A598" s="71"/>
      <c r="AL598" s="73"/>
    </row>
    <row r="599" spans="1:38" ht="12.75" customHeight="1">
      <c r="A599" s="71"/>
      <c r="AL599" s="73"/>
    </row>
    <row r="600" spans="1:38" ht="12.75" customHeight="1">
      <c r="A600" s="71"/>
      <c r="AL600" s="73"/>
    </row>
    <row r="601" spans="1:38" ht="12.75" customHeight="1">
      <c r="A601" s="71"/>
      <c r="AL601" s="73"/>
    </row>
    <row r="602" spans="1:38" ht="12.75" customHeight="1">
      <c r="A602" s="71"/>
      <c r="AL602" s="73"/>
    </row>
    <row r="603" spans="1:38" ht="12.75" customHeight="1">
      <c r="A603" s="71"/>
      <c r="AL603" s="73"/>
    </row>
    <row r="604" spans="1:38" ht="12.75" customHeight="1">
      <c r="A604" s="71"/>
      <c r="AL604" s="73"/>
    </row>
    <row r="605" spans="1:38" ht="12.75" customHeight="1">
      <c r="A605" s="71"/>
      <c r="AL605" s="73"/>
    </row>
    <row r="606" spans="1:38" ht="12.75" customHeight="1">
      <c r="A606" s="71"/>
      <c r="AL606" s="73"/>
    </row>
    <row r="607" spans="1:38" ht="12.75" customHeight="1">
      <c r="A607" s="71"/>
      <c r="AL607" s="73"/>
    </row>
    <row r="608" spans="1:38" ht="12.75" customHeight="1">
      <c r="A608" s="71"/>
      <c r="AL608" s="73"/>
    </row>
    <row r="609" spans="1:38" ht="12.75" customHeight="1">
      <c r="A609" s="71"/>
      <c r="AL609" s="73"/>
    </row>
    <row r="610" spans="1:38" ht="12.75" customHeight="1">
      <c r="A610" s="71"/>
      <c r="AL610" s="73"/>
    </row>
    <row r="611" spans="1:38" ht="12.75" customHeight="1">
      <c r="A611" s="71"/>
      <c r="AL611" s="73"/>
    </row>
    <row r="612" spans="1:38" ht="12.75" customHeight="1">
      <c r="A612" s="71"/>
      <c r="AL612" s="73"/>
    </row>
    <row r="613" spans="1:38" ht="12.75" customHeight="1">
      <c r="A613" s="71"/>
      <c r="AL613" s="73"/>
    </row>
    <row r="614" spans="1:38" ht="12.75" customHeight="1">
      <c r="A614" s="71"/>
      <c r="AL614" s="73"/>
    </row>
    <row r="615" spans="1:38" ht="12.75" customHeight="1">
      <c r="A615" s="71"/>
      <c r="AL615" s="73"/>
    </row>
    <row r="616" spans="1:38" ht="12.75" customHeight="1">
      <c r="A616" s="71"/>
      <c r="AL616" s="73"/>
    </row>
    <row r="617" spans="1:38" ht="12.75" customHeight="1">
      <c r="A617" s="71"/>
      <c r="AL617" s="73"/>
    </row>
    <row r="618" spans="1:38" ht="12.75" customHeight="1">
      <c r="A618" s="71"/>
      <c r="AL618" s="73"/>
    </row>
    <row r="619" spans="1:38" ht="12.75" customHeight="1">
      <c r="A619" s="71"/>
      <c r="AL619" s="73"/>
    </row>
    <row r="620" spans="1:38" ht="12.75" customHeight="1">
      <c r="A620" s="71"/>
      <c r="AL620" s="73"/>
    </row>
    <row r="621" spans="1:38" ht="12.75" customHeight="1">
      <c r="A621" s="71"/>
      <c r="AL621" s="73"/>
    </row>
    <row r="622" spans="1:38" ht="12.75" customHeight="1">
      <c r="A622" s="71"/>
      <c r="AL622" s="73"/>
    </row>
    <row r="623" spans="1:38" ht="12.75" customHeight="1">
      <c r="A623" s="71"/>
      <c r="AL623" s="73"/>
    </row>
    <row r="624" spans="1:38" ht="12.75" customHeight="1">
      <c r="A624" s="71"/>
      <c r="AL624" s="73"/>
    </row>
    <row r="625" spans="1:38" ht="12.75" customHeight="1">
      <c r="A625" s="71"/>
      <c r="AL625" s="73"/>
    </row>
    <row r="626" spans="1:38" ht="12.75" customHeight="1">
      <c r="A626" s="71"/>
      <c r="AL626" s="73"/>
    </row>
    <row r="627" spans="1:38" ht="12.75" customHeight="1">
      <c r="A627" s="71"/>
      <c r="AL627" s="73"/>
    </row>
    <row r="628" spans="1:38" ht="12.75" customHeight="1">
      <c r="A628" s="71"/>
      <c r="AL628" s="73"/>
    </row>
    <row r="629" spans="1:38" ht="12.75" customHeight="1">
      <c r="A629" s="71"/>
      <c r="AL629" s="73"/>
    </row>
    <row r="630" spans="1:38" ht="12.75" customHeight="1">
      <c r="A630" s="71"/>
      <c r="AL630" s="73"/>
    </row>
    <row r="631" spans="1:38" ht="12.75" customHeight="1">
      <c r="A631" s="71"/>
      <c r="AL631" s="73"/>
    </row>
    <row r="632" spans="1:38" ht="12.75" customHeight="1">
      <c r="A632" s="71"/>
      <c r="AL632" s="73"/>
    </row>
    <row r="633" spans="1:38" ht="12.75" customHeight="1">
      <c r="A633" s="71"/>
      <c r="AL633" s="73"/>
    </row>
    <row r="634" spans="1:38" ht="12.75" customHeight="1">
      <c r="A634" s="71"/>
      <c r="AL634" s="73"/>
    </row>
    <row r="635" spans="1:38" ht="12.75" customHeight="1">
      <c r="A635" s="71"/>
      <c r="AL635" s="73"/>
    </row>
    <row r="636" spans="1:38" ht="12.75" customHeight="1">
      <c r="A636" s="71"/>
      <c r="AL636" s="73"/>
    </row>
    <row r="637" spans="1:38" ht="12.75" customHeight="1">
      <c r="A637" s="71"/>
      <c r="AL637" s="73"/>
    </row>
    <row r="638" spans="1:38" ht="12.75" customHeight="1">
      <c r="A638" s="71"/>
      <c r="AL638" s="73"/>
    </row>
    <row r="639" spans="1:38" ht="12.75" customHeight="1">
      <c r="A639" s="71"/>
      <c r="AL639" s="73"/>
    </row>
    <row r="640" spans="1:38" ht="12.75" customHeight="1">
      <c r="A640" s="71"/>
      <c r="AL640" s="73"/>
    </row>
    <row r="641" spans="1:38" ht="12.75" customHeight="1">
      <c r="A641" s="71"/>
      <c r="AL641" s="73"/>
    </row>
    <row r="642" spans="1:38" ht="12.75" customHeight="1">
      <c r="A642" s="71"/>
      <c r="AL642" s="73"/>
    </row>
    <row r="643" spans="1:38" ht="12.75" customHeight="1">
      <c r="A643" s="71"/>
      <c r="AL643" s="73"/>
    </row>
    <row r="644" spans="1:38" ht="12.75" customHeight="1">
      <c r="A644" s="71"/>
      <c r="AL644" s="73"/>
    </row>
    <row r="645" spans="1:38" ht="12.75" customHeight="1">
      <c r="A645" s="71"/>
      <c r="AL645" s="73"/>
    </row>
    <row r="646" spans="1:38" ht="12.75" customHeight="1">
      <c r="A646" s="71"/>
      <c r="AL646" s="73"/>
    </row>
    <row r="647" spans="1:38" ht="12.75" customHeight="1">
      <c r="A647" s="71"/>
      <c r="AL647" s="73"/>
    </row>
    <row r="648" spans="1:38" ht="12.75" customHeight="1">
      <c r="A648" s="71"/>
      <c r="AL648" s="73"/>
    </row>
    <row r="649" spans="1:38" ht="12.75" customHeight="1">
      <c r="A649" s="71"/>
      <c r="AL649" s="73"/>
    </row>
    <row r="650" spans="1:38" ht="12.75" customHeight="1">
      <c r="A650" s="71"/>
      <c r="AL650" s="73"/>
    </row>
    <row r="651" spans="1:38" ht="12.75" customHeight="1">
      <c r="A651" s="71"/>
      <c r="AL651" s="73"/>
    </row>
    <row r="652" spans="1:38" ht="12.75" customHeight="1">
      <c r="A652" s="71"/>
      <c r="AL652" s="73"/>
    </row>
    <row r="653" spans="1:38" ht="12.75" customHeight="1">
      <c r="A653" s="71"/>
      <c r="AL653" s="73"/>
    </row>
    <row r="654" spans="1:38" ht="12.75" customHeight="1">
      <c r="A654" s="71"/>
      <c r="AL654" s="73"/>
    </row>
    <row r="655" spans="1:38" ht="12.75" customHeight="1">
      <c r="A655" s="71"/>
      <c r="AL655" s="73"/>
    </row>
    <row r="656" spans="1:38" ht="12.75" customHeight="1">
      <c r="A656" s="71"/>
      <c r="AL656" s="73"/>
    </row>
    <row r="657" spans="1:38" ht="12.75" customHeight="1">
      <c r="A657" s="71"/>
      <c r="AL657" s="73"/>
    </row>
    <row r="658" spans="1:38" ht="12.75" customHeight="1">
      <c r="A658" s="71"/>
      <c r="AL658" s="73"/>
    </row>
    <row r="659" spans="1:38" ht="12.75" customHeight="1">
      <c r="A659" s="71"/>
      <c r="AL659" s="73"/>
    </row>
    <row r="660" spans="1:38" ht="12.75" customHeight="1">
      <c r="A660" s="71"/>
      <c r="AL660" s="73"/>
    </row>
    <row r="661" spans="1:38" ht="12.75" customHeight="1">
      <c r="A661" s="71"/>
      <c r="AL661" s="73"/>
    </row>
    <row r="662" spans="1:38" ht="12.75" customHeight="1">
      <c r="A662" s="71"/>
      <c r="AL662" s="73"/>
    </row>
    <row r="663" spans="1:38" ht="12.75" customHeight="1">
      <c r="A663" s="71"/>
      <c r="AL663" s="73"/>
    </row>
    <row r="664" spans="1:38" ht="12.75" customHeight="1">
      <c r="A664" s="71"/>
      <c r="AL664" s="73"/>
    </row>
    <row r="665" spans="1:38" ht="12.75" customHeight="1">
      <c r="A665" s="71"/>
      <c r="AL665" s="73"/>
    </row>
    <row r="666" spans="1:38" ht="12.75" customHeight="1">
      <c r="A666" s="71"/>
      <c r="AL666" s="73"/>
    </row>
    <row r="667" spans="1:38" ht="12.75" customHeight="1">
      <c r="A667" s="71"/>
      <c r="AL667" s="73"/>
    </row>
    <row r="668" spans="1:38" ht="12.75" customHeight="1">
      <c r="A668" s="71"/>
      <c r="AL668" s="73"/>
    </row>
    <row r="669" spans="1:38" ht="12.75" customHeight="1">
      <c r="A669" s="71"/>
      <c r="AL669" s="73"/>
    </row>
    <row r="670" spans="1:38" ht="12.75" customHeight="1">
      <c r="A670" s="71"/>
      <c r="AL670" s="73"/>
    </row>
    <row r="671" spans="1:38" ht="12.75" customHeight="1">
      <c r="A671" s="71"/>
      <c r="AL671" s="73"/>
    </row>
    <row r="672" spans="1:38" ht="12.75" customHeight="1">
      <c r="A672" s="71"/>
      <c r="AL672" s="73"/>
    </row>
    <row r="673" spans="1:38" ht="12.75" customHeight="1">
      <c r="A673" s="71"/>
      <c r="AL673" s="73"/>
    </row>
    <row r="674" spans="1:38" ht="12.75" customHeight="1">
      <c r="A674" s="71"/>
      <c r="AL674" s="73"/>
    </row>
    <row r="675" spans="1:38" ht="12.75" customHeight="1">
      <c r="A675" s="71"/>
      <c r="AL675" s="73"/>
    </row>
    <row r="676" spans="1:38" ht="12.75" customHeight="1">
      <c r="A676" s="71"/>
      <c r="AL676" s="73"/>
    </row>
    <row r="677" spans="1:38" ht="12.75" customHeight="1">
      <c r="A677" s="71"/>
      <c r="AL677" s="73"/>
    </row>
    <row r="678" spans="1:38" ht="12.75" customHeight="1">
      <c r="A678" s="71"/>
      <c r="AL678" s="73"/>
    </row>
    <row r="679" spans="1:38" ht="12.75" customHeight="1">
      <c r="A679" s="71"/>
      <c r="AL679" s="73"/>
    </row>
    <row r="680" spans="1:38" ht="12.75" customHeight="1">
      <c r="A680" s="71"/>
      <c r="AL680" s="73"/>
    </row>
    <row r="681" spans="1:38" ht="12.75" customHeight="1">
      <c r="A681" s="71"/>
      <c r="AL681" s="73"/>
    </row>
    <row r="682" spans="1:38" ht="12.75" customHeight="1">
      <c r="A682" s="71"/>
      <c r="AL682" s="73"/>
    </row>
    <row r="683" spans="1:38" ht="12.75" customHeight="1">
      <c r="A683" s="71"/>
      <c r="AL683" s="73"/>
    </row>
    <row r="684" spans="1:38" ht="12.75" customHeight="1">
      <c r="A684" s="71"/>
      <c r="AL684" s="73"/>
    </row>
    <row r="685" spans="1:38" ht="12.75" customHeight="1">
      <c r="A685" s="71"/>
      <c r="AL685" s="73"/>
    </row>
    <row r="686" spans="1:38" ht="12.75" customHeight="1">
      <c r="A686" s="71"/>
      <c r="AL686" s="73"/>
    </row>
    <row r="687" spans="1:38" ht="12.75" customHeight="1">
      <c r="A687" s="71"/>
      <c r="AL687" s="73"/>
    </row>
    <row r="688" spans="1:38" ht="12.75" customHeight="1">
      <c r="A688" s="71"/>
      <c r="AL688" s="73"/>
    </row>
    <row r="689" spans="1:38" ht="12.75" customHeight="1">
      <c r="A689" s="71"/>
      <c r="AL689" s="73"/>
    </row>
    <row r="690" spans="1:38" ht="12.75" customHeight="1">
      <c r="A690" s="71"/>
      <c r="AL690" s="73"/>
    </row>
    <row r="691" spans="1:38" ht="12.75" customHeight="1">
      <c r="A691" s="71"/>
      <c r="AL691" s="73"/>
    </row>
    <row r="692" spans="1:38" ht="12.75" customHeight="1">
      <c r="A692" s="71"/>
      <c r="AL692" s="73"/>
    </row>
    <row r="693" spans="1:38" ht="12.75" customHeight="1">
      <c r="A693" s="71"/>
      <c r="AL693" s="73"/>
    </row>
    <row r="694" spans="1:38" ht="12.75" customHeight="1">
      <c r="A694" s="71"/>
      <c r="AL694" s="73"/>
    </row>
    <row r="695" spans="1:38" ht="12.75" customHeight="1">
      <c r="A695" s="71"/>
      <c r="AL695" s="73"/>
    </row>
    <row r="696" spans="1:38" ht="12.75" customHeight="1">
      <c r="A696" s="71"/>
      <c r="AL696" s="73"/>
    </row>
    <row r="697" spans="1:38" ht="12.75" customHeight="1">
      <c r="A697" s="71"/>
      <c r="AL697" s="73"/>
    </row>
    <row r="698" spans="1:38" ht="12.75" customHeight="1">
      <c r="A698" s="71"/>
      <c r="AL698" s="73"/>
    </row>
    <row r="699" spans="1:38" ht="12.75" customHeight="1">
      <c r="A699" s="71"/>
      <c r="AL699" s="73"/>
    </row>
    <row r="700" spans="1:38" ht="12.75" customHeight="1">
      <c r="A700" s="71"/>
      <c r="AL700" s="73"/>
    </row>
    <row r="701" spans="1:38" ht="12.75" customHeight="1">
      <c r="A701" s="71"/>
      <c r="AL701" s="73"/>
    </row>
    <row r="702" spans="1:38" ht="12.75" customHeight="1">
      <c r="A702" s="71"/>
      <c r="AL702" s="73"/>
    </row>
    <row r="703" spans="1:38" ht="12.75" customHeight="1">
      <c r="A703" s="71"/>
      <c r="AL703" s="73"/>
    </row>
    <row r="704" spans="1:38" ht="12.75" customHeight="1">
      <c r="A704" s="71"/>
      <c r="AL704" s="73"/>
    </row>
    <row r="705" spans="1:38" ht="12.75" customHeight="1">
      <c r="A705" s="71"/>
      <c r="AL705" s="73"/>
    </row>
    <row r="706" spans="1:38" ht="12.75" customHeight="1">
      <c r="A706" s="71"/>
      <c r="AL706" s="73"/>
    </row>
    <row r="707" spans="1:38" ht="12.75" customHeight="1">
      <c r="A707" s="71"/>
      <c r="AL707" s="73"/>
    </row>
    <row r="708" spans="1:38" ht="12.75" customHeight="1">
      <c r="A708" s="71"/>
      <c r="AL708" s="73"/>
    </row>
    <row r="709" spans="1:38" ht="12.75" customHeight="1">
      <c r="A709" s="71"/>
      <c r="AL709" s="73"/>
    </row>
    <row r="710" spans="1:38" ht="12.75" customHeight="1">
      <c r="A710" s="71"/>
      <c r="AL710" s="73"/>
    </row>
    <row r="711" spans="1:38" ht="12.75" customHeight="1">
      <c r="A711" s="71"/>
      <c r="AL711" s="73"/>
    </row>
    <row r="712" spans="1:38" ht="12.75" customHeight="1">
      <c r="A712" s="71"/>
      <c r="AL712" s="73"/>
    </row>
    <row r="713" spans="1:38" ht="12.75" customHeight="1">
      <c r="A713" s="71"/>
      <c r="AL713" s="73"/>
    </row>
    <row r="714" spans="1:38" ht="12.75" customHeight="1">
      <c r="A714" s="71"/>
      <c r="AL714" s="73"/>
    </row>
    <row r="715" spans="1:38" ht="12.75" customHeight="1">
      <c r="A715" s="71"/>
      <c r="AL715" s="73"/>
    </row>
    <row r="716" spans="1:38" ht="12.75" customHeight="1">
      <c r="A716" s="71"/>
      <c r="AL716" s="73"/>
    </row>
    <row r="717" spans="1:38" ht="12.75" customHeight="1">
      <c r="A717" s="71"/>
      <c r="AL717" s="73"/>
    </row>
    <row r="718" spans="1:38" ht="12.75" customHeight="1">
      <c r="A718" s="71"/>
      <c r="AL718" s="73"/>
    </row>
    <row r="719" spans="1:38" ht="12.75" customHeight="1">
      <c r="A719" s="71"/>
      <c r="AL719" s="73"/>
    </row>
    <row r="720" spans="1:38" ht="12.75" customHeight="1">
      <c r="A720" s="71"/>
      <c r="AL720" s="73"/>
    </row>
    <row r="721" spans="1:38" ht="12.75" customHeight="1">
      <c r="A721" s="71"/>
      <c r="AL721" s="73"/>
    </row>
    <row r="722" spans="1:38" ht="12.75" customHeight="1">
      <c r="A722" s="71"/>
      <c r="AL722" s="73"/>
    </row>
    <row r="723" spans="1:38" ht="12.75" customHeight="1">
      <c r="A723" s="71"/>
      <c r="AL723" s="73"/>
    </row>
    <row r="724" spans="1:38" ht="12.75" customHeight="1">
      <c r="A724" s="71"/>
      <c r="AL724" s="73"/>
    </row>
    <row r="725" spans="1:38" ht="12.75" customHeight="1">
      <c r="A725" s="71"/>
      <c r="AL725" s="73"/>
    </row>
    <row r="726" spans="1:38" ht="12.75" customHeight="1">
      <c r="A726" s="71"/>
      <c r="AL726" s="73"/>
    </row>
    <row r="727" spans="1:38" ht="12.75" customHeight="1">
      <c r="A727" s="71"/>
      <c r="AL727" s="73"/>
    </row>
    <row r="728" spans="1:38" ht="12.75" customHeight="1">
      <c r="A728" s="71"/>
      <c r="AL728" s="73"/>
    </row>
    <row r="729" spans="1:38" ht="12.75" customHeight="1">
      <c r="A729" s="71"/>
      <c r="AL729" s="73"/>
    </row>
    <row r="730" spans="1:38" ht="12.75" customHeight="1">
      <c r="A730" s="71"/>
      <c r="AL730" s="73"/>
    </row>
    <row r="731" spans="1:38" ht="12.75" customHeight="1">
      <c r="A731" s="71"/>
      <c r="AL731" s="73"/>
    </row>
    <row r="732" spans="1:38" ht="12.75" customHeight="1">
      <c r="A732" s="71"/>
      <c r="AL732" s="73"/>
    </row>
    <row r="733" spans="1:38" ht="12.75" customHeight="1">
      <c r="A733" s="71"/>
      <c r="AL733" s="73"/>
    </row>
    <row r="734" spans="1:38" ht="12.75" customHeight="1">
      <c r="A734" s="71"/>
      <c r="AL734" s="73"/>
    </row>
    <row r="735" spans="1:38" ht="12.75" customHeight="1">
      <c r="A735" s="71"/>
      <c r="AL735" s="73"/>
    </row>
    <row r="736" spans="1:38" ht="12.75" customHeight="1">
      <c r="A736" s="71"/>
      <c r="AL736" s="73"/>
    </row>
    <row r="737" spans="1:38" ht="12.75" customHeight="1">
      <c r="A737" s="71"/>
      <c r="AL737" s="73"/>
    </row>
    <row r="738" spans="1:38" ht="12.75" customHeight="1">
      <c r="A738" s="71"/>
      <c r="AL738" s="73"/>
    </row>
    <row r="739" spans="1:38" ht="12.75" customHeight="1">
      <c r="A739" s="71"/>
      <c r="AL739" s="73"/>
    </row>
    <row r="740" spans="1:38" ht="12.75" customHeight="1">
      <c r="A740" s="71"/>
      <c r="AL740" s="73"/>
    </row>
    <row r="741" spans="1:38" ht="12.75" customHeight="1">
      <c r="A741" s="71"/>
      <c r="AL741" s="73"/>
    </row>
    <row r="742" spans="1:38" ht="12.75" customHeight="1">
      <c r="A742" s="71"/>
      <c r="AL742" s="73"/>
    </row>
    <row r="743" spans="1:38" ht="12.75" customHeight="1">
      <c r="A743" s="71"/>
      <c r="AL743" s="73"/>
    </row>
    <row r="744" spans="1:38" ht="12.75" customHeight="1">
      <c r="A744" s="71"/>
      <c r="AL744" s="73"/>
    </row>
    <row r="745" spans="1:38" ht="12.75" customHeight="1">
      <c r="A745" s="71"/>
      <c r="AL745" s="73"/>
    </row>
    <row r="746" spans="1:38" ht="12.75" customHeight="1">
      <c r="A746" s="71"/>
      <c r="AL746" s="73"/>
    </row>
    <row r="747" spans="1:38" ht="12.75" customHeight="1">
      <c r="A747" s="71"/>
      <c r="AL747" s="73"/>
    </row>
    <row r="748" spans="1:38" ht="12.75" customHeight="1">
      <c r="A748" s="71"/>
      <c r="AL748" s="73"/>
    </row>
    <row r="749" spans="1:38" ht="12.75" customHeight="1">
      <c r="A749" s="71"/>
      <c r="AL749" s="73"/>
    </row>
    <row r="750" spans="1:38" ht="12.75" customHeight="1">
      <c r="A750" s="71"/>
      <c r="AL750" s="73"/>
    </row>
    <row r="751" spans="1:38" ht="12.75" customHeight="1">
      <c r="A751" s="71"/>
      <c r="AL751" s="73"/>
    </row>
    <row r="752" spans="1:38" ht="12.75" customHeight="1">
      <c r="A752" s="71"/>
      <c r="AL752" s="73"/>
    </row>
    <row r="753" spans="1:38" ht="12.75" customHeight="1">
      <c r="A753" s="71"/>
      <c r="AL753" s="73"/>
    </row>
    <row r="754" spans="1:38" ht="12.75" customHeight="1">
      <c r="A754" s="71"/>
      <c r="AL754" s="73"/>
    </row>
    <row r="755" spans="1:38" ht="12.75" customHeight="1">
      <c r="A755" s="71"/>
      <c r="AL755" s="73"/>
    </row>
    <row r="756" spans="1:38" ht="12.75" customHeight="1">
      <c r="A756" s="71"/>
      <c r="AL756" s="73"/>
    </row>
    <row r="757" spans="1:38" ht="12.75" customHeight="1">
      <c r="A757" s="71"/>
      <c r="AL757" s="73"/>
    </row>
    <row r="758" spans="1:38" ht="12.75" customHeight="1">
      <c r="A758" s="71"/>
      <c r="AL758" s="73"/>
    </row>
    <row r="759" spans="1:38" ht="12.75" customHeight="1">
      <c r="A759" s="71"/>
      <c r="AL759" s="73"/>
    </row>
    <row r="760" spans="1:38" ht="12.75" customHeight="1">
      <c r="A760" s="71"/>
      <c r="AL760" s="73"/>
    </row>
    <row r="761" spans="1:38" ht="12.75" customHeight="1">
      <c r="A761" s="71"/>
      <c r="AL761" s="73"/>
    </row>
    <row r="762" spans="1:38" ht="12.75" customHeight="1">
      <c r="A762" s="71"/>
      <c r="AL762" s="73"/>
    </row>
    <row r="763" spans="1:38" ht="12.75" customHeight="1">
      <c r="A763" s="71"/>
      <c r="AL763" s="73"/>
    </row>
    <row r="764" spans="1:38" ht="12.75" customHeight="1">
      <c r="A764" s="71"/>
      <c r="AL764" s="73"/>
    </row>
    <row r="765" spans="1:38" ht="12.75" customHeight="1">
      <c r="A765" s="71"/>
      <c r="AL765" s="73"/>
    </row>
    <row r="766" spans="1:38" ht="12.75" customHeight="1">
      <c r="A766" s="71"/>
      <c r="AL766" s="73"/>
    </row>
    <row r="767" spans="1:38" ht="12.75" customHeight="1">
      <c r="A767" s="71"/>
      <c r="AL767" s="73"/>
    </row>
    <row r="768" spans="1:38" ht="12.75" customHeight="1">
      <c r="A768" s="71"/>
      <c r="AL768" s="73"/>
    </row>
    <row r="769" spans="1:38" ht="12.75" customHeight="1">
      <c r="A769" s="71"/>
      <c r="AL769" s="73"/>
    </row>
    <row r="770" spans="1:38" ht="12.75" customHeight="1">
      <c r="A770" s="71"/>
      <c r="AL770" s="73"/>
    </row>
    <row r="771" spans="1:38" ht="12.75" customHeight="1">
      <c r="A771" s="71"/>
      <c r="AL771" s="73"/>
    </row>
    <row r="772" spans="1:38" ht="12.75" customHeight="1">
      <c r="A772" s="71"/>
      <c r="AL772" s="73"/>
    </row>
    <row r="773" spans="1:38" ht="12.75" customHeight="1">
      <c r="A773" s="71"/>
      <c r="AL773" s="73"/>
    </row>
    <row r="774" spans="1:38" ht="12.75" customHeight="1">
      <c r="A774" s="71"/>
      <c r="AL774" s="73"/>
    </row>
    <row r="775" spans="1:38" ht="12.75" customHeight="1">
      <c r="A775" s="71"/>
      <c r="AL775" s="73"/>
    </row>
    <row r="776" spans="1:38" ht="12.75" customHeight="1">
      <c r="A776" s="71"/>
      <c r="AL776" s="73"/>
    </row>
    <row r="777" spans="1:38" ht="12.75" customHeight="1">
      <c r="A777" s="71"/>
      <c r="AL777" s="73"/>
    </row>
    <row r="778" spans="1:38" ht="12.75" customHeight="1">
      <c r="A778" s="71"/>
      <c r="AL778" s="73"/>
    </row>
    <row r="779" spans="1:38" ht="12.75" customHeight="1">
      <c r="A779" s="71"/>
      <c r="AL779" s="73"/>
    </row>
    <row r="780" spans="1:38" ht="12.75" customHeight="1">
      <c r="A780" s="71"/>
      <c r="AL780" s="73"/>
    </row>
    <row r="781" spans="1:38" ht="12.75" customHeight="1">
      <c r="A781" s="71"/>
      <c r="AL781" s="73"/>
    </row>
    <row r="782" spans="1:38" ht="12.75" customHeight="1">
      <c r="A782" s="71"/>
      <c r="AL782" s="73"/>
    </row>
    <row r="783" spans="1:38" ht="12.75" customHeight="1">
      <c r="A783" s="71"/>
      <c r="AL783" s="73"/>
    </row>
    <row r="784" spans="1:38" ht="12.75" customHeight="1">
      <c r="A784" s="71"/>
      <c r="AL784" s="73"/>
    </row>
    <row r="785" spans="1:38" ht="12.75" customHeight="1">
      <c r="A785" s="71"/>
      <c r="AL785" s="73"/>
    </row>
    <row r="786" spans="1:38" ht="12.75" customHeight="1">
      <c r="A786" s="71"/>
      <c r="AL786" s="73"/>
    </row>
    <row r="787" spans="1:38" ht="12.75" customHeight="1">
      <c r="A787" s="71"/>
      <c r="AL787" s="73"/>
    </row>
    <row r="788" spans="1:38" ht="12.75" customHeight="1">
      <c r="A788" s="71"/>
      <c r="AL788" s="73"/>
    </row>
    <row r="789" spans="1:38" ht="12.75" customHeight="1">
      <c r="A789" s="71"/>
      <c r="AL789" s="73"/>
    </row>
    <row r="790" spans="1:38" ht="12.75" customHeight="1">
      <c r="A790" s="71"/>
      <c r="AL790" s="73"/>
    </row>
    <row r="791" spans="1:38" ht="12.75" customHeight="1">
      <c r="A791" s="71"/>
      <c r="AL791" s="73"/>
    </row>
    <row r="792" spans="1:38" ht="12.75" customHeight="1">
      <c r="A792" s="71"/>
      <c r="AL792" s="73"/>
    </row>
    <row r="793" spans="1:38" ht="12.75" customHeight="1">
      <c r="A793" s="71"/>
      <c r="AL793" s="73"/>
    </row>
    <row r="794" spans="1:38" ht="12.75" customHeight="1">
      <c r="A794" s="71"/>
      <c r="AL794" s="73"/>
    </row>
    <row r="795" spans="1:38" ht="12.75" customHeight="1">
      <c r="A795" s="71"/>
      <c r="AL795" s="73"/>
    </row>
    <row r="796" spans="1:38" ht="12.75" customHeight="1">
      <c r="A796" s="71"/>
      <c r="AL796" s="73"/>
    </row>
    <row r="797" spans="1:38" ht="12.75" customHeight="1">
      <c r="A797" s="71"/>
      <c r="AL797" s="73"/>
    </row>
    <row r="798" spans="1:38" ht="12.75" customHeight="1">
      <c r="A798" s="71"/>
      <c r="AL798" s="73"/>
    </row>
    <row r="799" spans="1:38" ht="12.75" customHeight="1">
      <c r="A799" s="71"/>
      <c r="AL799" s="73"/>
    </row>
    <row r="800" spans="1:38" ht="12.75" customHeight="1">
      <c r="A800" s="71"/>
      <c r="AL800" s="73"/>
    </row>
    <row r="801" spans="1:38" ht="12.75" customHeight="1">
      <c r="A801" s="71"/>
      <c r="AL801" s="73"/>
    </row>
    <row r="802" spans="1:38" ht="12.75" customHeight="1">
      <c r="A802" s="71"/>
      <c r="AL802" s="73"/>
    </row>
    <row r="803" spans="1:38" ht="12.75" customHeight="1">
      <c r="A803" s="71"/>
      <c r="AL803" s="73"/>
    </row>
    <row r="804" spans="1:38" ht="12.75" customHeight="1">
      <c r="A804" s="71"/>
      <c r="AL804" s="73"/>
    </row>
    <row r="805" spans="1:38" ht="12.75" customHeight="1">
      <c r="A805" s="71"/>
      <c r="AL805" s="73"/>
    </row>
    <row r="806" spans="1:38" ht="12.75" customHeight="1">
      <c r="A806" s="71"/>
      <c r="AL806" s="73"/>
    </row>
    <row r="807" spans="1:38" ht="12.75" customHeight="1">
      <c r="A807" s="71"/>
      <c r="AL807" s="73"/>
    </row>
    <row r="808" spans="1:38" ht="12.75" customHeight="1">
      <c r="A808" s="71"/>
      <c r="AL808" s="73"/>
    </row>
    <row r="809" spans="1:38" ht="12.75" customHeight="1">
      <c r="A809" s="71"/>
      <c r="AL809" s="73"/>
    </row>
    <row r="810" spans="1:38" ht="12.75" customHeight="1">
      <c r="A810" s="71"/>
      <c r="AL810" s="73"/>
    </row>
    <row r="811" spans="1:38" ht="12.75" customHeight="1">
      <c r="A811" s="71"/>
      <c r="AL811" s="73"/>
    </row>
    <row r="812" spans="1:38" ht="12.75" customHeight="1">
      <c r="A812" s="71"/>
      <c r="AL812" s="73"/>
    </row>
    <row r="813" spans="1:38" ht="12.75" customHeight="1">
      <c r="A813" s="71"/>
      <c r="AL813" s="73"/>
    </row>
    <row r="814" spans="1:38" ht="12.75" customHeight="1">
      <c r="A814" s="71"/>
      <c r="AL814" s="73"/>
    </row>
    <row r="815" spans="1:38" ht="12.75" customHeight="1">
      <c r="A815" s="71"/>
      <c r="AL815" s="73"/>
    </row>
    <row r="816" spans="1:38" ht="12.75" customHeight="1">
      <c r="A816" s="71"/>
      <c r="AL816" s="73"/>
    </row>
    <row r="817" spans="1:38" ht="12.75" customHeight="1">
      <c r="A817" s="71"/>
      <c r="AL817" s="73"/>
    </row>
    <row r="818" spans="1:38" ht="12.75" customHeight="1">
      <c r="A818" s="71"/>
      <c r="AL818" s="73"/>
    </row>
    <row r="819" spans="1:38" ht="12.75" customHeight="1">
      <c r="A819" s="71"/>
      <c r="AL819" s="73"/>
    </row>
    <row r="820" spans="1:38" ht="12.75" customHeight="1">
      <c r="A820" s="71"/>
      <c r="AL820" s="73"/>
    </row>
    <row r="821" spans="1:38" ht="12.75" customHeight="1">
      <c r="A821" s="71"/>
      <c r="AL821" s="73"/>
    </row>
    <row r="822" spans="1:38" ht="12.75" customHeight="1">
      <c r="A822" s="71"/>
      <c r="AL822" s="73"/>
    </row>
    <row r="823" spans="1:38" ht="12.75" customHeight="1">
      <c r="A823" s="71"/>
      <c r="AL823" s="73"/>
    </row>
    <row r="824" spans="1:38" ht="12.75" customHeight="1">
      <c r="A824" s="71"/>
      <c r="AL824" s="73"/>
    </row>
    <row r="825" spans="1:38" ht="12.75" customHeight="1">
      <c r="A825" s="71"/>
      <c r="AL825" s="73"/>
    </row>
    <row r="826" spans="1:38" ht="12.75" customHeight="1">
      <c r="A826" s="71"/>
      <c r="AL826" s="73"/>
    </row>
    <row r="827" spans="1:38" ht="12.75" customHeight="1">
      <c r="A827" s="71"/>
      <c r="AL827" s="73"/>
    </row>
    <row r="828" spans="1:38" ht="12.75" customHeight="1">
      <c r="A828" s="71"/>
      <c r="AL828" s="73"/>
    </row>
    <row r="829" spans="1:38" ht="12.75" customHeight="1">
      <c r="A829" s="71"/>
      <c r="AL829" s="73"/>
    </row>
    <row r="830" spans="1:38" ht="12.75" customHeight="1">
      <c r="A830" s="71"/>
      <c r="AL830" s="73"/>
    </row>
    <row r="831" spans="1:38" ht="12.75" customHeight="1">
      <c r="A831" s="71"/>
      <c r="AL831" s="73"/>
    </row>
    <row r="832" spans="1:38" ht="12.75" customHeight="1">
      <c r="A832" s="71"/>
      <c r="AL832" s="73"/>
    </row>
    <row r="833" spans="1:38" ht="12.75" customHeight="1">
      <c r="A833" s="71"/>
      <c r="AL833" s="73"/>
    </row>
    <row r="834" spans="1:38" ht="12.75" customHeight="1">
      <c r="A834" s="71"/>
      <c r="AL834" s="73"/>
    </row>
    <row r="835" spans="1:38" ht="12.75" customHeight="1">
      <c r="A835" s="71"/>
      <c r="AL835" s="73"/>
    </row>
    <row r="836" spans="1:38" ht="12.75" customHeight="1">
      <c r="A836" s="71"/>
      <c r="AL836" s="73"/>
    </row>
    <row r="837" spans="1:38" ht="12.75" customHeight="1">
      <c r="A837" s="71"/>
      <c r="AL837" s="73"/>
    </row>
    <row r="838" spans="1:38" ht="12.75" customHeight="1">
      <c r="A838" s="71"/>
      <c r="AL838" s="73"/>
    </row>
    <row r="839" spans="1:38" ht="12.75" customHeight="1">
      <c r="A839" s="71"/>
      <c r="AL839" s="73"/>
    </row>
    <row r="840" spans="1:38" ht="12.75" customHeight="1">
      <c r="A840" s="71"/>
      <c r="AL840" s="73"/>
    </row>
    <row r="841" spans="1:38" ht="12.75" customHeight="1">
      <c r="A841" s="71"/>
      <c r="AL841" s="73"/>
    </row>
    <row r="842" spans="1:38" ht="12.75" customHeight="1">
      <c r="A842" s="71"/>
      <c r="AL842" s="73"/>
    </row>
    <row r="843" spans="1:38" ht="12.75" customHeight="1">
      <c r="A843" s="71"/>
      <c r="AL843" s="73"/>
    </row>
    <row r="844" spans="1:38" ht="12.75" customHeight="1">
      <c r="A844" s="71"/>
      <c r="AL844" s="73"/>
    </row>
    <row r="845" spans="1:38" ht="12.75" customHeight="1">
      <c r="A845" s="71"/>
      <c r="AL845" s="73"/>
    </row>
    <row r="846" spans="1:38" ht="12.75" customHeight="1">
      <c r="A846" s="71"/>
      <c r="AL846" s="73"/>
    </row>
    <row r="847" spans="1:38" ht="12.75" customHeight="1">
      <c r="A847" s="71"/>
      <c r="AL847" s="73"/>
    </row>
    <row r="848" spans="1:38" ht="12.75" customHeight="1">
      <c r="A848" s="71"/>
      <c r="AL848" s="73"/>
    </row>
    <row r="849" spans="1:38" ht="12.75" customHeight="1">
      <c r="A849" s="71"/>
      <c r="AL849" s="73"/>
    </row>
    <row r="850" spans="1:38" ht="12.75" customHeight="1">
      <c r="A850" s="71"/>
      <c r="AL850" s="73"/>
    </row>
    <row r="851" spans="1:38" ht="12.75" customHeight="1">
      <c r="A851" s="71"/>
      <c r="AL851" s="73"/>
    </row>
    <row r="852" spans="1:38" ht="12.75" customHeight="1">
      <c r="A852" s="71"/>
      <c r="AL852" s="73"/>
    </row>
    <row r="853" spans="1:38" ht="12.75" customHeight="1">
      <c r="A853" s="71"/>
      <c r="AL853" s="73"/>
    </row>
    <row r="854" spans="1:38" ht="12.75" customHeight="1">
      <c r="A854" s="71"/>
      <c r="AL854" s="73"/>
    </row>
    <row r="855" spans="1:38" ht="12.75" customHeight="1">
      <c r="A855" s="71"/>
      <c r="AL855" s="73"/>
    </row>
    <row r="856" spans="1:38" ht="12.75" customHeight="1">
      <c r="A856" s="71"/>
      <c r="AL856" s="73"/>
    </row>
    <row r="857" spans="1:38" ht="12.75" customHeight="1">
      <c r="A857" s="71"/>
      <c r="AL857" s="73"/>
    </row>
    <row r="858" spans="1:38" ht="12.75" customHeight="1">
      <c r="A858" s="71"/>
      <c r="AL858" s="73"/>
    </row>
    <row r="859" spans="1:38" ht="12.75" customHeight="1">
      <c r="A859" s="71"/>
      <c r="AL859" s="73"/>
    </row>
    <row r="860" spans="1:38" ht="12.75" customHeight="1">
      <c r="A860" s="71"/>
      <c r="AL860" s="73"/>
    </row>
    <row r="861" spans="1:38" ht="12.75" customHeight="1">
      <c r="A861" s="71"/>
      <c r="AL861" s="73"/>
    </row>
    <row r="862" spans="1:38" ht="12.75" customHeight="1">
      <c r="A862" s="71"/>
      <c r="AL862" s="73"/>
    </row>
    <row r="863" spans="1:38" ht="12.75" customHeight="1">
      <c r="A863" s="71"/>
      <c r="AL863" s="73"/>
    </row>
    <row r="864" spans="1:38" ht="12.75" customHeight="1">
      <c r="A864" s="71"/>
      <c r="AL864" s="73"/>
    </row>
    <row r="865" spans="1:38" ht="12.75" customHeight="1">
      <c r="A865" s="71"/>
      <c r="AL865" s="73"/>
    </row>
    <row r="866" spans="1:38" ht="12.75" customHeight="1">
      <c r="A866" s="71"/>
      <c r="AL866" s="73"/>
    </row>
    <row r="867" spans="1:38" ht="12.75" customHeight="1">
      <c r="A867" s="71"/>
      <c r="AL867" s="73"/>
    </row>
    <row r="868" spans="1:38" ht="12.75" customHeight="1">
      <c r="A868" s="71"/>
      <c r="AL868" s="73"/>
    </row>
    <row r="869" spans="1:38" ht="12.75" customHeight="1">
      <c r="A869" s="71"/>
      <c r="AL869" s="73"/>
    </row>
    <row r="870" spans="1:38" ht="12.75" customHeight="1">
      <c r="A870" s="71"/>
      <c r="AL870" s="73"/>
    </row>
    <row r="871" spans="1:38" ht="12.75" customHeight="1">
      <c r="A871" s="71"/>
      <c r="AL871" s="73"/>
    </row>
    <row r="872" spans="1:38" ht="12.75" customHeight="1">
      <c r="A872" s="71"/>
      <c r="AL872" s="73"/>
    </row>
    <row r="873" spans="1:38" ht="12.75" customHeight="1">
      <c r="A873" s="71"/>
      <c r="AL873" s="73"/>
    </row>
    <row r="874" spans="1:38" ht="12.75" customHeight="1">
      <c r="A874" s="71"/>
      <c r="AL874" s="73"/>
    </row>
    <row r="875" spans="1:38" ht="12.75" customHeight="1">
      <c r="A875" s="71"/>
      <c r="AL875" s="73"/>
    </row>
    <row r="876" spans="1:38" ht="12.75" customHeight="1">
      <c r="A876" s="71"/>
      <c r="AL876" s="73"/>
    </row>
    <row r="877" spans="1:38" ht="12.75" customHeight="1">
      <c r="A877" s="71"/>
      <c r="AL877" s="73"/>
    </row>
    <row r="878" spans="1:38" ht="12.75" customHeight="1">
      <c r="A878" s="71"/>
      <c r="AL878" s="73"/>
    </row>
    <row r="879" spans="1:38" ht="12.75" customHeight="1">
      <c r="A879" s="71"/>
      <c r="AL879" s="73"/>
    </row>
    <row r="880" spans="1:38" ht="12.75" customHeight="1">
      <c r="A880" s="71"/>
      <c r="AL880" s="73"/>
    </row>
    <row r="881" spans="1:38" ht="12.75" customHeight="1">
      <c r="A881" s="71"/>
      <c r="AL881" s="73"/>
    </row>
    <row r="882" spans="1:38" ht="12.75" customHeight="1">
      <c r="A882" s="71"/>
      <c r="AL882" s="73"/>
    </row>
    <row r="883" spans="1:38" ht="12.75" customHeight="1">
      <c r="A883" s="71"/>
      <c r="AL883" s="73"/>
    </row>
    <row r="884" spans="1:38" ht="12.75" customHeight="1">
      <c r="A884" s="71"/>
      <c r="AL884" s="73"/>
    </row>
    <row r="885" spans="1:38" ht="12.75" customHeight="1">
      <c r="A885" s="71"/>
      <c r="AL885" s="73"/>
    </row>
    <row r="886" spans="1:38" ht="12.75" customHeight="1">
      <c r="A886" s="71"/>
      <c r="AL886" s="73"/>
    </row>
    <row r="887" spans="1:38" ht="12.75" customHeight="1">
      <c r="A887" s="71"/>
      <c r="AL887" s="73"/>
    </row>
    <row r="888" spans="1:38" ht="12.75" customHeight="1">
      <c r="A888" s="71"/>
      <c r="AL888" s="73"/>
    </row>
    <row r="889" spans="1:38" ht="12.75" customHeight="1">
      <c r="A889" s="71"/>
      <c r="AL889" s="73"/>
    </row>
    <row r="890" spans="1:38" ht="12.75" customHeight="1">
      <c r="A890" s="71"/>
      <c r="AL890" s="73"/>
    </row>
    <row r="891" spans="1:38" ht="12.75" customHeight="1">
      <c r="A891" s="71"/>
      <c r="AL891" s="73"/>
    </row>
    <row r="892" spans="1:38" ht="12.75" customHeight="1">
      <c r="A892" s="71"/>
      <c r="AL892" s="73"/>
    </row>
    <row r="893" spans="1:38" ht="12.75" customHeight="1">
      <c r="A893" s="71"/>
      <c r="AL893" s="73"/>
    </row>
    <row r="894" spans="1:38" ht="12.75" customHeight="1">
      <c r="A894" s="71"/>
      <c r="AL894" s="73"/>
    </row>
    <row r="895" spans="1:38" ht="12.75" customHeight="1">
      <c r="A895" s="71"/>
      <c r="AL895" s="73"/>
    </row>
    <row r="896" spans="1:38" ht="12.75" customHeight="1">
      <c r="A896" s="71"/>
      <c r="AL896" s="73"/>
    </row>
    <row r="897" spans="1:38" ht="12.75" customHeight="1">
      <c r="A897" s="71"/>
      <c r="AL897" s="73"/>
    </row>
    <row r="898" spans="1:38" ht="12.75" customHeight="1">
      <c r="A898" s="71"/>
      <c r="AL898" s="73"/>
    </row>
    <row r="899" spans="1:38" ht="12.75" customHeight="1">
      <c r="A899" s="71"/>
      <c r="AL899" s="73"/>
    </row>
    <row r="900" spans="1:38" ht="12.75" customHeight="1">
      <c r="A900" s="71"/>
      <c r="AL900" s="73"/>
    </row>
    <row r="901" spans="1:38" ht="12.75" customHeight="1">
      <c r="A901" s="71"/>
      <c r="AL901" s="73"/>
    </row>
    <row r="902" spans="1:38" ht="12.75" customHeight="1">
      <c r="A902" s="71"/>
      <c r="AL902" s="73"/>
    </row>
    <row r="903" spans="1:38" ht="12.75" customHeight="1">
      <c r="A903" s="71"/>
      <c r="AL903" s="73"/>
    </row>
    <row r="904" spans="1:38" ht="12.75" customHeight="1">
      <c r="A904" s="71"/>
      <c r="AL904" s="73"/>
    </row>
    <row r="905" spans="1:38" ht="12.75" customHeight="1">
      <c r="A905" s="71"/>
      <c r="AL905" s="73"/>
    </row>
    <row r="906" spans="1:38" ht="12.75" customHeight="1">
      <c r="A906" s="71"/>
      <c r="AL906" s="73"/>
    </row>
    <row r="907" spans="1:38" ht="12.75" customHeight="1">
      <c r="A907" s="71"/>
      <c r="AL907" s="73"/>
    </row>
    <row r="908" spans="1:38" ht="12.75" customHeight="1">
      <c r="A908" s="71"/>
      <c r="AL908" s="73"/>
    </row>
    <row r="909" spans="1:38" ht="12.75" customHeight="1">
      <c r="A909" s="71"/>
      <c r="AL909" s="73"/>
    </row>
    <row r="910" spans="1:38" ht="12.75" customHeight="1">
      <c r="A910" s="71"/>
      <c r="AL910" s="73"/>
    </row>
    <row r="911" spans="1:38" ht="12.75" customHeight="1">
      <c r="A911" s="71"/>
      <c r="AL911" s="73"/>
    </row>
    <row r="912" spans="1:38" ht="12.75" customHeight="1">
      <c r="A912" s="71"/>
      <c r="AL912" s="73"/>
    </row>
    <row r="913" spans="1:38" ht="12.75" customHeight="1">
      <c r="A913" s="71"/>
      <c r="AL913" s="73"/>
    </row>
    <row r="914" spans="1:38" ht="12.75" customHeight="1">
      <c r="A914" s="71"/>
      <c r="AL914" s="73"/>
    </row>
    <row r="915" spans="1:38" ht="12.75" customHeight="1">
      <c r="A915" s="71"/>
      <c r="AL915" s="73"/>
    </row>
    <row r="916" spans="1:38" ht="12.75" customHeight="1">
      <c r="A916" s="71"/>
      <c r="AL916" s="73"/>
    </row>
    <row r="917" spans="1:38" ht="12.75" customHeight="1">
      <c r="A917" s="71"/>
      <c r="AL917" s="73"/>
    </row>
    <row r="918" spans="1:38" ht="12.75" customHeight="1">
      <c r="A918" s="71"/>
      <c r="AL918" s="73"/>
    </row>
    <row r="919" spans="1:38" ht="12.75" customHeight="1">
      <c r="A919" s="71"/>
      <c r="AL919" s="73"/>
    </row>
    <row r="920" spans="1:38" ht="12.75" customHeight="1">
      <c r="A920" s="71"/>
      <c r="AL920" s="73"/>
    </row>
    <row r="921" spans="1:38" ht="12.75" customHeight="1">
      <c r="A921" s="71"/>
      <c r="AL921" s="73"/>
    </row>
    <row r="922" spans="1:38" ht="12.75" customHeight="1">
      <c r="A922" s="71"/>
      <c r="AL922" s="73"/>
    </row>
    <row r="923" spans="1:38" ht="12.75" customHeight="1">
      <c r="A923" s="71"/>
      <c r="AL923" s="73"/>
    </row>
    <row r="924" spans="1:38" ht="12.75" customHeight="1">
      <c r="A924" s="71"/>
      <c r="AL924" s="73"/>
    </row>
    <row r="925" spans="1:38" ht="12.75" customHeight="1">
      <c r="A925" s="71"/>
      <c r="AL925" s="73"/>
    </row>
    <row r="926" spans="1:38" ht="12.75" customHeight="1">
      <c r="A926" s="71"/>
      <c r="AL926" s="73"/>
    </row>
    <row r="927" spans="1:38" ht="12.75" customHeight="1">
      <c r="A927" s="71"/>
      <c r="AL927" s="73"/>
    </row>
    <row r="928" spans="1:38" ht="12.75" customHeight="1">
      <c r="A928" s="71"/>
      <c r="AL928" s="73"/>
    </row>
    <row r="929" spans="1:38" ht="12.75" customHeight="1">
      <c r="A929" s="71"/>
      <c r="AL929" s="73"/>
    </row>
    <row r="930" spans="1:38" ht="12.75" customHeight="1">
      <c r="A930" s="71"/>
      <c r="AL930" s="73"/>
    </row>
    <row r="931" spans="1:38" ht="12.75" customHeight="1">
      <c r="A931" s="71"/>
      <c r="AL931" s="73"/>
    </row>
    <row r="932" spans="1:38" ht="12.75" customHeight="1">
      <c r="A932" s="71"/>
      <c r="AL932" s="73"/>
    </row>
    <row r="933" spans="1:38" ht="12.75" customHeight="1">
      <c r="A933" s="71"/>
      <c r="AL933" s="73"/>
    </row>
    <row r="934" spans="1:38" ht="12.75" customHeight="1">
      <c r="A934" s="71"/>
      <c r="AL934" s="73"/>
    </row>
    <row r="935" spans="1:38" ht="12.75" customHeight="1">
      <c r="A935" s="71"/>
      <c r="AL935" s="73"/>
    </row>
    <row r="936" spans="1:38" ht="12.75" customHeight="1">
      <c r="A936" s="71"/>
      <c r="AL936" s="73"/>
    </row>
    <row r="937" spans="1:38" ht="12.75" customHeight="1">
      <c r="A937" s="71"/>
      <c r="AL937" s="73"/>
    </row>
    <row r="938" spans="1:38" ht="12.75" customHeight="1">
      <c r="A938" s="71"/>
      <c r="AL938" s="73"/>
    </row>
    <row r="939" spans="1:38" ht="12.75" customHeight="1">
      <c r="A939" s="71"/>
      <c r="AL939" s="73"/>
    </row>
    <row r="940" spans="1:38" ht="12.75" customHeight="1">
      <c r="A940" s="71"/>
      <c r="AL940" s="73"/>
    </row>
    <row r="941" spans="1:38" ht="12.75" customHeight="1">
      <c r="A941" s="71"/>
      <c r="AL941" s="73"/>
    </row>
    <row r="942" spans="1:38" ht="12.75" customHeight="1">
      <c r="A942" s="71"/>
      <c r="AL942" s="73"/>
    </row>
    <row r="943" spans="1:38" ht="12.75" customHeight="1">
      <c r="A943" s="71"/>
      <c r="AL943" s="73"/>
    </row>
    <row r="944" spans="1:38" ht="12.75" customHeight="1">
      <c r="A944" s="71"/>
      <c r="AL944" s="73"/>
    </row>
    <row r="945" spans="1:38" ht="12.75" customHeight="1">
      <c r="A945" s="71"/>
      <c r="AL945" s="73"/>
    </row>
    <row r="946" spans="1:38" ht="12.75" customHeight="1">
      <c r="A946" s="71"/>
      <c r="AL946" s="73"/>
    </row>
    <row r="947" spans="1:38" ht="12.75" customHeight="1">
      <c r="A947" s="71"/>
      <c r="AL947" s="73"/>
    </row>
    <row r="948" spans="1:38" ht="12.75" customHeight="1">
      <c r="A948" s="71"/>
      <c r="AL948" s="73"/>
    </row>
    <row r="949" spans="1:38" ht="12.75" customHeight="1">
      <c r="A949" s="71"/>
      <c r="AL949" s="73"/>
    </row>
    <row r="950" spans="1:38" ht="12.75" customHeight="1">
      <c r="A950" s="71"/>
      <c r="AL950" s="73"/>
    </row>
    <row r="951" spans="1:38" ht="12.75" customHeight="1">
      <c r="A951" s="71"/>
      <c r="AL951" s="73"/>
    </row>
    <row r="952" spans="1:38" ht="12.75" customHeight="1">
      <c r="A952" s="71"/>
      <c r="AL952" s="73"/>
    </row>
    <row r="953" spans="1:38" ht="12.75" customHeight="1">
      <c r="A953" s="71"/>
      <c r="AL953" s="73"/>
    </row>
    <row r="954" spans="1:38" ht="12.75" customHeight="1">
      <c r="A954" s="71"/>
      <c r="AL954" s="73"/>
    </row>
    <row r="955" spans="1:38" ht="12.75" customHeight="1">
      <c r="A955" s="71"/>
      <c r="AL955" s="73"/>
    </row>
    <row r="956" spans="1:38" ht="12.75" customHeight="1">
      <c r="A956" s="71"/>
      <c r="AL956" s="73"/>
    </row>
    <row r="957" spans="1:38" ht="12.75" customHeight="1">
      <c r="A957" s="71"/>
      <c r="AL957" s="73"/>
    </row>
    <row r="958" spans="1:38" ht="12.75" customHeight="1">
      <c r="A958" s="71"/>
      <c r="AL958" s="73"/>
    </row>
    <row r="959" spans="1:38" ht="12.75" customHeight="1">
      <c r="A959" s="71"/>
      <c r="AL959" s="73"/>
    </row>
    <row r="960" spans="1:38" ht="12.75" customHeight="1">
      <c r="A960" s="71"/>
      <c r="AL960" s="73"/>
    </row>
    <row r="961" spans="1:38" ht="12.75" customHeight="1">
      <c r="A961" s="71"/>
      <c r="AL961" s="73"/>
    </row>
    <row r="962" spans="1:38" ht="12.75" customHeight="1">
      <c r="A962" s="71"/>
      <c r="AL962" s="73"/>
    </row>
    <row r="963" spans="1:38" ht="12.75" customHeight="1">
      <c r="A963" s="71"/>
      <c r="AL963" s="73"/>
    </row>
    <row r="964" spans="1:38" ht="12.75" customHeight="1">
      <c r="A964" s="71"/>
      <c r="AL964" s="73"/>
    </row>
    <row r="965" spans="1:38" ht="12.75" customHeight="1">
      <c r="A965" s="71"/>
      <c r="AL965" s="73"/>
    </row>
    <row r="966" spans="1:38" ht="12.75" customHeight="1">
      <c r="A966" s="71"/>
      <c r="AL966" s="73"/>
    </row>
    <row r="967" spans="1:38" ht="12.75" customHeight="1">
      <c r="A967" s="71"/>
      <c r="AL967" s="73"/>
    </row>
    <row r="968" spans="1:38" ht="12.75" customHeight="1">
      <c r="A968" s="71"/>
      <c r="AL968" s="73"/>
    </row>
    <row r="969" spans="1:38" ht="12.75" customHeight="1">
      <c r="A969" s="71"/>
      <c r="AL969" s="73"/>
    </row>
    <row r="970" spans="1:38" ht="12.75" customHeight="1">
      <c r="A970" s="71"/>
      <c r="AL970" s="73"/>
    </row>
    <row r="971" spans="1:38" ht="12.75" customHeight="1">
      <c r="A971" s="71"/>
      <c r="AL971" s="73"/>
    </row>
    <row r="972" spans="1:38" ht="12.75" customHeight="1">
      <c r="A972" s="71"/>
      <c r="AL972" s="73"/>
    </row>
    <row r="973" spans="1:38" ht="12.75" customHeight="1">
      <c r="A973" s="71"/>
      <c r="AL973" s="73"/>
    </row>
    <row r="974" spans="1:38" ht="12.75" customHeight="1">
      <c r="A974" s="71"/>
      <c r="AL974" s="73"/>
    </row>
    <row r="975" spans="1:38" ht="12.75" customHeight="1">
      <c r="A975" s="71"/>
      <c r="AL975" s="73"/>
    </row>
    <row r="976" spans="1:38" ht="12.75" customHeight="1">
      <c r="A976" s="71"/>
      <c r="AL976" s="73"/>
    </row>
    <row r="977" spans="1:38" ht="12.75" customHeight="1">
      <c r="A977" s="71"/>
      <c r="AL977" s="73"/>
    </row>
    <row r="978" spans="1:38" ht="12.75" customHeight="1">
      <c r="A978" s="71"/>
      <c r="AL978" s="73"/>
    </row>
    <row r="979" spans="1:38" ht="12.75" customHeight="1">
      <c r="A979" s="71"/>
      <c r="AL979" s="73"/>
    </row>
    <row r="980" spans="1:38" ht="12.75" customHeight="1">
      <c r="A980" s="71"/>
      <c r="AL980" s="73"/>
    </row>
    <row r="981" spans="1:38" ht="12.75" customHeight="1">
      <c r="A981" s="71"/>
      <c r="AL981" s="73"/>
    </row>
    <row r="982" spans="1:38" ht="12.75" customHeight="1">
      <c r="A982" s="71"/>
      <c r="AL982" s="73"/>
    </row>
    <row r="983" spans="1:38" ht="12.75" customHeight="1">
      <c r="A983" s="71"/>
      <c r="AL983" s="73"/>
    </row>
    <row r="984" spans="1:38" ht="12.75" customHeight="1">
      <c r="A984" s="71"/>
      <c r="AL984" s="73"/>
    </row>
    <row r="985" spans="1:38" ht="12.75" customHeight="1">
      <c r="A985" s="71"/>
      <c r="AL985" s="73"/>
    </row>
    <row r="986" spans="1:38" ht="12.75" customHeight="1">
      <c r="A986" s="71"/>
      <c r="AL986" s="73"/>
    </row>
    <row r="987" spans="1:38" ht="12.75" customHeight="1">
      <c r="A987" s="71"/>
      <c r="AL987" s="73"/>
    </row>
    <row r="988" spans="1:38" ht="12.75" customHeight="1">
      <c r="A988" s="71"/>
      <c r="AL988" s="73"/>
    </row>
    <row r="989" spans="1:38" ht="12.75" customHeight="1">
      <c r="A989" s="71"/>
      <c r="AL989" s="73"/>
    </row>
    <row r="990" spans="1:38" ht="12.75" customHeight="1">
      <c r="A990" s="71"/>
      <c r="AL990" s="73"/>
    </row>
    <row r="991" spans="1:38" ht="12.75" customHeight="1">
      <c r="A991" s="71"/>
      <c r="AL991" s="73"/>
    </row>
    <row r="992" spans="1:38" ht="12.75" customHeight="1">
      <c r="A992" s="71"/>
      <c r="AL992" s="73"/>
    </row>
    <row r="993" spans="1:38" ht="12.75" customHeight="1">
      <c r="A993" s="71"/>
      <c r="AL993" s="73"/>
    </row>
    <row r="994" spans="1:38" ht="12.75" customHeight="1">
      <c r="A994" s="71"/>
      <c r="AL994" s="73"/>
    </row>
    <row r="995" spans="1:38" ht="12.75" customHeight="1">
      <c r="A995" s="71"/>
      <c r="AL995" s="73"/>
    </row>
    <row r="996" spans="1:38" ht="12.75" customHeight="1">
      <c r="A996" s="71"/>
      <c r="AL996" s="73"/>
    </row>
    <row r="997" spans="1:38" ht="12.75" customHeight="1">
      <c r="A997" s="71"/>
      <c r="AL997" s="73"/>
    </row>
    <row r="998" spans="1:38" ht="12.75" customHeight="1">
      <c r="A998" s="71"/>
      <c r="AL998" s="73"/>
    </row>
    <row r="999" spans="1:38" ht="12.75" customHeight="1">
      <c r="A999" s="71"/>
      <c r="AL999" s="73"/>
    </row>
    <row r="1000" spans="1:38" ht="12.75" customHeight="1">
      <c r="A1000" s="71"/>
      <c r="AL1000" s="73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32F78A3-59DE-4BB5-A05A-47C229C510B0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8AA3A217-B7C7-4BE7-8892-EB195E53759C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201" t="str">
        <f>Summen!B1</f>
        <v>Alta Engineering AG</v>
      </c>
      <c r="B1" s="191"/>
      <c r="C1" s="191"/>
      <c r="D1" s="191"/>
      <c r="E1" s="189"/>
      <c r="F1" s="195" t="s">
        <v>0</v>
      </c>
      <c r="G1" s="189"/>
      <c r="H1" s="196" t="s">
        <v>1</v>
      </c>
      <c r="I1" s="191"/>
      <c r="J1" s="197" t="str">
        <f>Summen!B3</f>
        <v>Michael Küng</v>
      </c>
      <c r="K1" s="191"/>
      <c r="L1" s="191"/>
      <c r="M1" s="189"/>
      <c r="N1" s="198" t="s">
        <v>2</v>
      </c>
      <c r="O1" s="191"/>
      <c r="P1" s="188">
        <f>Jan!P1+31</f>
        <v>46054</v>
      </c>
      <c r="Q1" s="189"/>
      <c r="R1" s="1"/>
      <c r="S1" s="2" t="s">
        <v>3</v>
      </c>
      <c r="T1" s="2"/>
      <c r="U1" s="3">
        <f>Summen!B5</f>
        <v>1</v>
      </c>
      <c r="V1" s="1"/>
      <c r="W1" s="4" t="s">
        <v>4</v>
      </c>
      <c r="X1" s="5">
        <f>Jan!X1+1</f>
        <v>2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Jan!H2+(Jan!Q35/Summen!B9)</f>
        <v>0</v>
      </c>
      <c r="I2" s="11" t="s">
        <v>7</v>
      </c>
      <c r="J2" s="13">
        <f>E2-H2</f>
        <v>10.8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Jan!U35</f>
        <v>0</v>
      </c>
      <c r="V2" s="190" t="s">
        <v>9</v>
      </c>
      <c r="W2" s="191"/>
      <c r="X2" s="200"/>
      <c r="Y2" s="77"/>
      <c r="Z2" s="75"/>
      <c r="AA2" s="75"/>
      <c r="AB2" s="75"/>
      <c r="AC2" s="75"/>
      <c r="AD2" s="75"/>
      <c r="AE2" s="75"/>
      <c r="AF2" s="15"/>
      <c r="AG2" s="9"/>
      <c r="AH2" s="10"/>
      <c r="AI2" s="10"/>
      <c r="AJ2" s="78"/>
      <c r="AK2" s="7"/>
      <c r="AL2" s="7"/>
    </row>
    <row r="3" spans="1:38" ht="69.75" customHeight="1">
      <c r="A3" s="22" t="s">
        <v>10</v>
      </c>
      <c r="B3" s="147"/>
      <c r="C3" s="146" t="s">
        <v>33</v>
      </c>
      <c r="D3" s="146" t="s">
        <v>34</v>
      </c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79" t="s">
        <v>24</v>
      </c>
      <c r="Y3" s="80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81" t="s">
        <v>27</v>
      </c>
      <c r="AH3" s="173" t="s">
        <v>28</v>
      </c>
      <c r="AI3" s="173" t="s">
        <v>29</v>
      </c>
      <c r="AJ3" s="174" t="s">
        <v>30</v>
      </c>
      <c r="AK3" s="82"/>
      <c r="AL3" s="28" t="s">
        <v>31</v>
      </c>
    </row>
    <row r="4" spans="1:38" ht="13.5" customHeight="1">
      <c r="A4" s="29">
        <f>P1</f>
        <v>46054</v>
      </c>
      <c r="B4" s="159" t="str">
        <f>IFERROR(VLOOKUP(A4, Feiertage!$B:$C, 2, 0), IF(OR(WEEKDAY(A4,2)=6, WEEKDAY(A4,2)=7), Feiertage!$C$23, ""))</f>
        <v>* * * * * * * * Wochenende * * * * * * * * * * * * * * * * * * * * * * * * * * * * * * * * * * * * * * * * * * * * * * * *</v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44">
        <f>IF(OR(WEEKDAY(A4,2)=6,WEEKDAY(A4,2)=7),0,IFERROR(IF(VLOOKUP(A4,Feiertage!$B:$D,3,0)="ja",0,Summen!$B$9),Summen!$B$9))</f>
        <v>0</v>
      </c>
      <c r="S4" s="31">
        <f t="shared" ref="S4:S31" si="0">SUM(C4:Q4)</f>
        <v>0</v>
      </c>
      <c r="T4" s="31">
        <f t="shared" ref="T4:T31" si="1">S4-R4</f>
        <v>0</v>
      </c>
      <c r="U4" s="32">
        <f>U2+T4</f>
        <v>0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1" si="2">(Z4-Y4)+(AB4-AA4)+(AD4-AC4)+(AF4-AE4)</f>
        <v>0</v>
      </c>
      <c r="AH4" s="31">
        <f t="shared" ref="AH4:AH31" si="3">HOUR(AG4)</f>
        <v>0</v>
      </c>
      <c r="AI4" s="31">
        <f t="shared" ref="AI4:AI31" si="4">MINUTE(AG4)/60</f>
        <v>0</v>
      </c>
      <c r="AJ4" s="32">
        <f t="shared" ref="AJ4:AJ31" si="5">AH4+AI4</f>
        <v>0</v>
      </c>
      <c r="AL4" s="37">
        <f t="shared" ref="AL4:AL32" si="6">SUM(C4:Q4)-AJ4</f>
        <v>0</v>
      </c>
    </row>
    <row r="5" spans="1:38" ht="13.5" customHeight="1">
      <c r="A5" s="39">
        <f t="shared" ref="A5:A31" si="7">A4+1</f>
        <v>46055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v>0</v>
      </c>
      <c r="S5" s="45">
        <f t="shared" si="0"/>
        <v>0</v>
      </c>
      <c r="T5" s="45">
        <f t="shared" si="1"/>
        <v>0</v>
      </c>
      <c r="U5" s="46">
        <f t="shared" ref="U5:U31" si="8">U4+T5</f>
        <v>0</v>
      </c>
      <c r="V5" s="42"/>
      <c r="W5" s="47"/>
      <c r="X5" s="48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46056</v>
      </c>
      <c r="B6" s="159" t="str">
        <f>IFERROR(VLOOKUP(A6, Feiertage!$B:$C, 2, 0), IF(OR(WEEKDAY(A6,2)=6, WEEKDAY(A6,2)=7), Feiertage!$C$23, ""))</f>
        <v/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48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46057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48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46058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48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46059</v>
      </c>
      <c r="B9" s="42" t="str">
        <f>IFERROR(VLOOKUP(A9, Feiertage!$B:$C, 2, 0), IF(OR(WEEKDAY(A9,2)=6, WEEKDAY(A9,2)=7), Feiertage!$C$23, ""))</f>
        <v/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48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46060</v>
      </c>
      <c r="B10" s="159" t="str">
        <f>IFERROR(VLOOKUP(A10, Feiertage!$B:$C, 2, 0), IF(OR(WEEKDAY(A10,2)=6, WEEKDAY(A10,2)=7), Feiertage!$C$23, ""))</f>
        <v>* * * * * * * * Wochenende * * * * * * * * * * * * * * * * * * * * * * * * * * * * * * * * * * * * * * * * * * * * * * * *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48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46061</v>
      </c>
      <c r="B11" s="42" t="str">
        <f>IFERROR(VLOOKUP(A11, Feiertage!$B:$C, 2, 0), IF(OR(WEEKDAY(A11,2)=6, WEEKDAY(A11,2)=7), Feiertage!$C$23, ""))</f>
        <v>* * * * * * * * Wochenende * * * * * * * * * * * * * * * * * * * * * * * * * * * * * * * * * * * * * * * * * * * * * * * *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48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46062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48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46063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48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46064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48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46065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48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46066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48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46067</v>
      </c>
      <c r="B17" s="42" t="str">
        <f>IFERROR(VLOOKUP(A17, Feiertage!$B:$C, 2, 0), IF(OR(WEEKDAY(A17,2)=6, WEEKDAY(A17,2)=7), Feiertage!$C$23, ""))</f>
        <v>* * * * * * * * Wochenende * * * * * * * * * * * * * * * * * * * * * * * * * * * * * * * * * * * * * * * * * * * * * * * *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48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46068</v>
      </c>
      <c r="B18" s="159" t="str">
        <f>IFERROR(VLOOKUP(A18, Feiertage!$B:$C, 2, 0), IF(OR(WEEKDAY(A18,2)=6, WEEKDAY(A18,2)=7), Feiertage!$C$23, ""))</f>
        <v>* * * * * * * * Wochenende * * * * * * * * * * * * * * * * * * * * * * * * * * * * * * * * * * * * * * * * * * * * * * * *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0</v>
      </c>
      <c r="S18" s="45">
        <f t="shared" si="0"/>
        <v>0</v>
      </c>
      <c r="T18" s="45">
        <f t="shared" si="1"/>
        <v>0</v>
      </c>
      <c r="U18" s="46">
        <f t="shared" si="8"/>
        <v>0</v>
      </c>
      <c r="V18" s="159"/>
      <c r="W18" s="161"/>
      <c r="X18" s="48">
        <f>V18+W18*Summen!$B$44</f>
        <v>0</v>
      </c>
      <c r="Y18" s="53"/>
      <c r="Z18" s="54"/>
      <c r="AA18" s="54"/>
      <c r="AB18" s="54"/>
      <c r="AC18" s="54"/>
      <c r="AD18" s="54"/>
      <c r="AE18" s="54"/>
      <c r="AF18" s="55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46069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v>0</v>
      </c>
      <c r="S19" s="45">
        <f t="shared" si="0"/>
        <v>0</v>
      </c>
      <c r="T19" s="45">
        <f t="shared" si="1"/>
        <v>0</v>
      </c>
      <c r="U19" s="46">
        <f t="shared" si="8"/>
        <v>0</v>
      </c>
      <c r="V19" s="42"/>
      <c r="W19" s="47"/>
      <c r="X19" s="48">
        <f>V19+W19*Summen!$B$44</f>
        <v>0</v>
      </c>
      <c r="Y19" s="162"/>
      <c r="Z19" s="49"/>
      <c r="AA19" s="49"/>
      <c r="AB19" s="49"/>
      <c r="AC19" s="49"/>
      <c r="AD19" s="49"/>
      <c r="AE19" s="49"/>
      <c r="AF19" s="163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46070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v>0</v>
      </c>
      <c r="S20" s="45">
        <f t="shared" si="0"/>
        <v>0</v>
      </c>
      <c r="T20" s="45">
        <f t="shared" si="1"/>
        <v>0</v>
      </c>
      <c r="U20" s="46">
        <f t="shared" si="8"/>
        <v>0</v>
      </c>
      <c r="V20" s="159"/>
      <c r="W20" s="161"/>
      <c r="X20" s="48">
        <f>V20+W20*Summen!$B$44</f>
        <v>0</v>
      </c>
      <c r="Y20" s="53"/>
      <c r="Z20" s="54"/>
      <c r="AA20" s="54"/>
      <c r="AB20" s="54"/>
      <c r="AC20" s="54"/>
      <c r="AD20" s="54"/>
      <c r="AE20" s="54"/>
      <c r="AF20" s="55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46071</v>
      </c>
      <c r="B21" s="42" t="str">
        <f>IFERROR(VLOOKUP(A21, Feiertage!$B:$C, 2, 0), IF(OR(WEEKDAY(A21,2)=6, WEEKDAY(A21,2)=7), Feiertage!$C$23, ""))</f>
        <v/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v>0</v>
      </c>
      <c r="S21" s="45">
        <f t="shared" si="0"/>
        <v>0</v>
      </c>
      <c r="T21" s="45">
        <f t="shared" si="1"/>
        <v>0</v>
      </c>
      <c r="U21" s="46">
        <f t="shared" si="8"/>
        <v>0</v>
      </c>
      <c r="V21" s="42"/>
      <c r="W21" s="47"/>
      <c r="X21" s="48">
        <f>V21+W21*Summen!$B$44</f>
        <v>0</v>
      </c>
      <c r="Y21" s="162"/>
      <c r="Z21" s="49"/>
      <c r="AA21" s="49"/>
      <c r="AB21" s="49"/>
      <c r="AC21" s="49"/>
      <c r="AD21" s="49"/>
      <c r="AE21" s="49"/>
      <c r="AF21" s="163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46072</v>
      </c>
      <c r="B22" s="159" t="str">
        <f>IFERROR(VLOOKUP(A22, Feiertage!$B:$C, 2, 0), IF(OR(WEEKDAY(A22,2)=6, WEEKDAY(A22,2)=7), Feiertage!$C$23, ""))</f>
        <v/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v>0</v>
      </c>
      <c r="S22" s="45">
        <f t="shared" si="0"/>
        <v>0</v>
      </c>
      <c r="T22" s="45">
        <f t="shared" si="1"/>
        <v>0</v>
      </c>
      <c r="U22" s="46">
        <f t="shared" si="8"/>
        <v>0</v>
      </c>
      <c r="V22" s="159"/>
      <c r="W22" s="161"/>
      <c r="X22" s="48">
        <f>V22+W22*Summen!$B$44</f>
        <v>0</v>
      </c>
      <c r="Y22" s="53"/>
      <c r="Z22" s="54"/>
      <c r="AA22" s="54"/>
      <c r="AB22" s="54"/>
      <c r="AC22" s="54"/>
      <c r="AD22" s="54"/>
      <c r="AE22" s="54"/>
      <c r="AF22" s="55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46073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v>0</v>
      </c>
      <c r="S23" s="45">
        <f t="shared" si="0"/>
        <v>0</v>
      </c>
      <c r="T23" s="45">
        <f t="shared" si="1"/>
        <v>0</v>
      </c>
      <c r="U23" s="46">
        <f t="shared" si="8"/>
        <v>0</v>
      </c>
      <c r="V23" s="42"/>
      <c r="W23" s="47"/>
      <c r="X23" s="48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46074</v>
      </c>
      <c r="B24" s="159" t="str">
        <f>IFERROR(VLOOKUP(A24, Feiertage!$B:$C, 2, 0), IF(OR(WEEKDAY(A24,2)=6, WEEKDAY(A24,2)=7), Feiertage!$C$23, ""))</f>
        <v>* * * * * * * * Wochenende * * * * * * * * * * * * * * * * * * * * * * * * * * * * * * * * * * * * * * * * * * * * * * * *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0</v>
      </c>
      <c r="S24" s="45">
        <f t="shared" si="0"/>
        <v>0</v>
      </c>
      <c r="T24" s="45">
        <f t="shared" si="1"/>
        <v>0</v>
      </c>
      <c r="U24" s="46">
        <f t="shared" si="8"/>
        <v>0</v>
      </c>
      <c r="V24" s="159"/>
      <c r="W24" s="161"/>
      <c r="X24" s="48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46075</v>
      </c>
      <c r="B25" s="42" t="str">
        <f>IFERROR(VLOOKUP(A25, Feiertage!$B:$C, 2, 0), IF(OR(WEEKDAY(A25,2)=6, WEEKDAY(A25,2)=7), Feiertage!$C$23, ""))</f>
        <v>* * * * * * * * Wochenende * * * * * * * * * * * * * * * * * * * * * * * * * * * * * * * * * * * * * * * * * * * * * * * *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0</v>
      </c>
      <c r="S25" s="45">
        <f t="shared" si="0"/>
        <v>0</v>
      </c>
      <c r="T25" s="45">
        <f t="shared" si="1"/>
        <v>0</v>
      </c>
      <c r="U25" s="46">
        <f t="shared" si="8"/>
        <v>0</v>
      </c>
      <c r="V25" s="42"/>
      <c r="W25" s="47"/>
      <c r="X25" s="48">
        <f>V25+W25*Summen!$B$44</f>
        <v>0</v>
      </c>
      <c r="Y25" s="162"/>
      <c r="Z25" s="49"/>
      <c r="AA25" s="49"/>
      <c r="AB25" s="49"/>
      <c r="AC25" s="49"/>
      <c r="AD25" s="49"/>
      <c r="AE25" s="49"/>
      <c r="AF25" s="163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46076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v>0</v>
      </c>
      <c r="S26" s="45">
        <f t="shared" si="0"/>
        <v>0</v>
      </c>
      <c r="T26" s="45">
        <f t="shared" si="1"/>
        <v>0</v>
      </c>
      <c r="U26" s="46">
        <f t="shared" si="8"/>
        <v>0</v>
      </c>
      <c r="V26" s="159"/>
      <c r="W26" s="161"/>
      <c r="X26" s="48">
        <f>V26+W26*Summen!$B$44</f>
        <v>0</v>
      </c>
      <c r="Y26" s="53"/>
      <c r="Z26" s="54"/>
      <c r="AA26" s="54"/>
      <c r="AB26" s="54"/>
      <c r="AC26" s="54"/>
      <c r="AD26" s="54"/>
      <c r="AE26" s="54"/>
      <c r="AF26" s="55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46077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v>0</v>
      </c>
      <c r="S27" s="45">
        <f t="shared" si="0"/>
        <v>0</v>
      </c>
      <c r="T27" s="45">
        <f t="shared" si="1"/>
        <v>0</v>
      </c>
      <c r="U27" s="46">
        <f t="shared" si="8"/>
        <v>0</v>
      </c>
      <c r="V27" s="42"/>
      <c r="W27" s="47"/>
      <c r="X27" s="48">
        <f>V27+W27*Summen!$B$44</f>
        <v>0</v>
      </c>
      <c r="Y27" s="162"/>
      <c r="Z27" s="49"/>
      <c r="AA27" s="49"/>
      <c r="AB27" s="49"/>
      <c r="AC27" s="49"/>
      <c r="AD27" s="49"/>
      <c r="AE27" s="49"/>
      <c r="AF27" s="163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46078</v>
      </c>
      <c r="B28" s="159" t="str">
        <f>IFERROR(VLOOKUP(A28, Feiertage!$B:$C, 2, 0), IF(OR(WEEKDAY(A28,2)=6, WEEKDAY(A28,2)=7), Feiertage!$C$23, ""))</f>
        <v/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v>0</v>
      </c>
      <c r="S28" s="45">
        <f t="shared" si="0"/>
        <v>0</v>
      </c>
      <c r="T28" s="45">
        <f t="shared" si="1"/>
        <v>0</v>
      </c>
      <c r="U28" s="46">
        <f t="shared" si="8"/>
        <v>0</v>
      </c>
      <c r="V28" s="159"/>
      <c r="W28" s="161"/>
      <c r="X28" s="48">
        <f>V28+W28*Summen!$B$44</f>
        <v>0</v>
      </c>
      <c r="Y28" s="53"/>
      <c r="Z28" s="54"/>
      <c r="AA28" s="54"/>
      <c r="AB28" s="54"/>
      <c r="AC28" s="54"/>
      <c r="AD28" s="54"/>
      <c r="AE28" s="54"/>
      <c r="AF28" s="55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46079</v>
      </c>
      <c r="B29" s="42" t="str">
        <f>IFERROR(VLOOKUP(A29, Feiertage!$B:$C, 2, 0), IF(OR(WEEKDAY(A29,2)=6, WEEKDAY(A29,2)=7), Feiertage!$C$23, ""))</f>
        <v/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v>0</v>
      </c>
      <c r="S29" s="45">
        <f t="shared" si="0"/>
        <v>0</v>
      </c>
      <c r="T29" s="45">
        <f t="shared" si="1"/>
        <v>0</v>
      </c>
      <c r="U29" s="46">
        <f t="shared" si="8"/>
        <v>0</v>
      </c>
      <c r="V29" s="42"/>
      <c r="W29" s="47"/>
      <c r="X29" s="48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46080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v>0</v>
      </c>
      <c r="S30" s="45">
        <f t="shared" si="0"/>
        <v>0</v>
      </c>
      <c r="T30" s="45">
        <f t="shared" si="1"/>
        <v>0</v>
      </c>
      <c r="U30" s="46">
        <f t="shared" si="8"/>
        <v>0</v>
      </c>
      <c r="V30" s="159"/>
      <c r="W30" s="161"/>
      <c r="X30" s="48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60">
        <f t="shared" si="7"/>
        <v>46081</v>
      </c>
      <c r="B31" s="85" t="str">
        <f>IFERROR(VLOOKUP(A31, Feiertage!$B:$C, 2, 0), IF(OR(WEEKDAY(A31,2)=6, WEEKDAY(A31,2)=7), Feiertage!$C$23, ""))</f>
        <v>* * * * * * * * Wochenende * * * * * * * * * * * * * * * * * * * * * * * * * * * * * * * * * * * * * * * * * * * * * * * *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0</v>
      </c>
      <c r="S31" s="61">
        <f t="shared" si="0"/>
        <v>0</v>
      </c>
      <c r="T31" s="61">
        <f t="shared" si="1"/>
        <v>0</v>
      </c>
      <c r="U31" s="62">
        <f t="shared" si="8"/>
        <v>0</v>
      </c>
      <c r="V31" s="42"/>
      <c r="W31" s="47"/>
      <c r="X31" s="48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63">
        <f t="shared" si="2"/>
        <v>0</v>
      </c>
      <c r="AH31" s="61">
        <f t="shared" si="3"/>
        <v>0</v>
      </c>
      <c r="AI31" s="61">
        <f t="shared" si="4"/>
        <v>0</v>
      </c>
      <c r="AJ31" s="62">
        <f t="shared" si="5"/>
        <v>0</v>
      </c>
      <c r="AL31" s="37">
        <f t="shared" si="6"/>
        <v>0</v>
      </c>
    </row>
    <row r="32" spans="1:38" ht="18" customHeight="1">
      <c r="A32" s="64" t="s">
        <v>32</v>
      </c>
      <c r="B32" s="86"/>
      <c r="C32" s="168">
        <f t="shared" ref="C32:T32" si="9">SUM(C4:C31)</f>
        <v>0</v>
      </c>
      <c r="D32" s="168">
        <f t="shared" si="9"/>
        <v>0</v>
      </c>
      <c r="E32" s="168">
        <f t="shared" si="9"/>
        <v>0</v>
      </c>
      <c r="F32" s="168">
        <f t="shared" si="9"/>
        <v>0</v>
      </c>
      <c r="G32" s="168">
        <f t="shared" si="9"/>
        <v>0</v>
      </c>
      <c r="H32" s="168">
        <f t="shared" si="9"/>
        <v>0</v>
      </c>
      <c r="I32" s="168">
        <f t="shared" si="9"/>
        <v>0</v>
      </c>
      <c r="J32" s="168">
        <f t="shared" si="9"/>
        <v>0</v>
      </c>
      <c r="K32" s="168">
        <f t="shared" si="9"/>
        <v>0</v>
      </c>
      <c r="L32" s="168">
        <f t="shared" si="9"/>
        <v>0</v>
      </c>
      <c r="M32" s="168">
        <f t="shared" si="9"/>
        <v>0</v>
      </c>
      <c r="N32" s="168">
        <f t="shared" si="9"/>
        <v>0</v>
      </c>
      <c r="O32" s="168">
        <f t="shared" si="9"/>
        <v>0</v>
      </c>
      <c r="P32" s="168">
        <f t="shared" si="9"/>
        <v>0</v>
      </c>
      <c r="Q32" s="168">
        <f t="shared" si="9"/>
        <v>0</v>
      </c>
      <c r="R32" s="66">
        <f t="shared" si="9"/>
        <v>0</v>
      </c>
      <c r="S32" s="169">
        <f t="shared" si="9"/>
        <v>0</v>
      </c>
      <c r="T32" s="169">
        <f t="shared" si="9"/>
        <v>0</v>
      </c>
      <c r="U32" s="67">
        <f>U31</f>
        <v>0</v>
      </c>
      <c r="V32" s="170">
        <f>SUM(V4:V31)</f>
        <v>0</v>
      </c>
      <c r="W32" s="170">
        <f>SUM(W4:W31)*Summen!$B$44</f>
        <v>0</v>
      </c>
      <c r="X32" s="68">
        <f>V32+W32</f>
        <v>0</v>
      </c>
      <c r="Y32" s="87"/>
      <c r="Z32" s="171"/>
      <c r="AA32" s="171"/>
      <c r="AB32" s="171"/>
      <c r="AC32" s="171"/>
      <c r="AD32" s="171"/>
      <c r="AE32" s="171"/>
      <c r="AF32" s="171"/>
      <c r="AG32" s="171"/>
      <c r="AH32" s="171"/>
      <c r="AI32" s="171"/>
      <c r="AJ32" s="67">
        <f>SUM(AJ4:AJ31)</f>
        <v>0</v>
      </c>
      <c r="AK32" s="70"/>
      <c r="AL32" s="37">
        <f t="shared" si="6"/>
        <v>0</v>
      </c>
    </row>
    <row r="33" spans="1:27" ht="12.75" customHeight="1">
      <c r="A33" s="71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7" ht="12.75" customHeight="1">
      <c r="A34" s="71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7" ht="12.75" customHeight="1">
      <c r="A35" s="71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4"/>
      <c r="T35" s="72"/>
      <c r="U35" s="72"/>
      <c r="V35" s="72"/>
      <c r="W35" s="72"/>
      <c r="X35" s="72"/>
      <c r="Y35" s="72"/>
      <c r="Z35" s="72"/>
    </row>
    <row r="36" spans="1:27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7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7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7" ht="12.75" customHeight="1">
      <c r="A39" s="71"/>
    </row>
    <row r="40" spans="1:27" ht="12.75" customHeight="1">
      <c r="A40" s="71"/>
    </row>
    <row r="41" spans="1:27" ht="12.75" customHeight="1">
      <c r="A41" s="71"/>
    </row>
    <row r="42" spans="1:27" ht="12.75" customHeight="1">
      <c r="A42" s="71"/>
    </row>
    <row r="43" spans="1:27" ht="12.75" customHeight="1">
      <c r="A43" s="71"/>
    </row>
    <row r="44" spans="1:27" ht="12.75" customHeight="1">
      <c r="A44" s="71"/>
      <c r="AA44" s="88" t="s">
        <v>35</v>
      </c>
    </row>
    <row r="45" spans="1:27" ht="12.75" customHeight="1">
      <c r="A45" s="71"/>
    </row>
    <row r="46" spans="1:27" ht="12.75" customHeight="1">
      <c r="A46" s="71"/>
    </row>
    <row r="47" spans="1:27" ht="12.75" customHeight="1">
      <c r="A47" s="71"/>
    </row>
    <row r="48" spans="1:27" ht="12.75" customHeight="1">
      <c r="A48" s="71"/>
    </row>
    <row r="49" spans="1:1" ht="12.75" customHeight="1">
      <c r="A49" s="71"/>
    </row>
    <row r="50" spans="1:1" ht="12.75" customHeight="1">
      <c r="A50" s="71"/>
    </row>
    <row r="51" spans="1:1" ht="12.75" customHeight="1">
      <c r="A51" s="71"/>
    </row>
    <row r="52" spans="1:1" ht="12.75" customHeight="1">
      <c r="A52" s="71"/>
    </row>
    <row r="53" spans="1:1" ht="12.75" customHeight="1">
      <c r="A53" s="71"/>
    </row>
    <row r="54" spans="1:1" ht="12.75" customHeight="1">
      <c r="A54" s="71"/>
    </row>
    <row r="55" spans="1:1" ht="12.75" customHeight="1">
      <c r="A55" s="71"/>
    </row>
    <row r="56" spans="1:1" ht="12.75" customHeight="1">
      <c r="A56" s="71"/>
    </row>
    <row r="57" spans="1:1" ht="12.75" customHeight="1">
      <c r="A57" s="71"/>
    </row>
    <row r="58" spans="1:1" ht="12.75" customHeight="1">
      <c r="A58" s="71"/>
    </row>
    <row r="59" spans="1:1" ht="12.75" customHeight="1">
      <c r="A59" s="71"/>
    </row>
    <row r="60" spans="1:1" ht="12.75" customHeight="1">
      <c r="A60" s="71"/>
    </row>
    <row r="61" spans="1:1" ht="12.75" customHeight="1">
      <c r="A61" s="71"/>
    </row>
    <row r="62" spans="1:1" ht="12.75" customHeight="1">
      <c r="A62" s="71"/>
    </row>
    <row r="63" spans="1:1" ht="12.75" customHeight="1">
      <c r="A63" s="71"/>
    </row>
    <row r="64" spans="1:1" ht="12.75" customHeight="1">
      <c r="A64" s="71"/>
    </row>
    <row r="65" spans="1:1" ht="12.75" customHeight="1">
      <c r="A65" s="71"/>
    </row>
    <row r="66" spans="1:1" ht="12.75" customHeight="1">
      <c r="A66" s="71"/>
    </row>
    <row r="67" spans="1:1" ht="12.75" customHeight="1">
      <c r="A67" s="71"/>
    </row>
    <row r="68" spans="1:1" ht="12.75" customHeight="1">
      <c r="A68" s="71"/>
    </row>
    <row r="69" spans="1:1" ht="12.75" customHeight="1">
      <c r="A69" s="71"/>
    </row>
    <row r="70" spans="1:1" ht="12.75" customHeight="1">
      <c r="A70" s="71"/>
    </row>
    <row r="71" spans="1:1" ht="12.75" customHeight="1">
      <c r="A71" s="71"/>
    </row>
    <row r="72" spans="1:1" ht="12.75" customHeight="1">
      <c r="A72" s="71"/>
    </row>
    <row r="73" spans="1:1" ht="12.75" customHeight="1">
      <c r="A73" s="71"/>
    </row>
    <row r="74" spans="1:1" ht="12.75" customHeight="1">
      <c r="A74" s="71"/>
    </row>
    <row r="75" spans="1:1" ht="12.75" customHeight="1">
      <c r="A75" s="71"/>
    </row>
    <row r="76" spans="1:1" ht="12.75" customHeight="1">
      <c r="A76" s="71"/>
    </row>
    <row r="77" spans="1:1" ht="12.75" customHeight="1">
      <c r="A77" s="71"/>
    </row>
    <row r="78" spans="1:1" ht="12.75" customHeight="1">
      <c r="A78" s="71"/>
    </row>
    <row r="79" spans="1:1" ht="12.75" customHeight="1">
      <c r="A79" s="71"/>
    </row>
    <row r="80" spans="1:1" ht="12.75" customHeight="1">
      <c r="A80" s="71"/>
    </row>
    <row r="81" spans="1:1" ht="12.75" customHeight="1">
      <c r="A81" s="71"/>
    </row>
    <row r="82" spans="1:1" ht="12.75" customHeight="1">
      <c r="A82" s="71"/>
    </row>
    <row r="83" spans="1:1" ht="12.75" customHeight="1">
      <c r="A83" s="71"/>
    </row>
    <row r="84" spans="1:1" ht="12.75" customHeight="1">
      <c r="A84" s="71"/>
    </row>
    <row r="85" spans="1:1" ht="12.75" customHeight="1">
      <c r="A85" s="71"/>
    </row>
    <row r="86" spans="1:1" ht="12.75" customHeight="1">
      <c r="A86" s="71"/>
    </row>
    <row r="87" spans="1:1" ht="12.75" customHeight="1">
      <c r="A87" s="71"/>
    </row>
    <row r="88" spans="1:1" ht="12.75" customHeight="1">
      <c r="A88" s="71"/>
    </row>
    <row r="89" spans="1:1" ht="12.75" customHeight="1">
      <c r="A89" s="71"/>
    </row>
    <row r="90" spans="1:1" ht="12.75" customHeight="1">
      <c r="A90" s="71"/>
    </row>
    <row r="91" spans="1:1" ht="12.75" customHeight="1">
      <c r="A91" s="71"/>
    </row>
    <row r="92" spans="1:1" ht="12.75" customHeight="1">
      <c r="A92" s="71"/>
    </row>
    <row r="93" spans="1:1" ht="12.75" customHeight="1">
      <c r="A93" s="71"/>
    </row>
    <row r="94" spans="1:1" ht="12.75" customHeight="1">
      <c r="A94" s="71"/>
    </row>
    <row r="95" spans="1:1" ht="12.75" customHeight="1">
      <c r="A95" s="71"/>
    </row>
    <row r="96" spans="1:1" ht="12.75" customHeight="1">
      <c r="A96" s="71"/>
    </row>
    <row r="97" spans="1:1" ht="12.75" customHeight="1">
      <c r="A97" s="71"/>
    </row>
    <row r="98" spans="1:1" ht="12.75" customHeight="1">
      <c r="A98" s="71"/>
    </row>
    <row r="99" spans="1:1" ht="12.75" customHeight="1">
      <c r="A99" s="71"/>
    </row>
    <row r="100" spans="1:1" ht="12.75" customHeight="1">
      <c r="A100" s="71"/>
    </row>
    <row r="101" spans="1:1" ht="12.75" customHeight="1">
      <c r="A101" s="71"/>
    </row>
    <row r="102" spans="1:1" ht="12.75" customHeight="1">
      <c r="A102" s="71"/>
    </row>
    <row r="103" spans="1:1" ht="12.75" customHeight="1">
      <c r="A103" s="71"/>
    </row>
    <row r="104" spans="1:1" ht="12.75" customHeight="1">
      <c r="A104" s="71"/>
    </row>
    <row r="105" spans="1:1" ht="12.75" customHeight="1">
      <c r="A105" s="71"/>
    </row>
    <row r="106" spans="1:1" ht="12.75" customHeight="1">
      <c r="A106" s="71"/>
    </row>
    <row r="107" spans="1:1" ht="12.75" customHeight="1">
      <c r="A107" s="71"/>
    </row>
    <row r="108" spans="1:1" ht="12.75" customHeight="1">
      <c r="A108" s="71"/>
    </row>
    <row r="109" spans="1:1" ht="12.75" customHeight="1">
      <c r="A109" s="71"/>
    </row>
    <row r="110" spans="1:1" ht="12.75" customHeight="1">
      <c r="A110" s="71"/>
    </row>
    <row r="111" spans="1:1" ht="12.75" customHeight="1">
      <c r="A111" s="71"/>
    </row>
    <row r="112" spans="1:1" ht="12.75" customHeight="1">
      <c r="A112" s="71"/>
    </row>
    <row r="113" spans="1:1" ht="12.75" customHeight="1">
      <c r="A113" s="71"/>
    </row>
    <row r="114" spans="1:1" ht="12.75" customHeight="1">
      <c r="A114" s="71"/>
    </row>
    <row r="115" spans="1:1" ht="12.75" customHeight="1">
      <c r="A115" s="71"/>
    </row>
    <row r="116" spans="1:1" ht="12.75" customHeight="1">
      <c r="A116" s="71"/>
    </row>
    <row r="117" spans="1:1" ht="12.75" customHeight="1">
      <c r="A117" s="71"/>
    </row>
    <row r="118" spans="1:1" ht="12.75" customHeight="1">
      <c r="A118" s="71"/>
    </row>
    <row r="119" spans="1:1" ht="12.75" customHeight="1">
      <c r="A119" s="71"/>
    </row>
    <row r="120" spans="1:1" ht="12.75" customHeight="1">
      <c r="A120" s="71"/>
    </row>
    <row r="121" spans="1:1" ht="12.75" customHeight="1">
      <c r="A121" s="71"/>
    </row>
    <row r="122" spans="1:1" ht="12.75" customHeight="1">
      <c r="A122" s="71"/>
    </row>
    <row r="123" spans="1:1" ht="12.75" customHeight="1">
      <c r="A123" s="71"/>
    </row>
    <row r="124" spans="1:1" ht="12.75" customHeight="1">
      <c r="A124" s="71"/>
    </row>
    <row r="125" spans="1:1" ht="12.75" customHeight="1">
      <c r="A125" s="71"/>
    </row>
    <row r="126" spans="1:1" ht="12.75" customHeight="1">
      <c r="A126" s="71"/>
    </row>
    <row r="127" spans="1:1" ht="12.75" customHeight="1">
      <c r="A127" s="71"/>
    </row>
    <row r="128" spans="1:1" ht="12.75" customHeight="1">
      <c r="A128" s="71"/>
    </row>
    <row r="129" spans="1:1" ht="12.75" customHeight="1">
      <c r="A129" s="71"/>
    </row>
    <row r="130" spans="1:1" ht="12.75" customHeight="1">
      <c r="A130" s="71"/>
    </row>
    <row r="131" spans="1:1" ht="12.75" customHeight="1">
      <c r="A131" s="71"/>
    </row>
    <row r="132" spans="1:1" ht="12.75" customHeight="1">
      <c r="A132" s="71"/>
    </row>
    <row r="133" spans="1:1" ht="12.75" customHeight="1">
      <c r="A133" s="71"/>
    </row>
    <row r="134" spans="1:1" ht="12.75" customHeight="1">
      <c r="A134" s="71"/>
    </row>
    <row r="135" spans="1:1" ht="12.75" customHeight="1">
      <c r="A135" s="71"/>
    </row>
    <row r="136" spans="1:1" ht="12.75" customHeight="1">
      <c r="A136" s="71"/>
    </row>
    <row r="137" spans="1:1" ht="12.75" customHeight="1">
      <c r="A137" s="71"/>
    </row>
    <row r="138" spans="1:1" ht="12.75" customHeight="1">
      <c r="A138" s="71"/>
    </row>
    <row r="139" spans="1:1" ht="12.75" customHeight="1">
      <c r="A139" s="71"/>
    </row>
    <row r="140" spans="1:1" ht="12.75" customHeight="1">
      <c r="A140" s="71"/>
    </row>
    <row r="141" spans="1:1" ht="12.75" customHeight="1">
      <c r="A141" s="71"/>
    </row>
    <row r="142" spans="1:1" ht="12.75" customHeight="1">
      <c r="A142" s="71"/>
    </row>
    <row r="143" spans="1:1" ht="12.75" customHeight="1">
      <c r="A143" s="71"/>
    </row>
    <row r="144" spans="1:1" ht="12.75" customHeight="1">
      <c r="A144" s="71"/>
    </row>
    <row r="145" spans="1:1" ht="12.75" customHeight="1">
      <c r="A145" s="71"/>
    </row>
    <row r="146" spans="1:1" ht="12.75" customHeight="1">
      <c r="A146" s="71"/>
    </row>
    <row r="147" spans="1:1" ht="12.75" customHeight="1">
      <c r="A147" s="71"/>
    </row>
    <row r="148" spans="1:1" ht="12.75" customHeight="1">
      <c r="A148" s="71"/>
    </row>
    <row r="149" spans="1:1" ht="12.75" customHeight="1">
      <c r="A149" s="71"/>
    </row>
    <row r="150" spans="1:1" ht="12.75" customHeight="1">
      <c r="A150" s="71"/>
    </row>
    <row r="151" spans="1:1" ht="12.75" customHeight="1">
      <c r="A151" s="71"/>
    </row>
    <row r="152" spans="1:1" ht="12.75" customHeight="1">
      <c r="A152" s="71"/>
    </row>
    <row r="153" spans="1:1" ht="12.75" customHeight="1">
      <c r="A153" s="71"/>
    </row>
    <row r="154" spans="1:1" ht="12.75" customHeight="1">
      <c r="A154" s="71"/>
    </row>
    <row r="155" spans="1:1" ht="12.75" customHeight="1">
      <c r="A155" s="71"/>
    </row>
    <row r="156" spans="1:1" ht="12.75" customHeight="1">
      <c r="A156" s="71"/>
    </row>
    <row r="157" spans="1:1" ht="12.75" customHeight="1">
      <c r="A157" s="71"/>
    </row>
    <row r="158" spans="1:1" ht="12.75" customHeight="1">
      <c r="A158" s="71"/>
    </row>
    <row r="159" spans="1:1" ht="12.75" customHeight="1">
      <c r="A159" s="71"/>
    </row>
    <row r="160" spans="1:1" ht="12.75" customHeight="1">
      <c r="A160" s="71"/>
    </row>
    <row r="161" spans="1:1" ht="12.75" customHeight="1">
      <c r="A161" s="71"/>
    </row>
    <row r="162" spans="1:1" ht="12.75" customHeight="1">
      <c r="A162" s="71"/>
    </row>
    <row r="163" spans="1:1" ht="12.75" customHeight="1">
      <c r="A163" s="71"/>
    </row>
    <row r="164" spans="1:1" ht="12.75" customHeight="1">
      <c r="A164" s="71"/>
    </row>
    <row r="165" spans="1:1" ht="12.75" customHeight="1">
      <c r="A165" s="71"/>
    </row>
    <row r="166" spans="1:1" ht="12.75" customHeight="1">
      <c r="A166" s="71"/>
    </row>
    <row r="167" spans="1:1" ht="12.75" customHeight="1">
      <c r="A167" s="71"/>
    </row>
    <row r="168" spans="1:1" ht="12.75" customHeight="1">
      <c r="A168" s="71"/>
    </row>
    <row r="169" spans="1:1" ht="12.75" customHeight="1">
      <c r="A169" s="71"/>
    </row>
    <row r="170" spans="1:1" ht="12.75" customHeight="1">
      <c r="A170" s="71"/>
    </row>
    <row r="171" spans="1:1" ht="12.75" customHeight="1">
      <c r="A171" s="71"/>
    </row>
    <row r="172" spans="1:1" ht="12.75" customHeight="1">
      <c r="A172" s="71"/>
    </row>
    <row r="173" spans="1:1" ht="12.75" customHeight="1">
      <c r="A173" s="71"/>
    </row>
    <row r="174" spans="1:1" ht="12.75" customHeight="1">
      <c r="A174" s="71"/>
    </row>
    <row r="175" spans="1:1" ht="12.75" customHeight="1">
      <c r="A175" s="71"/>
    </row>
    <row r="176" spans="1:1" ht="12.75" customHeight="1">
      <c r="A176" s="71"/>
    </row>
    <row r="177" spans="1:1" ht="12.75" customHeight="1">
      <c r="A177" s="71"/>
    </row>
    <row r="178" spans="1:1" ht="12.75" customHeight="1">
      <c r="A178" s="71"/>
    </row>
    <row r="179" spans="1:1" ht="12.75" customHeight="1">
      <c r="A179" s="71"/>
    </row>
    <row r="180" spans="1:1" ht="12.75" customHeight="1">
      <c r="A180" s="71"/>
    </row>
    <row r="181" spans="1:1" ht="12.75" customHeight="1">
      <c r="A181" s="71"/>
    </row>
    <row r="182" spans="1:1" ht="12.75" customHeight="1">
      <c r="A182" s="71"/>
    </row>
    <row r="183" spans="1:1" ht="12.75" customHeight="1">
      <c r="A183" s="71"/>
    </row>
    <row r="184" spans="1:1" ht="12.75" customHeight="1">
      <c r="A184" s="71"/>
    </row>
    <row r="185" spans="1:1" ht="12.75" customHeight="1">
      <c r="A185" s="71"/>
    </row>
    <row r="186" spans="1:1" ht="12.75" customHeight="1">
      <c r="A186" s="71"/>
    </row>
    <row r="187" spans="1:1" ht="12.75" customHeight="1">
      <c r="A187" s="71"/>
    </row>
    <row r="188" spans="1:1" ht="12.75" customHeight="1">
      <c r="A188" s="71"/>
    </row>
    <row r="189" spans="1:1" ht="12.75" customHeight="1">
      <c r="A189" s="71"/>
    </row>
    <row r="190" spans="1:1" ht="12.75" customHeight="1">
      <c r="A190" s="71"/>
    </row>
    <row r="191" spans="1:1" ht="12.75" customHeight="1">
      <c r="A191" s="71"/>
    </row>
    <row r="192" spans="1:1" ht="12.75" customHeight="1">
      <c r="A192" s="71"/>
    </row>
    <row r="193" spans="1:1" ht="12.75" customHeight="1">
      <c r="A193" s="71"/>
    </row>
    <row r="194" spans="1:1" ht="12.75" customHeight="1">
      <c r="A194" s="71"/>
    </row>
    <row r="195" spans="1:1" ht="12.75" customHeight="1">
      <c r="A195" s="71"/>
    </row>
    <row r="196" spans="1:1" ht="12.75" customHeight="1">
      <c r="A196" s="71"/>
    </row>
    <row r="197" spans="1:1" ht="12.75" customHeight="1">
      <c r="A197" s="71"/>
    </row>
    <row r="198" spans="1:1" ht="12.75" customHeight="1">
      <c r="A198" s="71"/>
    </row>
    <row r="199" spans="1:1" ht="12.75" customHeight="1">
      <c r="A199" s="71"/>
    </row>
    <row r="200" spans="1:1" ht="12.75" customHeight="1">
      <c r="A200" s="71"/>
    </row>
    <row r="201" spans="1:1" ht="12.75" customHeight="1">
      <c r="A201" s="71"/>
    </row>
    <row r="202" spans="1:1" ht="12.75" customHeight="1">
      <c r="A202" s="71"/>
    </row>
    <row r="203" spans="1:1" ht="12.75" customHeight="1">
      <c r="A203" s="71"/>
    </row>
    <row r="204" spans="1:1" ht="12.75" customHeight="1">
      <c r="A204" s="71"/>
    </row>
    <row r="205" spans="1:1" ht="12.75" customHeight="1">
      <c r="A205" s="71"/>
    </row>
    <row r="206" spans="1:1" ht="12.75" customHeight="1">
      <c r="A206" s="71"/>
    </row>
    <row r="207" spans="1:1" ht="12.75" customHeight="1">
      <c r="A207" s="71"/>
    </row>
    <row r="208" spans="1:1" ht="12.75" customHeight="1">
      <c r="A208" s="71"/>
    </row>
    <row r="209" spans="1:1" ht="12.75" customHeight="1">
      <c r="A209" s="71"/>
    </row>
    <row r="210" spans="1:1" ht="12.75" customHeight="1">
      <c r="A210" s="71"/>
    </row>
    <row r="211" spans="1:1" ht="12.75" customHeight="1">
      <c r="A211" s="71"/>
    </row>
    <row r="212" spans="1:1" ht="12.75" customHeight="1">
      <c r="A212" s="71"/>
    </row>
    <row r="213" spans="1:1" ht="12.75" customHeight="1">
      <c r="A213" s="71"/>
    </row>
    <row r="214" spans="1:1" ht="12.75" customHeight="1">
      <c r="A214" s="71"/>
    </row>
    <row r="215" spans="1:1" ht="12.75" customHeight="1">
      <c r="A215" s="71"/>
    </row>
    <row r="216" spans="1:1" ht="12.75" customHeight="1">
      <c r="A216" s="71"/>
    </row>
    <row r="217" spans="1:1" ht="12.75" customHeight="1">
      <c r="A217" s="71"/>
    </row>
    <row r="218" spans="1:1" ht="12.75" customHeight="1">
      <c r="A218" s="71"/>
    </row>
    <row r="219" spans="1:1" ht="12.75" customHeight="1">
      <c r="A219" s="71"/>
    </row>
    <row r="220" spans="1:1" ht="12.75" customHeight="1">
      <c r="A220" s="71"/>
    </row>
    <row r="221" spans="1:1" ht="12.75" customHeight="1">
      <c r="A221" s="71"/>
    </row>
    <row r="222" spans="1:1" ht="12.75" customHeight="1">
      <c r="A222" s="71"/>
    </row>
    <row r="223" spans="1:1" ht="12.75" customHeight="1">
      <c r="A223" s="71"/>
    </row>
    <row r="224" spans="1:1" ht="12.75" customHeight="1">
      <c r="A224" s="71"/>
    </row>
    <row r="225" spans="1:1" ht="12.75" customHeight="1">
      <c r="A225" s="71"/>
    </row>
    <row r="226" spans="1:1" ht="12.75" customHeight="1">
      <c r="A226" s="71"/>
    </row>
    <row r="227" spans="1:1" ht="12.75" customHeight="1">
      <c r="A227" s="71"/>
    </row>
    <row r="228" spans="1:1" ht="12.75" customHeight="1">
      <c r="A228" s="71"/>
    </row>
    <row r="229" spans="1:1" ht="12.75" customHeight="1">
      <c r="A229" s="71"/>
    </row>
    <row r="230" spans="1:1" ht="12.75" customHeight="1">
      <c r="A230" s="71"/>
    </row>
    <row r="231" spans="1:1" ht="12.75" customHeight="1">
      <c r="A231" s="71"/>
    </row>
    <row r="232" spans="1:1" ht="12.75" customHeight="1">
      <c r="A232" s="71"/>
    </row>
    <row r="233" spans="1:1" ht="12.75" customHeight="1">
      <c r="A233" s="71"/>
    </row>
    <row r="234" spans="1:1" ht="12.75" customHeight="1">
      <c r="A234" s="71"/>
    </row>
    <row r="235" spans="1:1" ht="12.75" customHeight="1">
      <c r="A235" s="71"/>
    </row>
    <row r="236" spans="1:1" ht="12.75" customHeight="1">
      <c r="A236" s="71"/>
    </row>
    <row r="237" spans="1:1" ht="12.75" customHeight="1">
      <c r="A237" s="71"/>
    </row>
    <row r="238" spans="1:1" ht="12.75" customHeight="1">
      <c r="A238" s="71"/>
    </row>
    <row r="239" spans="1:1" ht="12.75" customHeight="1">
      <c r="A239" s="71"/>
    </row>
    <row r="240" spans="1:1" ht="12.75" customHeight="1">
      <c r="A240" s="71"/>
    </row>
    <row r="241" spans="1:1" ht="12.75" customHeight="1">
      <c r="A241" s="71"/>
    </row>
    <row r="242" spans="1:1" ht="12.75" customHeight="1">
      <c r="A242" s="71"/>
    </row>
    <row r="243" spans="1:1" ht="12.75" customHeight="1">
      <c r="A243" s="71"/>
    </row>
    <row r="244" spans="1:1" ht="12.75" customHeight="1">
      <c r="A244" s="71"/>
    </row>
    <row r="245" spans="1:1" ht="12.75" customHeight="1">
      <c r="A245" s="71"/>
    </row>
    <row r="246" spans="1:1" ht="12.75" customHeight="1">
      <c r="A246" s="71"/>
    </row>
    <row r="247" spans="1:1" ht="12.75" customHeight="1">
      <c r="A247" s="71"/>
    </row>
    <row r="248" spans="1:1" ht="12.75" customHeight="1">
      <c r="A248" s="71"/>
    </row>
    <row r="249" spans="1:1" ht="12.75" customHeight="1">
      <c r="A249" s="71"/>
    </row>
    <row r="250" spans="1:1" ht="12.75" customHeight="1">
      <c r="A250" s="71"/>
    </row>
    <row r="251" spans="1:1" ht="12.75" customHeight="1">
      <c r="A251" s="71"/>
    </row>
    <row r="252" spans="1:1" ht="12.75" customHeight="1">
      <c r="A252" s="71"/>
    </row>
    <row r="253" spans="1:1" ht="12.75" customHeight="1">
      <c r="A253" s="71"/>
    </row>
    <row r="254" spans="1:1" ht="12.75" customHeight="1">
      <c r="A254" s="71"/>
    </row>
    <row r="255" spans="1:1" ht="12.75" customHeight="1">
      <c r="A255" s="71"/>
    </row>
    <row r="256" spans="1:1" ht="12.75" customHeight="1">
      <c r="A256" s="71"/>
    </row>
    <row r="257" spans="1:1" ht="12.75" customHeight="1">
      <c r="A257" s="71"/>
    </row>
    <row r="258" spans="1:1" ht="12.75" customHeight="1">
      <c r="A258" s="71"/>
    </row>
    <row r="259" spans="1:1" ht="12.75" customHeight="1">
      <c r="A259" s="71"/>
    </row>
    <row r="260" spans="1:1" ht="12.75" customHeight="1">
      <c r="A260" s="71"/>
    </row>
    <row r="261" spans="1:1" ht="12.75" customHeight="1">
      <c r="A261" s="71"/>
    </row>
    <row r="262" spans="1:1" ht="12.75" customHeight="1">
      <c r="A262" s="71"/>
    </row>
    <row r="263" spans="1:1" ht="12.75" customHeight="1">
      <c r="A263" s="71"/>
    </row>
    <row r="264" spans="1:1" ht="12.75" customHeight="1">
      <c r="A264" s="71"/>
    </row>
    <row r="265" spans="1:1" ht="12.75" customHeight="1">
      <c r="A265" s="71"/>
    </row>
    <row r="266" spans="1:1" ht="12.75" customHeight="1">
      <c r="A266" s="71"/>
    </row>
    <row r="267" spans="1:1" ht="12.75" customHeight="1">
      <c r="A267" s="71"/>
    </row>
    <row r="268" spans="1:1" ht="12.75" customHeight="1">
      <c r="A268" s="71"/>
    </row>
    <row r="269" spans="1:1" ht="12.75" customHeight="1">
      <c r="A269" s="71"/>
    </row>
    <row r="270" spans="1:1" ht="12.75" customHeight="1">
      <c r="A270" s="71"/>
    </row>
    <row r="271" spans="1:1" ht="12.75" customHeight="1">
      <c r="A271" s="71"/>
    </row>
    <row r="272" spans="1:1" ht="12.75" customHeight="1">
      <c r="A272" s="71"/>
    </row>
    <row r="273" spans="1:1" ht="12.75" customHeight="1">
      <c r="A273" s="71"/>
    </row>
    <row r="274" spans="1:1" ht="12.75" customHeight="1">
      <c r="A274" s="71"/>
    </row>
    <row r="275" spans="1:1" ht="12.75" customHeight="1">
      <c r="A275" s="71"/>
    </row>
    <row r="276" spans="1:1" ht="12.75" customHeight="1">
      <c r="A276" s="71"/>
    </row>
    <row r="277" spans="1:1" ht="12.75" customHeight="1">
      <c r="A277" s="71"/>
    </row>
    <row r="278" spans="1:1" ht="12.75" customHeight="1">
      <c r="A278" s="71"/>
    </row>
    <row r="279" spans="1:1" ht="12.75" customHeight="1">
      <c r="A279" s="71"/>
    </row>
    <row r="280" spans="1:1" ht="12.75" customHeight="1">
      <c r="A280" s="71"/>
    </row>
    <row r="281" spans="1:1" ht="12.75" customHeight="1">
      <c r="A281" s="71"/>
    </row>
    <row r="282" spans="1:1" ht="12.75" customHeight="1">
      <c r="A282" s="71"/>
    </row>
    <row r="283" spans="1:1" ht="12.75" customHeight="1">
      <c r="A283" s="71"/>
    </row>
    <row r="284" spans="1:1" ht="12.75" customHeight="1">
      <c r="A284" s="71"/>
    </row>
    <row r="285" spans="1:1" ht="12.75" customHeight="1">
      <c r="A285" s="71"/>
    </row>
    <row r="286" spans="1:1" ht="12.75" customHeight="1">
      <c r="A286" s="71"/>
    </row>
    <row r="287" spans="1:1" ht="12.75" customHeight="1">
      <c r="A287" s="71"/>
    </row>
    <row r="288" spans="1:1" ht="12.75" customHeight="1">
      <c r="A288" s="71"/>
    </row>
    <row r="289" spans="1:1" ht="12.75" customHeight="1">
      <c r="A289" s="71"/>
    </row>
    <row r="290" spans="1:1" ht="12.75" customHeight="1">
      <c r="A290" s="71"/>
    </row>
    <row r="291" spans="1:1" ht="12.75" customHeight="1">
      <c r="A291" s="71"/>
    </row>
    <row r="292" spans="1:1" ht="12.75" customHeight="1">
      <c r="A292" s="71"/>
    </row>
    <row r="293" spans="1:1" ht="12.75" customHeight="1">
      <c r="A293" s="71"/>
    </row>
    <row r="294" spans="1:1" ht="12.75" customHeight="1">
      <c r="A294" s="71"/>
    </row>
    <row r="295" spans="1:1" ht="12.75" customHeight="1">
      <c r="A295" s="71"/>
    </row>
    <row r="296" spans="1:1" ht="12.75" customHeight="1">
      <c r="A296" s="71"/>
    </row>
    <row r="297" spans="1:1" ht="12.75" customHeight="1">
      <c r="A297" s="71"/>
    </row>
    <row r="298" spans="1:1" ht="12.75" customHeight="1">
      <c r="A298" s="71"/>
    </row>
    <row r="299" spans="1:1" ht="12.75" customHeight="1">
      <c r="A299" s="71"/>
    </row>
    <row r="300" spans="1:1" ht="12.75" customHeight="1">
      <c r="A300" s="71"/>
    </row>
    <row r="301" spans="1:1" ht="12.75" customHeight="1">
      <c r="A301" s="71"/>
    </row>
    <row r="302" spans="1:1" ht="12.75" customHeight="1">
      <c r="A302" s="71"/>
    </row>
    <row r="303" spans="1:1" ht="12.75" customHeight="1">
      <c r="A303" s="71"/>
    </row>
    <row r="304" spans="1:1" ht="12.75" customHeight="1">
      <c r="A304" s="71"/>
    </row>
    <row r="305" spans="1:1" ht="12.75" customHeight="1">
      <c r="A305" s="71"/>
    </row>
    <row r="306" spans="1:1" ht="12.75" customHeight="1">
      <c r="A306" s="71"/>
    </row>
    <row r="307" spans="1:1" ht="12.75" customHeight="1">
      <c r="A307" s="71"/>
    </row>
    <row r="308" spans="1:1" ht="12.75" customHeight="1">
      <c r="A308" s="71"/>
    </row>
    <row r="309" spans="1:1" ht="12.75" customHeight="1">
      <c r="A309" s="71"/>
    </row>
    <row r="310" spans="1:1" ht="12.75" customHeight="1">
      <c r="A310" s="71"/>
    </row>
    <row r="311" spans="1:1" ht="12.75" customHeight="1">
      <c r="A311" s="71"/>
    </row>
    <row r="312" spans="1:1" ht="12.75" customHeight="1">
      <c r="A312" s="71"/>
    </row>
    <row r="313" spans="1:1" ht="12.75" customHeight="1">
      <c r="A313" s="71"/>
    </row>
    <row r="314" spans="1:1" ht="12.75" customHeight="1">
      <c r="A314" s="71"/>
    </row>
    <row r="315" spans="1:1" ht="12.75" customHeight="1">
      <c r="A315" s="71"/>
    </row>
    <row r="316" spans="1:1" ht="12.75" customHeight="1">
      <c r="A316" s="71"/>
    </row>
    <row r="317" spans="1:1" ht="12.75" customHeight="1">
      <c r="A317" s="71"/>
    </row>
    <row r="318" spans="1:1" ht="12.75" customHeight="1">
      <c r="A318" s="71"/>
    </row>
    <row r="319" spans="1:1" ht="12.75" customHeight="1">
      <c r="A319" s="71"/>
    </row>
    <row r="320" spans="1:1" ht="12.75" customHeight="1">
      <c r="A320" s="71"/>
    </row>
    <row r="321" spans="1:1" ht="12.75" customHeight="1">
      <c r="A321" s="71"/>
    </row>
    <row r="322" spans="1:1" ht="12.75" customHeight="1">
      <c r="A322" s="71"/>
    </row>
    <row r="323" spans="1:1" ht="12.75" customHeight="1">
      <c r="A323" s="71"/>
    </row>
    <row r="324" spans="1:1" ht="12.75" customHeight="1">
      <c r="A324" s="71"/>
    </row>
    <row r="325" spans="1:1" ht="12.75" customHeight="1">
      <c r="A325" s="71"/>
    </row>
    <row r="326" spans="1:1" ht="12.75" customHeight="1">
      <c r="A326" s="71"/>
    </row>
    <row r="327" spans="1:1" ht="12.75" customHeight="1">
      <c r="A327" s="71"/>
    </row>
    <row r="328" spans="1:1" ht="12.75" customHeight="1">
      <c r="A328" s="71"/>
    </row>
    <row r="329" spans="1:1" ht="12.75" customHeight="1">
      <c r="A329" s="71"/>
    </row>
    <row r="330" spans="1:1" ht="12.75" customHeight="1">
      <c r="A330" s="71"/>
    </row>
    <row r="331" spans="1:1" ht="12.75" customHeight="1">
      <c r="A331" s="71"/>
    </row>
    <row r="332" spans="1:1" ht="12.75" customHeight="1">
      <c r="A332" s="71"/>
    </row>
    <row r="333" spans="1:1" ht="12.75" customHeight="1">
      <c r="A333" s="71"/>
    </row>
    <row r="334" spans="1:1" ht="12.75" customHeight="1">
      <c r="A334" s="71"/>
    </row>
    <row r="335" spans="1:1" ht="12.75" customHeight="1">
      <c r="A335" s="71"/>
    </row>
    <row r="336" spans="1:1" ht="12.75" customHeight="1">
      <c r="A336" s="71"/>
    </row>
    <row r="337" spans="1:1" ht="12.75" customHeight="1">
      <c r="A337" s="71"/>
    </row>
    <row r="338" spans="1:1" ht="12.75" customHeight="1">
      <c r="A338" s="71"/>
    </row>
    <row r="339" spans="1:1" ht="12.75" customHeight="1">
      <c r="A339" s="71"/>
    </row>
    <row r="340" spans="1:1" ht="12.75" customHeight="1">
      <c r="A340" s="71"/>
    </row>
    <row r="341" spans="1:1" ht="12.75" customHeight="1">
      <c r="A341" s="71"/>
    </row>
    <row r="342" spans="1:1" ht="12.75" customHeight="1">
      <c r="A342" s="71"/>
    </row>
    <row r="343" spans="1:1" ht="12.75" customHeight="1">
      <c r="A343" s="71"/>
    </row>
    <row r="344" spans="1:1" ht="12.75" customHeight="1">
      <c r="A344" s="71"/>
    </row>
    <row r="345" spans="1:1" ht="12.75" customHeight="1">
      <c r="A345" s="71"/>
    </row>
    <row r="346" spans="1:1" ht="12.75" customHeight="1">
      <c r="A346" s="71"/>
    </row>
    <row r="347" spans="1:1" ht="12.75" customHeight="1">
      <c r="A347" s="71"/>
    </row>
    <row r="348" spans="1:1" ht="12.75" customHeight="1">
      <c r="A348" s="71"/>
    </row>
    <row r="349" spans="1:1" ht="12.75" customHeight="1">
      <c r="A349" s="71"/>
    </row>
    <row r="350" spans="1:1" ht="12.75" customHeight="1">
      <c r="A350" s="71"/>
    </row>
    <row r="351" spans="1:1" ht="12.75" customHeight="1">
      <c r="A351" s="71"/>
    </row>
    <row r="352" spans="1:1" ht="12.75" customHeight="1">
      <c r="A352" s="71"/>
    </row>
    <row r="353" spans="1:1" ht="12.75" customHeight="1">
      <c r="A353" s="71"/>
    </row>
    <row r="354" spans="1:1" ht="12.75" customHeight="1">
      <c r="A354" s="71"/>
    </row>
    <row r="355" spans="1:1" ht="12.75" customHeight="1">
      <c r="A355" s="71"/>
    </row>
    <row r="356" spans="1:1" ht="12.75" customHeight="1">
      <c r="A356" s="71"/>
    </row>
    <row r="357" spans="1:1" ht="12.75" customHeight="1">
      <c r="A357" s="71"/>
    </row>
    <row r="358" spans="1:1" ht="12.75" customHeight="1">
      <c r="A358" s="71"/>
    </row>
    <row r="359" spans="1:1" ht="12.75" customHeight="1">
      <c r="A359" s="71"/>
    </row>
    <row r="360" spans="1:1" ht="12.75" customHeight="1">
      <c r="A360" s="71"/>
    </row>
    <row r="361" spans="1:1" ht="12.75" customHeight="1">
      <c r="A361" s="71"/>
    </row>
    <row r="362" spans="1:1" ht="12.75" customHeight="1">
      <c r="A362" s="71"/>
    </row>
    <row r="363" spans="1:1" ht="12.75" customHeight="1">
      <c r="A363" s="71"/>
    </row>
    <row r="364" spans="1:1" ht="12.75" customHeight="1">
      <c r="A364" s="71"/>
    </row>
    <row r="365" spans="1:1" ht="12.75" customHeight="1">
      <c r="A365" s="71"/>
    </row>
    <row r="366" spans="1:1" ht="12.75" customHeight="1">
      <c r="A366" s="71"/>
    </row>
    <row r="367" spans="1:1" ht="12.75" customHeight="1">
      <c r="A367" s="71"/>
    </row>
    <row r="368" spans="1:1" ht="12.75" customHeight="1">
      <c r="A368" s="71"/>
    </row>
    <row r="369" spans="1:1" ht="12.75" customHeight="1">
      <c r="A369" s="71"/>
    </row>
    <row r="370" spans="1:1" ht="12.75" customHeight="1">
      <c r="A370" s="71"/>
    </row>
    <row r="371" spans="1:1" ht="12.75" customHeight="1">
      <c r="A371" s="71"/>
    </row>
    <row r="372" spans="1:1" ht="12.75" customHeight="1">
      <c r="A372" s="71"/>
    </row>
    <row r="373" spans="1:1" ht="12.75" customHeight="1">
      <c r="A373" s="71"/>
    </row>
    <row r="374" spans="1:1" ht="12.75" customHeight="1">
      <c r="A374" s="71"/>
    </row>
    <row r="375" spans="1:1" ht="12.75" customHeight="1">
      <c r="A375" s="71"/>
    </row>
    <row r="376" spans="1:1" ht="12.75" customHeight="1">
      <c r="A376" s="71"/>
    </row>
    <row r="377" spans="1:1" ht="12.75" customHeight="1">
      <c r="A377" s="71"/>
    </row>
    <row r="378" spans="1:1" ht="12.75" customHeight="1">
      <c r="A378" s="71"/>
    </row>
    <row r="379" spans="1:1" ht="12.75" customHeight="1">
      <c r="A379" s="71"/>
    </row>
    <row r="380" spans="1:1" ht="12.75" customHeight="1">
      <c r="A380" s="71"/>
    </row>
    <row r="381" spans="1:1" ht="12.75" customHeight="1">
      <c r="A381" s="71"/>
    </row>
    <row r="382" spans="1:1" ht="12.75" customHeight="1">
      <c r="A382" s="71"/>
    </row>
    <row r="383" spans="1:1" ht="12.75" customHeight="1">
      <c r="A383" s="71"/>
    </row>
    <row r="384" spans="1:1" ht="12.75" customHeight="1">
      <c r="A384" s="71"/>
    </row>
    <row r="385" spans="1:1" ht="12.75" customHeight="1">
      <c r="A385" s="71"/>
    </row>
    <row r="386" spans="1:1" ht="12.75" customHeight="1">
      <c r="A386" s="71"/>
    </row>
    <row r="387" spans="1:1" ht="12.75" customHeight="1">
      <c r="A387" s="71"/>
    </row>
    <row r="388" spans="1:1" ht="12.75" customHeight="1">
      <c r="A388" s="71"/>
    </row>
    <row r="389" spans="1:1" ht="12.75" customHeight="1">
      <c r="A389" s="71"/>
    </row>
    <row r="390" spans="1:1" ht="12.75" customHeight="1">
      <c r="A390" s="71"/>
    </row>
    <row r="391" spans="1:1" ht="12.75" customHeight="1">
      <c r="A391" s="71"/>
    </row>
    <row r="392" spans="1:1" ht="12.75" customHeight="1">
      <c r="A392" s="71"/>
    </row>
    <row r="393" spans="1:1" ht="12.75" customHeight="1">
      <c r="A393" s="71"/>
    </row>
    <row r="394" spans="1:1" ht="12.75" customHeight="1">
      <c r="A394" s="71"/>
    </row>
    <row r="395" spans="1:1" ht="12.75" customHeight="1">
      <c r="A395" s="71"/>
    </row>
    <row r="396" spans="1:1" ht="12.75" customHeight="1">
      <c r="A396" s="71"/>
    </row>
    <row r="397" spans="1:1" ht="12.75" customHeight="1">
      <c r="A397" s="71"/>
    </row>
    <row r="398" spans="1:1" ht="12.75" customHeight="1">
      <c r="A398" s="71"/>
    </row>
    <row r="399" spans="1:1" ht="12.75" customHeight="1">
      <c r="A399" s="71"/>
    </row>
    <row r="400" spans="1:1" ht="12.75" customHeight="1">
      <c r="A400" s="71"/>
    </row>
    <row r="401" spans="1:1" ht="12.75" customHeight="1">
      <c r="A401" s="71"/>
    </row>
    <row r="402" spans="1:1" ht="12.75" customHeight="1">
      <c r="A402" s="71"/>
    </row>
    <row r="403" spans="1:1" ht="12.75" customHeight="1">
      <c r="A403" s="71"/>
    </row>
    <row r="404" spans="1:1" ht="12.75" customHeight="1">
      <c r="A404" s="71"/>
    </row>
    <row r="405" spans="1:1" ht="12.75" customHeight="1">
      <c r="A405" s="71"/>
    </row>
    <row r="406" spans="1:1" ht="12.75" customHeight="1">
      <c r="A406" s="71"/>
    </row>
    <row r="407" spans="1:1" ht="12.75" customHeight="1">
      <c r="A407" s="71"/>
    </row>
    <row r="408" spans="1:1" ht="12.75" customHeight="1">
      <c r="A408" s="71"/>
    </row>
    <row r="409" spans="1:1" ht="12.75" customHeight="1">
      <c r="A409" s="71"/>
    </row>
    <row r="410" spans="1:1" ht="12.75" customHeight="1">
      <c r="A410" s="71"/>
    </row>
    <row r="411" spans="1:1" ht="12.75" customHeight="1">
      <c r="A411" s="71"/>
    </row>
    <row r="412" spans="1:1" ht="12.75" customHeight="1">
      <c r="A412" s="71"/>
    </row>
    <row r="413" spans="1:1" ht="12.75" customHeight="1">
      <c r="A413" s="71"/>
    </row>
    <row r="414" spans="1:1" ht="12.75" customHeight="1">
      <c r="A414" s="71"/>
    </row>
    <row r="415" spans="1:1" ht="12.75" customHeight="1">
      <c r="A415" s="71"/>
    </row>
    <row r="416" spans="1:1" ht="12.75" customHeight="1">
      <c r="A416" s="71"/>
    </row>
    <row r="417" spans="1:1" ht="12.75" customHeight="1">
      <c r="A417" s="71"/>
    </row>
    <row r="418" spans="1:1" ht="12.75" customHeight="1">
      <c r="A418" s="71"/>
    </row>
    <row r="419" spans="1:1" ht="12.75" customHeight="1">
      <c r="A419" s="71"/>
    </row>
    <row r="420" spans="1:1" ht="12.75" customHeight="1">
      <c r="A420" s="71"/>
    </row>
    <row r="421" spans="1:1" ht="12.75" customHeight="1">
      <c r="A421" s="71"/>
    </row>
    <row r="422" spans="1:1" ht="12.75" customHeight="1">
      <c r="A422" s="71"/>
    </row>
    <row r="423" spans="1:1" ht="12.75" customHeight="1">
      <c r="A423" s="71"/>
    </row>
    <row r="424" spans="1:1" ht="12.75" customHeight="1">
      <c r="A424" s="71"/>
    </row>
    <row r="425" spans="1:1" ht="12.75" customHeight="1">
      <c r="A425" s="71"/>
    </row>
    <row r="426" spans="1:1" ht="12.75" customHeight="1">
      <c r="A426" s="71"/>
    </row>
    <row r="427" spans="1:1" ht="12.75" customHeight="1">
      <c r="A427" s="71"/>
    </row>
    <row r="428" spans="1:1" ht="12.75" customHeight="1">
      <c r="A428" s="71"/>
    </row>
    <row r="429" spans="1:1" ht="12.75" customHeight="1">
      <c r="A429" s="71"/>
    </row>
    <row r="430" spans="1:1" ht="12.75" customHeight="1">
      <c r="A430" s="71"/>
    </row>
    <row r="431" spans="1:1" ht="12.75" customHeight="1">
      <c r="A431" s="71"/>
    </row>
    <row r="432" spans="1:1" ht="12.75" customHeight="1">
      <c r="A432" s="71"/>
    </row>
    <row r="433" spans="1:1" ht="12.75" customHeight="1">
      <c r="A433" s="71"/>
    </row>
    <row r="434" spans="1:1" ht="12.75" customHeight="1">
      <c r="A434" s="71"/>
    </row>
    <row r="435" spans="1:1" ht="12.75" customHeight="1">
      <c r="A435" s="71"/>
    </row>
    <row r="436" spans="1:1" ht="12.75" customHeight="1">
      <c r="A436" s="71"/>
    </row>
    <row r="437" spans="1:1" ht="12.75" customHeight="1">
      <c r="A437" s="71"/>
    </row>
    <row r="438" spans="1:1" ht="12.75" customHeight="1">
      <c r="A438" s="71"/>
    </row>
    <row r="439" spans="1:1" ht="12.75" customHeight="1">
      <c r="A439" s="71"/>
    </row>
    <row r="440" spans="1:1" ht="12.75" customHeight="1">
      <c r="A440" s="71"/>
    </row>
    <row r="441" spans="1:1" ht="12.75" customHeight="1">
      <c r="A441" s="71"/>
    </row>
    <row r="442" spans="1:1" ht="12.75" customHeight="1">
      <c r="A442" s="71"/>
    </row>
    <row r="443" spans="1:1" ht="12.75" customHeight="1">
      <c r="A443" s="71"/>
    </row>
    <row r="444" spans="1:1" ht="12.75" customHeight="1">
      <c r="A444" s="71"/>
    </row>
    <row r="445" spans="1:1" ht="12.75" customHeight="1">
      <c r="A445" s="71"/>
    </row>
    <row r="446" spans="1:1" ht="12.75" customHeight="1">
      <c r="A446" s="71"/>
    </row>
    <row r="447" spans="1:1" ht="12.75" customHeight="1">
      <c r="A447" s="71"/>
    </row>
    <row r="448" spans="1:1" ht="12.75" customHeight="1">
      <c r="A448" s="71"/>
    </row>
    <row r="449" spans="1:1" ht="12.75" customHeight="1">
      <c r="A449" s="71"/>
    </row>
    <row r="450" spans="1:1" ht="12.75" customHeight="1">
      <c r="A450" s="71"/>
    </row>
    <row r="451" spans="1:1" ht="12.75" customHeight="1">
      <c r="A451" s="71"/>
    </row>
    <row r="452" spans="1:1" ht="12.75" customHeight="1">
      <c r="A452" s="71"/>
    </row>
    <row r="453" spans="1:1" ht="12.75" customHeight="1">
      <c r="A453" s="71"/>
    </row>
    <row r="454" spans="1:1" ht="12.75" customHeight="1">
      <c r="A454" s="71"/>
    </row>
    <row r="455" spans="1:1" ht="12.75" customHeight="1">
      <c r="A455" s="71"/>
    </row>
    <row r="456" spans="1:1" ht="12.75" customHeight="1">
      <c r="A456" s="71"/>
    </row>
    <row r="457" spans="1:1" ht="12.75" customHeight="1">
      <c r="A457" s="71"/>
    </row>
    <row r="458" spans="1:1" ht="12.75" customHeight="1">
      <c r="A458" s="71"/>
    </row>
    <row r="459" spans="1:1" ht="12.75" customHeight="1">
      <c r="A459" s="71"/>
    </row>
    <row r="460" spans="1:1" ht="12.75" customHeight="1">
      <c r="A460" s="71"/>
    </row>
    <row r="461" spans="1:1" ht="12.75" customHeight="1">
      <c r="A461" s="71"/>
    </row>
    <row r="462" spans="1:1" ht="12.75" customHeight="1">
      <c r="A462" s="71"/>
    </row>
    <row r="463" spans="1:1" ht="12.75" customHeight="1">
      <c r="A463" s="71"/>
    </row>
    <row r="464" spans="1:1" ht="12.75" customHeight="1">
      <c r="A464" s="71"/>
    </row>
    <row r="465" spans="1:1" ht="12.75" customHeight="1">
      <c r="A465" s="71"/>
    </row>
    <row r="466" spans="1:1" ht="12.75" customHeight="1">
      <c r="A466" s="71"/>
    </row>
    <row r="467" spans="1:1" ht="12.75" customHeight="1">
      <c r="A467" s="71"/>
    </row>
    <row r="468" spans="1:1" ht="12.75" customHeight="1">
      <c r="A468" s="71"/>
    </row>
    <row r="469" spans="1:1" ht="12.75" customHeight="1">
      <c r="A469" s="71"/>
    </row>
    <row r="470" spans="1:1" ht="12.75" customHeight="1">
      <c r="A470" s="71"/>
    </row>
    <row r="471" spans="1:1" ht="12.75" customHeight="1">
      <c r="A471" s="71"/>
    </row>
    <row r="472" spans="1:1" ht="12.75" customHeight="1">
      <c r="A472" s="71"/>
    </row>
    <row r="473" spans="1:1" ht="12.75" customHeight="1">
      <c r="A473" s="71"/>
    </row>
    <row r="474" spans="1:1" ht="12.75" customHeight="1">
      <c r="A474" s="71"/>
    </row>
    <row r="475" spans="1:1" ht="12.75" customHeight="1">
      <c r="A475" s="71"/>
    </row>
    <row r="476" spans="1:1" ht="12.75" customHeight="1">
      <c r="A476" s="71"/>
    </row>
    <row r="477" spans="1:1" ht="12.75" customHeight="1">
      <c r="A477" s="71"/>
    </row>
    <row r="478" spans="1:1" ht="12.75" customHeight="1">
      <c r="A478" s="71"/>
    </row>
    <row r="479" spans="1:1" ht="12.75" customHeight="1">
      <c r="A479" s="71"/>
    </row>
    <row r="480" spans="1:1" ht="12.75" customHeight="1">
      <c r="A480" s="71"/>
    </row>
    <row r="481" spans="1:1" ht="12.75" customHeight="1">
      <c r="A481" s="71"/>
    </row>
    <row r="482" spans="1:1" ht="12.75" customHeight="1">
      <c r="A482" s="71"/>
    </row>
    <row r="483" spans="1:1" ht="12.75" customHeight="1">
      <c r="A483" s="71"/>
    </row>
    <row r="484" spans="1:1" ht="12.75" customHeight="1">
      <c r="A484" s="71"/>
    </row>
    <row r="485" spans="1:1" ht="12.75" customHeight="1">
      <c r="A485" s="71"/>
    </row>
    <row r="486" spans="1:1" ht="12.75" customHeight="1">
      <c r="A486" s="71"/>
    </row>
    <row r="487" spans="1:1" ht="12.75" customHeight="1">
      <c r="A487" s="71"/>
    </row>
    <row r="488" spans="1:1" ht="12.75" customHeight="1">
      <c r="A488" s="71"/>
    </row>
    <row r="489" spans="1:1" ht="12.75" customHeight="1">
      <c r="A489" s="71"/>
    </row>
    <row r="490" spans="1:1" ht="12.75" customHeight="1">
      <c r="A490" s="71"/>
    </row>
    <row r="491" spans="1:1" ht="12.75" customHeight="1">
      <c r="A491" s="71"/>
    </row>
    <row r="492" spans="1:1" ht="12.75" customHeight="1">
      <c r="A492" s="71"/>
    </row>
    <row r="493" spans="1:1" ht="12.75" customHeight="1">
      <c r="A493" s="71"/>
    </row>
    <row r="494" spans="1:1" ht="12.75" customHeight="1">
      <c r="A494" s="71"/>
    </row>
    <row r="495" spans="1:1" ht="12.75" customHeight="1">
      <c r="A495" s="71"/>
    </row>
    <row r="496" spans="1:1" ht="12.75" customHeight="1">
      <c r="A496" s="71"/>
    </row>
    <row r="497" spans="1:1" ht="12.75" customHeight="1">
      <c r="A497" s="71"/>
    </row>
    <row r="498" spans="1:1" ht="12.75" customHeight="1">
      <c r="A498" s="71"/>
    </row>
    <row r="499" spans="1:1" ht="12.75" customHeight="1">
      <c r="A499" s="71"/>
    </row>
    <row r="500" spans="1:1" ht="12.75" customHeight="1">
      <c r="A500" s="71"/>
    </row>
    <row r="501" spans="1:1" ht="12.75" customHeight="1">
      <c r="A501" s="71"/>
    </row>
    <row r="502" spans="1:1" ht="12.75" customHeight="1">
      <c r="A502" s="71"/>
    </row>
    <row r="503" spans="1:1" ht="12.75" customHeight="1">
      <c r="A503" s="71"/>
    </row>
    <row r="504" spans="1:1" ht="12.75" customHeight="1">
      <c r="A504" s="71"/>
    </row>
    <row r="505" spans="1:1" ht="12.75" customHeight="1">
      <c r="A505" s="71"/>
    </row>
    <row r="506" spans="1:1" ht="12.75" customHeight="1">
      <c r="A506" s="71"/>
    </row>
    <row r="507" spans="1:1" ht="12.75" customHeight="1">
      <c r="A507" s="71"/>
    </row>
    <row r="508" spans="1:1" ht="12.75" customHeight="1">
      <c r="A508" s="71"/>
    </row>
    <row r="509" spans="1:1" ht="12.75" customHeight="1">
      <c r="A509" s="71"/>
    </row>
    <row r="510" spans="1:1" ht="12.75" customHeight="1">
      <c r="A510" s="71"/>
    </row>
    <row r="511" spans="1:1" ht="12.75" customHeight="1">
      <c r="A511" s="71"/>
    </row>
    <row r="512" spans="1:1" ht="12.75" customHeight="1">
      <c r="A512" s="71"/>
    </row>
    <row r="513" spans="1:1" ht="12.75" customHeight="1">
      <c r="A513" s="71"/>
    </row>
    <row r="514" spans="1:1" ht="12.75" customHeight="1">
      <c r="A514" s="71"/>
    </row>
    <row r="515" spans="1:1" ht="12.75" customHeight="1">
      <c r="A515" s="71"/>
    </row>
    <row r="516" spans="1:1" ht="12.75" customHeight="1">
      <c r="A516" s="71"/>
    </row>
    <row r="517" spans="1:1" ht="12.75" customHeight="1">
      <c r="A517" s="71"/>
    </row>
    <row r="518" spans="1:1" ht="12.75" customHeight="1">
      <c r="A518" s="71"/>
    </row>
    <row r="519" spans="1:1" ht="12.75" customHeight="1">
      <c r="A519" s="71"/>
    </row>
    <row r="520" spans="1:1" ht="12.75" customHeight="1">
      <c r="A520" s="71"/>
    </row>
    <row r="521" spans="1:1" ht="12.75" customHeight="1">
      <c r="A521" s="71"/>
    </row>
    <row r="522" spans="1:1" ht="12.75" customHeight="1">
      <c r="A522" s="71"/>
    </row>
    <row r="523" spans="1:1" ht="12.75" customHeight="1">
      <c r="A523" s="71"/>
    </row>
    <row r="524" spans="1:1" ht="12.75" customHeight="1">
      <c r="A524" s="71"/>
    </row>
    <row r="525" spans="1:1" ht="12.75" customHeight="1">
      <c r="A525" s="71"/>
    </row>
    <row r="526" spans="1:1" ht="12.75" customHeight="1">
      <c r="A526" s="71"/>
    </row>
    <row r="527" spans="1:1" ht="12.75" customHeight="1">
      <c r="A527" s="71"/>
    </row>
    <row r="528" spans="1:1" ht="12.75" customHeight="1">
      <c r="A528" s="71"/>
    </row>
    <row r="529" spans="1:1" ht="12.75" customHeight="1">
      <c r="A529" s="71"/>
    </row>
    <row r="530" spans="1:1" ht="12.75" customHeight="1">
      <c r="A530" s="71"/>
    </row>
    <row r="531" spans="1:1" ht="12.75" customHeight="1">
      <c r="A531" s="71"/>
    </row>
    <row r="532" spans="1:1" ht="12.75" customHeight="1">
      <c r="A532" s="71"/>
    </row>
    <row r="533" spans="1:1" ht="12.75" customHeight="1">
      <c r="A533" s="71"/>
    </row>
    <row r="534" spans="1:1" ht="12.75" customHeight="1">
      <c r="A534" s="71"/>
    </row>
    <row r="535" spans="1:1" ht="12.75" customHeight="1">
      <c r="A535" s="71"/>
    </row>
    <row r="536" spans="1:1" ht="12.75" customHeight="1">
      <c r="A536" s="71"/>
    </row>
    <row r="537" spans="1:1" ht="12.75" customHeight="1">
      <c r="A537" s="71"/>
    </row>
    <row r="538" spans="1:1" ht="12.75" customHeight="1">
      <c r="A538" s="71"/>
    </row>
    <row r="539" spans="1:1" ht="12.75" customHeight="1">
      <c r="A539" s="71"/>
    </row>
    <row r="540" spans="1:1" ht="12.75" customHeight="1">
      <c r="A540" s="71"/>
    </row>
    <row r="541" spans="1:1" ht="12.75" customHeight="1">
      <c r="A541" s="71"/>
    </row>
    <row r="542" spans="1:1" ht="12.75" customHeight="1">
      <c r="A542" s="71"/>
    </row>
    <row r="543" spans="1:1" ht="12.75" customHeight="1">
      <c r="A543" s="71"/>
    </row>
    <row r="544" spans="1:1" ht="12.75" customHeight="1">
      <c r="A544" s="71"/>
    </row>
    <row r="545" spans="1:1" ht="12.75" customHeight="1">
      <c r="A545" s="71"/>
    </row>
    <row r="546" spans="1:1" ht="12.75" customHeight="1">
      <c r="A546" s="71"/>
    </row>
    <row r="547" spans="1:1" ht="12.75" customHeight="1">
      <c r="A547" s="71"/>
    </row>
    <row r="548" spans="1:1" ht="12.75" customHeight="1">
      <c r="A548" s="71"/>
    </row>
    <row r="549" spans="1:1" ht="12.75" customHeight="1">
      <c r="A549" s="71"/>
    </row>
    <row r="550" spans="1:1" ht="12.75" customHeight="1">
      <c r="A550" s="71"/>
    </row>
    <row r="551" spans="1:1" ht="12.75" customHeight="1">
      <c r="A551" s="71"/>
    </row>
    <row r="552" spans="1:1" ht="12.75" customHeight="1">
      <c r="A552" s="71"/>
    </row>
    <row r="553" spans="1:1" ht="12.75" customHeight="1">
      <c r="A553" s="71"/>
    </row>
    <row r="554" spans="1:1" ht="12.75" customHeight="1">
      <c r="A554" s="71"/>
    </row>
    <row r="555" spans="1:1" ht="12.75" customHeight="1">
      <c r="A555" s="71"/>
    </row>
    <row r="556" spans="1:1" ht="12.75" customHeight="1">
      <c r="A556" s="71"/>
    </row>
    <row r="557" spans="1:1" ht="12.75" customHeight="1">
      <c r="A557" s="71"/>
    </row>
    <row r="558" spans="1:1" ht="12.75" customHeight="1">
      <c r="A558" s="71"/>
    </row>
    <row r="559" spans="1:1" ht="12.75" customHeight="1">
      <c r="A559" s="71"/>
    </row>
    <row r="560" spans="1:1" ht="12.75" customHeight="1">
      <c r="A560" s="71"/>
    </row>
    <row r="561" spans="1:1" ht="12.75" customHeight="1">
      <c r="A561" s="71"/>
    </row>
    <row r="562" spans="1:1" ht="12.75" customHeight="1">
      <c r="A562" s="71"/>
    </row>
    <row r="563" spans="1:1" ht="12.75" customHeight="1">
      <c r="A563" s="71"/>
    </row>
    <row r="564" spans="1:1" ht="12.75" customHeight="1">
      <c r="A564" s="71"/>
    </row>
    <row r="565" spans="1:1" ht="12.75" customHeight="1">
      <c r="A565" s="71"/>
    </row>
    <row r="566" spans="1:1" ht="12.75" customHeight="1">
      <c r="A566" s="71"/>
    </row>
    <row r="567" spans="1:1" ht="12.75" customHeight="1">
      <c r="A567" s="71"/>
    </row>
    <row r="568" spans="1:1" ht="12.75" customHeight="1">
      <c r="A568" s="71"/>
    </row>
    <row r="569" spans="1:1" ht="12.75" customHeight="1">
      <c r="A569" s="71"/>
    </row>
    <row r="570" spans="1:1" ht="12.75" customHeight="1">
      <c r="A570" s="71"/>
    </row>
    <row r="571" spans="1:1" ht="12.75" customHeight="1">
      <c r="A571" s="71"/>
    </row>
    <row r="572" spans="1:1" ht="12.75" customHeight="1">
      <c r="A572" s="71"/>
    </row>
    <row r="573" spans="1:1" ht="12.75" customHeight="1">
      <c r="A573" s="71"/>
    </row>
    <row r="574" spans="1:1" ht="12.75" customHeight="1">
      <c r="A574" s="71"/>
    </row>
    <row r="575" spans="1:1" ht="12.75" customHeight="1">
      <c r="A575" s="71"/>
    </row>
    <row r="576" spans="1:1" ht="12.75" customHeight="1">
      <c r="A576" s="71"/>
    </row>
    <row r="577" spans="1:1" ht="12.75" customHeight="1">
      <c r="A577" s="71"/>
    </row>
    <row r="578" spans="1:1" ht="12.75" customHeight="1">
      <c r="A578" s="71"/>
    </row>
    <row r="579" spans="1:1" ht="12.75" customHeight="1">
      <c r="A579" s="71"/>
    </row>
    <row r="580" spans="1:1" ht="12.75" customHeight="1">
      <c r="A580" s="71"/>
    </row>
    <row r="581" spans="1:1" ht="12.75" customHeight="1">
      <c r="A581" s="71"/>
    </row>
    <row r="582" spans="1:1" ht="12.75" customHeight="1">
      <c r="A582" s="71"/>
    </row>
    <row r="583" spans="1:1" ht="12.75" customHeight="1">
      <c r="A583" s="71"/>
    </row>
    <row r="584" spans="1:1" ht="12.75" customHeight="1">
      <c r="A584" s="71"/>
    </row>
    <row r="585" spans="1:1" ht="12.75" customHeight="1">
      <c r="A585" s="71"/>
    </row>
    <row r="586" spans="1:1" ht="12.75" customHeight="1">
      <c r="A586" s="71"/>
    </row>
    <row r="587" spans="1:1" ht="12.75" customHeight="1">
      <c r="A587" s="71"/>
    </row>
    <row r="588" spans="1:1" ht="12.75" customHeight="1">
      <c r="A588" s="71"/>
    </row>
    <row r="589" spans="1:1" ht="12.75" customHeight="1">
      <c r="A589" s="71"/>
    </row>
    <row r="590" spans="1:1" ht="12.75" customHeight="1">
      <c r="A590" s="71"/>
    </row>
    <row r="591" spans="1:1" ht="12.75" customHeight="1">
      <c r="A591" s="71"/>
    </row>
    <row r="592" spans="1:1" ht="12.75" customHeight="1">
      <c r="A592" s="71"/>
    </row>
    <row r="593" spans="1:1" ht="12.75" customHeight="1">
      <c r="A593" s="71"/>
    </row>
    <row r="594" spans="1:1" ht="12.75" customHeight="1">
      <c r="A594" s="71"/>
    </row>
    <row r="595" spans="1:1" ht="12.75" customHeight="1">
      <c r="A595" s="71"/>
    </row>
    <row r="596" spans="1:1" ht="12.75" customHeight="1">
      <c r="A596" s="71"/>
    </row>
    <row r="597" spans="1:1" ht="12.75" customHeight="1">
      <c r="A597" s="71"/>
    </row>
    <row r="598" spans="1:1" ht="12.75" customHeight="1">
      <c r="A598" s="71"/>
    </row>
    <row r="599" spans="1:1" ht="12.75" customHeight="1">
      <c r="A599" s="71"/>
    </row>
    <row r="600" spans="1:1" ht="12.75" customHeight="1">
      <c r="A600" s="71"/>
    </row>
    <row r="601" spans="1:1" ht="12.75" customHeight="1">
      <c r="A601" s="71"/>
    </row>
    <row r="602" spans="1:1" ht="12.75" customHeight="1">
      <c r="A602" s="71"/>
    </row>
    <row r="603" spans="1:1" ht="12.75" customHeight="1">
      <c r="A603" s="71"/>
    </row>
    <row r="604" spans="1:1" ht="12.75" customHeight="1">
      <c r="A604" s="71"/>
    </row>
    <row r="605" spans="1:1" ht="12.75" customHeight="1">
      <c r="A605" s="71"/>
    </row>
    <row r="606" spans="1:1" ht="12.75" customHeight="1">
      <c r="A606" s="71"/>
    </row>
    <row r="607" spans="1:1" ht="12.75" customHeight="1">
      <c r="A607" s="71"/>
    </row>
    <row r="608" spans="1:1" ht="12.75" customHeight="1">
      <c r="A608" s="71"/>
    </row>
    <row r="609" spans="1:1" ht="12.75" customHeight="1">
      <c r="A609" s="71"/>
    </row>
    <row r="610" spans="1:1" ht="12.75" customHeight="1">
      <c r="A610" s="71"/>
    </row>
    <row r="611" spans="1:1" ht="12.75" customHeight="1">
      <c r="A611" s="71"/>
    </row>
    <row r="612" spans="1:1" ht="12.75" customHeight="1">
      <c r="A612" s="71"/>
    </row>
    <row r="613" spans="1:1" ht="12.75" customHeight="1">
      <c r="A613" s="71"/>
    </row>
    <row r="614" spans="1:1" ht="12.75" customHeight="1">
      <c r="A614" s="71"/>
    </row>
    <row r="615" spans="1:1" ht="12.75" customHeight="1">
      <c r="A615" s="71"/>
    </row>
    <row r="616" spans="1:1" ht="12.75" customHeight="1">
      <c r="A616" s="71"/>
    </row>
    <row r="617" spans="1:1" ht="12.75" customHeight="1">
      <c r="A617" s="71"/>
    </row>
    <row r="618" spans="1:1" ht="12.75" customHeight="1">
      <c r="A618" s="71"/>
    </row>
    <row r="619" spans="1:1" ht="12.75" customHeight="1">
      <c r="A619" s="71"/>
    </row>
    <row r="620" spans="1:1" ht="12.75" customHeight="1">
      <c r="A620" s="71"/>
    </row>
    <row r="621" spans="1:1" ht="12.75" customHeight="1">
      <c r="A621" s="71"/>
    </row>
    <row r="622" spans="1:1" ht="12.75" customHeight="1">
      <c r="A622" s="71"/>
    </row>
    <row r="623" spans="1:1" ht="12.75" customHeight="1">
      <c r="A623" s="71"/>
    </row>
    <row r="624" spans="1:1" ht="12.75" customHeight="1">
      <c r="A624" s="71"/>
    </row>
    <row r="625" spans="1:1" ht="12.75" customHeight="1">
      <c r="A625" s="71"/>
    </row>
    <row r="626" spans="1:1" ht="12.75" customHeight="1">
      <c r="A626" s="71"/>
    </row>
    <row r="627" spans="1:1" ht="12.75" customHeight="1">
      <c r="A627" s="71"/>
    </row>
    <row r="628" spans="1:1" ht="12.75" customHeight="1">
      <c r="A628" s="71"/>
    </row>
    <row r="629" spans="1:1" ht="12.75" customHeight="1">
      <c r="A629" s="71"/>
    </row>
    <row r="630" spans="1:1" ht="12.75" customHeight="1">
      <c r="A630" s="71"/>
    </row>
    <row r="631" spans="1:1" ht="12.75" customHeight="1">
      <c r="A631" s="71"/>
    </row>
    <row r="632" spans="1:1" ht="12.75" customHeight="1">
      <c r="A632" s="71"/>
    </row>
    <row r="633" spans="1:1" ht="12.75" customHeight="1">
      <c r="A633" s="71"/>
    </row>
    <row r="634" spans="1:1" ht="12.75" customHeight="1">
      <c r="A634" s="71"/>
    </row>
    <row r="635" spans="1:1" ht="12.75" customHeight="1">
      <c r="A635" s="71"/>
    </row>
    <row r="636" spans="1:1" ht="12.75" customHeight="1">
      <c r="A636" s="71"/>
    </row>
    <row r="637" spans="1:1" ht="12.75" customHeight="1">
      <c r="A637" s="71"/>
    </row>
    <row r="638" spans="1:1" ht="12.75" customHeight="1">
      <c r="A638" s="71"/>
    </row>
    <row r="639" spans="1:1" ht="12.75" customHeight="1">
      <c r="A639" s="71"/>
    </row>
    <row r="640" spans="1:1" ht="12.75" customHeight="1">
      <c r="A640" s="71"/>
    </row>
    <row r="641" spans="1:1" ht="12.75" customHeight="1">
      <c r="A641" s="71"/>
    </row>
    <row r="642" spans="1:1" ht="12.75" customHeight="1">
      <c r="A642" s="71"/>
    </row>
    <row r="643" spans="1:1" ht="12.75" customHeight="1">
      <c r="A643" s="71"/>
    </row>
    <row r="644" spans="1:1" ht="12.75" customHeight="1">
      <c r="A644" s="71"/>
    </row>
    <row r="645" spans="1:1" ht="12.75" customHeight="1">
      <c r="A645" s="71"/>
    </row>
    <row r="646" spans="1:1" ht="12.75" customHeight="1">
      <c r="A646" s="71"/>
    </row>
    <row r="647" spans="1:1" ht="12.75" customHeight="1">
      <c r="A647" s="71"/>
    </row>
    <row r="648" spans="1:1" ht="12.75" customHeight="1">
      <c r="A648" s="71"/>
    </row>
    <row r="649" spans="1:1" ht="12.75" customHeight="1">
      <c r="A649" s="71"/>
    </row>
    <row r="650" spans="1:1" ht="12.75" customHeight="1">
      <c r="A650" s="71"/>
    </row>
    <row r="651" spans="1:1" ht="12.75" customHeight="1">
      <c r="A651" s="71"/>
    </row>
    <row r="652" spans="1:1" ht="12.75" customHeight="1">
      <c r="A652" s="71"/>
    </row>
    <row r="653" spans="1:1" ht="12.75" customHeight="1">
      <c r="A653" s="71"/>
    </row>
    <row r="654" spans="1:1" ht="12.75" customHeight="1">
      <c r="A654" s="71"/>
    </row>
    <row r="655" spans="1:1" ht="12.75" customHeight="1">
      <c r="A655" s="71"/>
    </row>
    <row r="656" spans="1:1" ht="12.75" customHeight="1">
      <c r="A656" s="71"/>
    </row>
    <row r="657" spans="1:1" ht="12.75" customHeight="1">
      <c r="A657" s="71"/>
    </row>
    <row r="658" spans="1:1" ht="12.75" customHeight="1">
      <c r="A658" s="71"/>
    </row>
    <row r="659" spans="1:1" ht="12.75" customHeight="1">
      <c r="A659" s="71"/>
    </row>
    <row r="660" spans="1:1" ht="12.75" customHeight="1">
      <c r="A660" s="71"/>
    </row>
    <row r="661" spans="1:1" ht="12.75" customHeight="1">
      <c r="A661" s="71"/>
    </row>
    <row r="662" spans="1:1" ht="12.75" customHeight="1">
      <c r="A662" s="71"/>
    </row>
    <row r="663" spans="1:1" ht="12.75" customHeight="1">
      <c r="A663" s="71"/>
    </row>
    <row r="664" spans="1:1" ht="12.75" customHeight="1">
      <c r="A664" s="71"/>
    </row>
    <row r="665" spans="1:1" ht="12.75" customHeight="1">
      <c r="A665" s="71"/>
    </row>
    <row r="666" spans="1:1" ht="12.75" customHeight="1">
      <c r="A666" s="71"/>
    </row>
    <row r="667" spans="1:1" ht="12.75" customHeight="1">
      <c r="A667" s="71"/>
    </row>
    <row r="668" spans="1:1" ht="12.75" customHeight="1">
      <c r="A668" s="71"/>
    </row>
    <row r="669" spans="1:1" ht="12.75" customHeight="1">
      <c r="A669" s="71"/>
    </row>
    <row r="670" spans="1:1" ht="12.75" customHeight="1">
      <c r="A670" s="71"/>
    </row>
    <row r="671" spans="1:1" ht="12.75" customHeight="1">
      <c r="A671" s="71"/>
    </row>
    <row r="672" spans="1:1" ht="12.75" customHeight="1">
      <c r="A672" s="71"/>
    </row>
    <row r="673" spans="1:1" ht="12.75" customHeight="1">
      <c r="A673" s="71"/>
    </row>
    <row r="674" spans="1:1" ht="12.75" customHeight="1">
      <c r="A674" s="71"/>
    </row>
    <row r="675" spans="1:1" ht="12.75" customHeight="1">
      <c r="A675" s="71"/>
    </row>
    <row r="676" spans="1:1" ht="12.75" customHeight="1">
      <c r="A676" s="71"/>
    </row>
    <row r="677" spans="1:1" ht="12.75" customHeight="1">
      <c r="A677" s="71"/>
    </row>
    <row r="678" spans="1:1" ht="12.75" customHeight="1">
      <c r="A678" s="71"/>
    </row>
    <row r="679" spans="1:1" ht="12.75" customHeight="1">
      <c r="A679" s="71"/>
    </row>
    <row r="680" spans="1:1" ht="12.75" customHeight="1">
      <c r="A680" s="71"/>
    </row>
    <row r="681" spans="1:1" ht="12.75" customHeight="1">
      <c r="A681" s="71"/>
    </row>
    <row r="682" spans="1:1" ht="12.75" customHeight="1">
      <c r="A682" s="71"/>
    </row>
    <row r="683" spans="1:1" ht="12.75" customHeight="1">
      <c r="A683" s="71"/>
    </row>
    <row r="684" spans="1:1" ht="12.75" customHeight="1">
      <c r="A684" s="71"/>
    </row>
    <row r="685" spans="1:1" ht="12.75" customHeight="1">
      <c r="A685" s="71"/>
    </row>
    <row r="686" spans="1:1" ht="12.75" customHeight="1">
      <c r="A686" s="71"/>
    </row>
    <row r="687" spans="1:1" ht="12.75" customHeight="1">
      <c r="A687" s="71"/>
    </row>
    <row r="688" spans="1:1" ht="12.75" customHeight="1">
      <c r="A688" s="71"/>
    </row>
    <row r="689" spans="1:1" ht="12.75" customHeight="1">
      <c r="A689" s="71"/>
    </row>
    <row r="690" spans="1:1" ht="12.75" customHeight="1">
      <c r="A690" s="71"/>
    </row>
    <row r="691" spans="1:1" ht="12.75" customHeight="1">
      <c r="A691" s="71"/>
    </row>
    <row r="692" spans="1:1" ht="12.75" customHeight="1">
      <c r="A692" s="71"/>
    </row>
    <row r="693" spans="1:1" ht="12.75" customHeight="1">
      <c r="A693" s="71"/>
    </row>
    <row r="694" spans="1:1" ht="12.75" customHeight="1">
      <c r="A694" s="71"/>
    </row>
    <row r="695" spans="1:1" ht="12.75" customHeight="1">
      <c r="A695" s="71"/>
    </row>
    <row r="696" spans="1:1" ht="12.75" customHeight="1">
      <c r="A696" s="71"/>
    </row>
    <row r="697" spans="1:1" ht="12.75" customHeight="1">
      <c r="A697" s="71"/>
    </row>
    <row r="698" spans="1:1" ht="12.75" customHeight="1">
      <c r="A698" s="71"/>
    </row>
    <row r="699" spans="1:1" ht="12.75" customHeight="1">
      <c r="A699" s="71"/>
    </row>
    <row r="700" spans="1:1" ht="12.75" customHeight="1">
      <c r="A700" s="71"/>
    </row>
    <row r="701" spans="1:1" ht="12.75" customHeight="1">
      <c r="A701" s="71"/>
    </row>
    <row r="702" spans="1:1" ht="12.75" customHeight="1">
      <c r="A702" s="71"/>
    </row>
    <row r="703" spans="1:1" ht="12.75" customHeight="1">
      <c r="A703" s="71"/>
    </row>
    <row r="704" spans="1:1" ht="12.75" customHeight="1">
      <c r="A704" s="71"/>
    </row>
    <row r="705" spans="1:1" ht="12.75" customHeight="1">
      <c r="A705" s="71"/>
    </row>
    <row r="706" spans="1:1" ht="12.75" customHeight="1">
      <c r="A706" s="71"/>
    </row>
    <row r="707" spans="1:1" ht="12.75" customHeight="1">
      <c r="A707" s="71"/>
    </row>
    <row r="708" spans="1:1" ht="12.75" customHeight="1">
      <c r="A708" s="71"/>
    </row>
    <row r="709" spans="1:1" ht="12.75" customHeight="1">
      <c r="A709" s="71"/>
    </row>
    <row r="710" spans="1:1" ht="12.75" customHeight="1">
      <c r="A710" s="71"/>
    </row>
    <row r="711" spans="1:1" ht="12.75" customHeight="1">
      <c r="A711" s="71"/>
    </row>
    <row r="712" spans="1:1" ht="12.75" customHeight="1">
      <c r="A712" s="71"/>
    </row>
    <row r="713" spans="1:1" ht="12.75" customHeight="1">
      <c r="A713" s="71"/>
    </row>
    <row r="714" spans="1:1" ht="12.75" customHeight="1">
      <c r="A714" s="71"/>
    </row>
    <row r="715" spans="1:1" ht="12.75" customHeight="1">
      <c r="A715" s="71"/>
    </row>
    <row r="716" spans="1:1" ht="12.75" customHeight="1">
      <c r="A716" s="71"/>
    </row>
    <row r="717" spans="1:1" ht="12.75" customHeight="1">
      <c r="A717" s="71"/>
    </row>
    <row r="718" spans="1:1" ht="12.75" customHeight="1">
      <c r="A718" s="71"/>
    </row>
    <row r="719" spans="1:1" ht="12.75" customHeight="1">
      <c r="A719" s="71"/>
    </row>
    <row r="720" spans="1:1" ht="12.75" customHeight="1">
      <c r="A720" s="71"/>
    </row>
    <row r="721" spans="1:1" ht="12.75" customHeight="1">
      <c r="A721" s="71"/>
    </row>
    <row r="722" spans="1:1" ht="12.75" customHeight="1">
      <c r="A722" s="71"/>
    </row>
    <row r="723" spans="1:1" ht="12.75" customHeight="1">
      <c r="A723" s="71"/>
    </row>
    <row r="724" spans="1:1" ht="12.75" customHeight="1">
      <c r="A724" s="71"/>
    </row>
    <row r="725" spans="1:1" ht="12.75" customHeight="1">
      <c r="A725" s="71"/>
    </row>
    <row r="726" spans="1:1" ht="12.75" customHeight="1">
      <c r="A726" s="71"/>
    </row>
    <row r="727" spans="1:1" ht="12.75" customHeight="1">
      <c r="A727" s="71"/>
    </row>
    <row r="728" spans="1:1" ht="12.75" customHeight="1">
      <c r="A728" s="71"/>
    </row>
    <row r="729" spans="1:1" ht="12.75" customHeight="1">
      <c r="A729" s="71"/>
    </row>
    <row r="730" spans="1:1" ht="12.75" customHeight="1">
      <c r="A730" s="71"/>
    </row>
    <row r="731" spans="1:1" ht="12.75" customHeight="1">
      <c r="A731" s="71"/>
    </row>
    <row r="732" spans="1:1" ht="12.75" customHeight="1">
      <c r="A732" s="71"/>
    </row>
    <row r="733" spans="1:1" ht="12.75" customHeight="1">
      <c r="A733" s="71"/>
    </row>
    <row r="734" spans="1:1" ht="12.75" customHeight="1">
      <c r="A734" s="71"/>
    </row>
    <row r="735" spans="1:1" ht="12.75" customHeight="1">
      <c r="A735" s="71"/>
    </row>
    <row r="736" spans="1:1" ht="12.75" customHeight="1">
      <c r="A736" s="71"/>
    </row>
    <row r="737" spans="1:1" ht="12.75" customHeight="1">
      <c r="A737" s="71"/>
    </row>
    <row r="738" spans="1:1" ht="12.75" customHeight="1">
      <c r="A738" s="71"/>
    </row>
    <row r="739" spans="1:1" ht="12.75" customHeight="1">
      <c r="A739" s="71"/>
    </row>
    <row r="740" spans="1:1" ht="12.75" customHeight="1">
      <c r="A740" s="71"/>
    </row>
    <row r="741" spans="1:1" ht="12.75" customHeight="1">
      <c r="A741" s="71"/>
    </row>
    <row r="742" spans="1:1" ht="12.75" customHeight="1">
      <c r="A742" s="71"/>
    </row>
    <row r="743" spans="1:1" ht="12.75" customHeight="1">
      <c r="A743" s="71"/>
    </row>
    <row r="744" spans="1:1" ht="12.75" customHeight="1">
      <c r="A744" s="71"/>
    </row>
    <row r="745" spans="1:1" ht="12.75" customHeight="1">
      <c r="A745" s="71"/>
    </row>
    <row r="746" spans="1:1" ht="12.75" customHeight="1">
      <c r="A746" s="71"/>
    </row>
    <row r="747" spans="1:1" ht="12.75" customHeight="1">
      <c r="A747" s="71"/>
    </row>
    <row r="748" spans="1:1" ht="12.75" customHeight="1">
      <c r="A748" s="71"/>
    </row>
    <row r="749" spans="1:1" ht="12.75" customHeight="1">
      <c r="A749" s="71"/>
    </row>
    <row r="750" spans="1:1" ht="12.75" customHeight="1">
      <c r="A750" s="71"/>
    </row>
    <row r="751" spans="1:1" ht="12.75" customHeight="1">
      <c r="A751" s="71"/>
    </row>
    <row r="752" spans="1:1" ht="12.75" customHeight="1">
      <c r="A752" s="71"/>
    </row>
    <row r="753" spans="1:1" ht="12.75" customHeight="1">
      <c r="A753" s="71"/>
    </row>
    <row r="754" spans="1:1" ht="12.75" customHeight="1">
      <c r="A754" s="71"/>
    </row>
    <row r="755" spans="1:1" ht="12.75" customHeight="1">
      <c r="A755" s="71"/>
    </row>
    <row r="756" spans="1:1" ht="12.75" customHeight="1">
      <c r="A756" s="71"/>
    </row>
    <row r="757" spans="1:1" ht="12.75" customHeight="1">
      <c r="A757" s="71"/>
    </row>
    <row r="758" spans="1:1" ht="12.75" customHeight="1">
      <c r="A758" s="71"/>
    </row>
    <row r="759" spans="1:1" ht="12.75" customHeight="1">
      <c r="A759" s="71"/>
    </row>
    <row r="760" spans="1:1" ht="12.75" customHeight="1">
      <c r="A760" s="71"/>
    </row>
    <row r="761" spans="1:1" ht="12.75" customHeight="1">
      <c r="A761" s="71"/>
    </row>
    <row r="762" spans="1:1" ht="12.75" customHeight="1">
      <c r="A762" s="71"/>
    </row>
    <row r="763" spans="1:1" ht="12.75" customHeight="1">
      <c r="A763" s="71"/>
    </row>
    <row r="764" spans="1:1" ht="12.75" customHeight="1">
      <c r="A764" s="71"/>
    </row>
    <row r="765" spans="1:1" ht="12.75" customHeight="1">
      <c r="A765" s="71"/>
    </row>
    <row r="766" spans="1:1" ht="12.75" customHeight="1">
      <c r="A766" s="71"/>
    </row>
    <row r="767" spans="1:1" ht="12.75" customHeight="1">
      <c r="A767" s="71"/>
    </row>
    <row r="768" spans="1:1" ht="12.75" customHeight="1">
      <c r="A768" s="71"/>
    </row>
    <row r="769" spans="1:1" ht="12.75" customHeight="1">
      <c r="A769" s="71"/>
    </row>
    <row r="770" spans="1:1" ht="12.75" customHeight="1">
      <c r="A770" s="71"/>
    </row>
    <row r="771" spans="1:1" ht="12.75" customHeight="1">
      <c r="A771" s="71"/>
    </row>
    <row r="772" spans="1:1" ht="12.75" customHeight="1">
      <c r="A772" s="71"/>
    </row>
    <row r="773" spans="1:1" ht="12.75" customHeight="1">
      <c r="A773" s="71"/>
    </row>
    <row r="774" spans="1:1" ht="12.75" customHeight="1">
      <c r="A774" s="71"/>
    </row>
    <row r="775" spans="1:1" ht="12.75" customHeight="1">
      <c r="A775" s="71"/>
    </row>
    <row r="776" spans="1:1" ht="12.75" customHeight="1">
      <c r="A776" s="71"/>
    </row>
    <row r="777" spans="1:1" ht="12.75" customHeight="1">
      <c r="A777" s="71"/>
    </row>
    <row r="778" spans="1:1" ht="12.75" customHeight="1">
      <c r="A778" s="71"/>
    </row>
    <row r="779" spans="1:1" ht="12.75" customHeight="1">
      <c r="A779" s="71"/>
    </row>
    <row r="780" spans="1:1" ht="12.75" customHeight="1">
      <c r="A780" s="71"/>
    </row>
    <row r="781" spans="1:1" ht="12.75" customHeight="1">
      <c r="A781" s="71"/>
    </row>
    <row r="782" spans="1:1" ht="12.75" customHeight="1">
      <c r="A782" s="71"/>
    </row>
    <row r="783" spans="1:1" ht="12.75" customHeight="1">
      <c r="A783" s="71"/>
    </row>
    <row r="784" spans="1:1" ht="12.75" customHeight="1">
      <c r="A784" s="71"/>
    </row>
    <row r="785" spans="1:1" ht="12.75" customHeight="1">
      <c r="A785" s="71"/>
    </row>
    <row r="786" spans="1:1" ht="12.75" customHeight="1">
      <c r="A786" s="71"/>
    </row>
    <row r="787" spans="1:1" ht="12.75" customHeight="1">
      <c r="A787" s="71"/>
    </row>
    <row r="788" spans="1:1" ht="12.75" customHeight="1">
      <c r="A788" s="71"/>
    </row>
    <row r="789" spans="1:1" ht="12.75" customHeight="1">
      <c r="A789" s="71"/>
    </row>
    <row r="790" spans="1:1" ht="12.75" customHeight="1">
      <c r="A790" s="71"/>
    </row>
    <row r="791" spans="1:1" ht="12.75" customHeight="1">
      <c r="A791" s="71"/>
    </row>
    <row r="792" spans="1:1" ht="12.75" customHeight="1">
      <c r="A792" s="71"/>
    </row>
    <row r="793" spans="1:1" ht="12.75" customHeight="1">
      <c r="A793" s="71"/>
    </row>
    <row r="794" spans="1:1" ht="12.75" customHeight="1">
      <c r="A794" s="71"/>
    </row>
    <row r="795" spans="1:1" ht="12.75" customHeight="1">
      <c r="A795" s="71"/>
    </row>
    <row r="796" spans="1:1" ht="12.75" customHeight="1">
      <c r="A796" s="71"/>
    </row>
    <row r="797" spans="1:1" ht="12.75" customHeight="1">
      <c r="A797" s="71"/>
    </row>
    <row r="798" spans="1:1" ht="12.75" customHeight="1">
      <c r="A798" s="71"/>
    </row>
    <row r="799" spans="1:1" ht="12.75" customHeight="1">
      <c r="A799" s="71"/>
    </row>
    <row r="800" spans="1:1" ht="12.75" customHeight="1">
      <c r="A800" s="71"/>
    </row>
    <row r="801" spans="1:1" ht="12.75" customHeight="1">
      <c r="A801" s="71"/>
    </row>
    <row r="802" spans="1:1" ht="12.75" customHeight="1">
      <c r="A802" s="71"/>
    </row>
    <row r="803" spans="1:1" ht="12.75" customHeight="1">
      <c r="A803" s="71"/>
    </row>
    <row r="804" spans="1:1" ht="12.75" customHeight="1">
      <c r="A804" s="71"/>
    </row>
    <row r="805" spans="1:1" ht="12.75" customHeight="1">
      <c r="A805" s="71"/>
    </row>
    <row r="806" spans="1:1" ht="12.75" customHeight="1">
      <c r="A806" s="71"/>
    </row>
    <row r="807" spans="1:1" ht="12.75" customHeight="1">
      <c r="A807" s="71"/>
    </row>
    <row r="808" spans="1:1" ht="12.75" customHeight="1">
      <c r="A808" s="71"/>
    </row>
    <row r="809" spans="1:1" ht="12.75" customHeight="1">
      <c r="A809" s="71"/>
    </row>
    <row r="810" spans="1:1" ht="12.75" customHeight="1">
      <c r="A810" s="71"/>
    </row>
    <row r="811" spans="1:1" ht="12.75" customHeight="1">
      <c r="A811" s="71"/>
    </row>
    <row r="812" spans="1:1" ht="12.75" customHeight="1">
      <c r="A812" s="71"/>
    </row>
    <row r="813" spans="1:1" ht="12.75" customHeight="1">
      <c r="A813" s="71"/>
    </row>
    <row r="814" spans="1:1" ht="12.75" customHeight="1">
      <c r="A814" s="71"/>
    </row>
    <row r="815" spans="1:1" ht="12.75" customHeight="1">
      <c r="A815" s="71"/>
    </row>
    <row r="816" spans="1:1" ht="12.75" customHeight="1">
      <c r="A816" s="71"/>
    </row>
    <row r="817" spans="1:1" ht="12.75" customHeight="1">
      <c r="A817" s="71"/>
    </row>
    <row r="818" spans="1:1" ht="12.75" customHeight="1">
      <c r="A818" s="71"/>
    </row>
    <row r="819" spans="1:1" ht="12.75" customHeight="1">
      <c r="A819" s="71"/>
    </row>
    <row r="820" spans="1:1" ht="12.75" customHeight="1">
      <c r="A820" s="71"/>
    </row>
    <row r="821" spans="1:1" ht="12.75" customHeight="1">
      <c r="A821" s="71"/>
    </row>
    <row r="822" spans="1:1" ht="12.75" customHeight="1">
      <c r="A822" s="71"/>
    </row>
    <row r="823" spans="1:1" ht="12.75" customHeight="1">
      <c r="A823" s="71"/>
    </row>
    <row r="824" spans="1:1" ht="12.75" customHeight="1">
      <c r="A824" s="71"/>
    </row>
    <row r="825" spans="1:1" ht="12.75" customHeight="1">
      <c r="A825" s="71"/>
    </row>
    <row r="826" spans="1:1" ht="12.75" customHeight="1">
      <c r="A826" s="71"/>
    </row>
    <row r="827" spans="1:1" ht="12.75" customHeight="1">
      <c r="A827" s="71"/>
    </row>
    <row r="828" spans="1:1" ht="12.75" customHeight="1">
      <c r="A828" s="71"/>
    </row>
    <row r="829" spans="1:1" ht="12.75" customHeight="1">
      <c r="A829" s="71"/>
    </row>
    <row r="830" spans="1:1" ht="12.75" customHeight="1">
      <c r="A830" s="71"/>
    </row>
    <row r="831" spans="1:1" ht="12.75" customHeight="1">
      <c r="A831" s="71"/>
    </row>
    <row r="832" spans="1:1" ht="12.75" customHeight="1">
      <c r="A832" s="71"/>
    </row>
    <row r="833" spans="1:1" ht="12.75" customHeight="1">
      <c r="A833" s="71"/>
    </row>
    <row r="834" spans="1:1" ht="12.75" customHeight="1">
      <c r="A834" s="71"/>
    </row>
    <row r="835" spans="1:1" ht="12.75" customHeight="1">
      <c r="A835" s="71"/>
    </row>
    <row r="836" spans="1:1" ht="12.75" customHeight="1">
      <c r="A836" s="71"/>
    </row>
    <row r="837" spans="1:1" ht="12.75" customHeight="1">
      <c r="A837" s="71"/>
    </row>
    <row r="838" spans="1:1" ht="12.75" customHeight="1">
      <c r="A838" s="71"/>
    </row>
    <row r="839" spans="1:1" ht="12.75" customHeight="1">
      <c r="A839" s="71"/>
    </row>
    <row r="840" spans="1:1" ht="12.75" customHeight="1">
      <c r="A840" s="71"/>
    </row>
    <row r="841" spans="1:1" ht="12.75" customHeight="1">
      <c r="A841" s="71"/>
    </row>
    <row r="842" spans="1:1" ht="12.75" customHeight="1">
      <c r="A842" s="71"/>
    </row>
    <row r="843" spans="1:1" ht="12.75" customHeight="1">
      <c r="A843" s="71"/>
    </row>
    <row r="844" spans="1:1" ht="12.75" customHeight="1">
      <c r="A844" s="71"/>
    </row>
    <row r="845" spans="1:1" ht="12.75" customHeight="1">
      <c r="A845" s="71"/>
    </row>
    <row r="846" spans="1:1" ht="12.75" customHeight="1">
      <c r="A846" s="71"/>
    </row>
    <row r="847" spans="1:1" ht="12.75" customHeight="1">
      <c r="A847" s="71"/>
    </row>
    <row r="848" spans="1:1" ht="12.75" customHeight="1">
      <c r="A848" s="71"/>
    </row>
    <row r="849" spans="1:1" ht="12.75" customHeight="1">
      <c r="A849" s="71"/>
    </row>
    <row r="850" spans="1:1" ht="12.75" customHeight="1">
      <c r="A850" s="71"/>
    </row>
    <row r="851" spans="1:1" ht="12.75" customHeight="1">
      <c r="A851" s="71"/>
    </row>
    <row r="852" spans="1:1" ht="12.75" customHeight="1">
      <c r="A852" s="71"/>
    </row>
    <row r="853" spans="1:1" ht="12.75" customHeight="1">
      <c r="A853" s="71"/>
    </row>
    <row r="854" spans="1:1" ht="12.75" customHeight="1">
      <c r="A854" s="71"/>
    </row>
    <row r="855" spans="1:1" ht="12.75" customHeight="1">
      <c r="A855" s="71"/>
    </row>
    <row r="856" spans="1:1" ht="12.75" customHeight="1">
      <c r="A856" s="71"/>
    </row>
    <row r="857" spans="1:1" ht="12.75" customHeight="1">
      <c r="A857" s="71"/>
    </row>
    <row r="858" spans="1:1" ht="12.75" customHeight="1">
      <c r="A858" s="71"/>
    </row>
    <row r="859" spans="1:1" ht="12.75" customHeight="1">
      <c r="A859" s="71"/>
    </row>
    <row r="860" spans="1:1" ht="12.75" customHeight="1">
      <c r="A860" s="71"/>
    </row>
    <row r="861" spans="1:1" ht="12.75" customHeight="1">
      <c r="A861" s="71"/>
    </row>
    <row r="862" spans="1:1" ht="12.75" customHeight="1">
      <c r="A862" s="71"/>
    </row>
    <row r="863" spans="1:1" ht="12.75" customHeight="1">
      <c r="A863" s="71"/>
    </row>
    <row r="864" spans="1:1" ht="12.75" customHeight="1">
      <c r="A864" s="71"/>
    </row>
    <row r="865" spans="1:1" ht="12.75" customHeight="1">
      <c r="A865" s="71"/>
    </row>
    <row r="866" spans="1:1" ht="12.75" customHeight="1">
      <c r="A866" s="71"/>
    </row>
    <row r="867" spans="1:1" ht="12.75" customHeight="1">
      <c r="A867" s="71"/>
    </row>
    <row r="868" spans="1:1" ht="12.75" customHeight="1">
      <c r="A868" s="71"/>
    </row>
    <row r="869" spans="1:1" ht="12.75" customHeight="1">
      <c r="A869" s="71"/>
    </row>
    <row r="870" spans="1:1" ht="12.75" customHeight="1">
      <c r="A870" s="71"/>
    </row>
    <row r="871" spans="1:1" ht="12.75" customHeight="1">
      <c r="A871" s="71"/>
    </row>
    <row r="872" spans="1:1" ht="12.75" customHeight="1">
      <c r="A872" s="71"/>
    </row>
    <row r="873" spans="1:1" ht="12.75" customHeight="1">
      <c r="A873" s="71"/>
    </row>
    <row r="874" spans="1:1" ht="12.75" customHeight="1">
      <c r="A874" s="71"/>
    </row>
    <row r="875" spans="1:1" ht="12.75" customHeight="1">
      <c r="A875" s="71"/>
    </row>
    <row r="876" spans="1:1" ht="12.75" customHeight="1">
      <c r="A876" s="71"/>
    </row>
    <row r="877" spans="1:1" ht="12.75" customHeight="1">
      <c r="A877" s="71"/>
    </row>
    <row r="878" spans="1:1" ht="12.75" customHeight="1">
      <c r="A878" s="71"/>
    </row>
    <row r="879" spans="1:1" ht="12.75" customHeight="1">
      <c r="A879" s="71"/>
    </row>
    <row r="880" spans="1:1" ht="12.75" customHeight="1">
      <c r="A880" s="71"/>
    </row>
    <row r="881" spans="1:1" ht="12.75" customHeight="1">
      <c r="A881" s="71"/>
    </row>
    <row r="882" spans="1:1" ht="12.75" customHeight="1">
      <c r="A882" s="71"/>
    </row>
    <row r="883" spans="1:1" ht="12.75" customHeight="1">
      <c r="A883" s="71"/>
    </row>
    <row r="884" spans="1:1" ht="12.75" customHeight="1">
      <c r="A884" s="71"/>
    </row>
    <row r="885" spans="1:1" ht="12.75" customHeight="1">
      <c r="A885" s="71"/>
    </row>
    <row r="886" spans="1:1" ht="12.75" customHeight="1">
      <c r="A886" s="71"/>
    </row>
    <row r="887" spans="1:1" ht="12.75" customHeight="1">
      <c r="A887" s="71"/>
    </row>
    <row r="888" spans="1:1" ht="12.75" customHeight="1">
      <c r="A888" s="71"/>
    </row>
    <row r="889" spans="1:1" ht="12.75" customHeight="1">
      <c r="A889" s="71"/>
    </row>
    <row r="890" spans="1:1" ht="12.75" customHeight="1">
      <c r="A890" s="71"/>
    </row>
    <row r="891" spans="1:1" ht="12.75" customHeight="1">
      <c r="A891" s="71"/>
    </row>
    <row r="892" spans="1:1" ht="12.75" customHeight="1">
      <c r="A892" s="71"/>
    </row>
    <row r="893" spans="1:1" ht="12.75" customHeight="1">
      <c r="A893" s="71"/>
    </row>
    <row r="894" spans="1:1" ht="12.75" customHeight="1">
      <c r="A894" s="71"/>
    </row>
    <row r="895" spans="1:1" ht="12.75" customHeight="1">
      <c r="A895" s="71"/>
    </row>
    <row r="896" spans="1:1" ht="12.75" customHeight="1">
      <c r="A896" s="71"/>
    </row>
    <row r="897" spans="1:1" ht="12.75" customHeight="1">
      <c r="A897" s="71"/>
    </row>
    <row r="898" spans="1:1" ht="12.75" customHeight="1">
      <c r="A898" s="71"/>
    </row>
    <row r="899" spans="1:1" ht="12.75" customHeight="1">
      <c r="A899" s="71"/>
    </row>
    <row r="900" spans="1:1" ht="12.75" customHeight="1">
      <c r="A900" s="71"/>
    </row>
    <row r="901" spans="1:1" ht="12.75" customHeight="1">
      <c r="A901" s="71"/>
    </row>
    <row r="902" spans="1:1" ht="12.75" customHeight="1">
      <c r="A902" s="71"/>
    </row>
    <row r="903" spans="1:1" ht="12.75" customHeight="1">
      <c r="A903" s="71"/>
    </row>
    <row r="904" spans="1:1" ht="12.75" customHeight="1">
      <c r="A904" s="71"/>
    </row>
    <row r="905" spans="1:1" ht="12.75" customHeight="1">
      <c r="A905" s="71"/>
    </row>
    <row r="906" spans="1:1" ht="12.75" customHeight="1">
      <c r="A906" s="71"/>
    </row>
    <row r="907" spans="1:1" ht="12.75" customHeight="1">
      <c r="A907" s="71"/>
    </row>
    <row r="908" spans="1:1" ht="12.75" customHeight="1">
      <c r="A908" s="71"/>
    </row>
    <row r="909" spans="1:1" ht="12.75" customHeight="1">
      <c r="A909" s="71"/>
    </row>
    <row r="910" spans="1:1" ht="12.75" customHeight="1">
      <c r="A910" s="71"/>
    </row>
    <row r="911" spans="1:1" ht="12.75" customHeight="1">
      <c r="A911" s="71"/>
    </row>
    <row r="912" spans="1:1" ht="12.75" customHeight="1">
      <c r="A912" s="71"/>
    </row>
    <row r="913" spans="1:1" ht="12.75" customHeight="1">
      <c r="A913" s="71"/>
    </row>
    <row r="914" spans="1:1" ht="12.75" customHeight="1">
      <c r="A914" s="71"/>
    </row>
    <row r="915" spans="1:1" ht="12.75" customHeight="1">
      <c r="A915" s="71"/>
    </row>
    <row r="916" spans="1:1" ht="12.75" customHeight="1">
      <c r="A916" s="71"/>
    </row>
    <row r="917" spans="1:1" ht="12.75" customHeight="1">
      <c r="A917" s="71"/>
    </row>
    <row r="918" spans="1:1" ht="12.75" customHeight="1">
      <c r="A918" s="71"/>
    </row>
    <row r="919" spans="1:1" ht="12.75" customHeight="1">
      <c r="A919" s="71"/>
    </row>
    <row r="920" spans="1:1" ht="12.75" customHeight="1">
      <c r="A920" s="71"/>
    </row>
    <row r="921" spans="1:1" ht="12.75" customHeight="1">
      <c r="A921" s="71"/>
    </row>
    <row r="922" spans="1:1" ht="12.75" customHeight="1">
      <c r="A922" s="71"/>
    </row>
    <row r="923" spans="1:1" ht="12.75" customHeight="1">
      <c r="A923" s="71"/>
    </row>
    <row r="924" spans="1:1" ht="12.75" customHeight="1">
      <c r="A924" s="71"/>
    </row>
    <row r="925" spans="1:1" ht="12.75" customHeight="1">
      <c r="A925" s="71"/>
    </row>
    <row r="926" spans="1:1" ht="12.75" customHeight="1">
      <c r="A926" s="71"/>
    </row>
    <row r="927" spans="1:1" ht="12.75" customHeight="1">
      <c r="A927" s="71"/>
    </row>
    <row r="928" spans="1:1" ht="12.75" customHeight="1">
      <c r="A928" s="71"/>
    </row>
    <row r="929" spans="1:1" ht="12.75" customHeight="1">
      <c r="A929" s="71"/>
    </row>
    <row r="930" spans="1:1" ht="12.75" customHeight="1">
      <c r="A930" s="71"/>
    </row>
    <row r="931" spans="1:1" ht="12.75" customHeight="1">
      <c r="A931" s="71"/>
    </row>
    <row r="932" spans="1:1" ht="12.75" customHeight="1">
      <c r="A932" s="71"/>
    </row>
    <row r="933" spans="1:1" ht="12.75" customHeight="1">
      <c r="A933" s="71"/>
    </row>
    <row r="934" spans="1:1" ht="12.75" customHeight="1">
      <c r="A934" s="71"/>
    </row>
    <row r="935" spans="1:1" ht="12.75" customHeight="1">
      <c r="A935" s="71"/>
    </row>
    <row r="936" spans="1:1" ht="12.75" customHeight="1">
      <c r="A936" s="71"/>
    </row>
    <row r="937" spans="1:1" ht="12.75" customHeight="1">
      <c r="A937" s="71"/>
    </row>
    <row r="938" spans="1:1" ht="12.75" customHeight="1">
      <c r="A938" s="71"/>
    </row>
    <row r="939" spans="1:1" ht="12.75" customHeight="1">
      <c r="A939" s="71"/>
    </row>
    <row r="940" spans="1:1" ht="12.75" customHeight="1">
      <c r="A940" s="71"/>
    </row>
    <row r="941" spans="1:1" ht="12.75" customHeight="1">
      <c r="A941" s="71"/>
    </row>
    <row r="942" spans="1:1" ht="12.75" customHeight="1">
      <c r="A942" s="71"/>
    </row>
    <row r="943" spans="1:1" ht="12.75" customHeight="1">
      <c r="A943" s="71"/>
    </row>
    <row r="944" spans="1:1" ht="12.75" customHeight="1">
      <c r="A944" s="71"/>
    </row>
    <row r="945" spans="1:1" ht="12.75" customHeight="1">
      <c r="A945" s="71"/>
    </row>
    <row r="946" spans="1:1" ht="12.75" customHeight="1">
      <c r="A946" s="71"/>
    </row>
    <row r="947" spans="1:1" ht="12.75" customHeight="1">
      <c r="A947" s="71"/>
    </row>
    <row r="948" spans="1:1" ht="12.75" customHeight="1">
      <c r="A948" s="71"/>
    </row>
    <row r="949" spans="1:1" ht="12.75" customHeight="1">
      <c r="A949" s="71"/>
    </row>
    <row r="950" spans="1:1" ht="12.75" customHeight="1">
      <c r="A950" s="71"/>
    </row>
    <row r="951" spans="1:1" ht="12.75" customHeight="1">
      <c r="A951" s="71"/>
    </row>
    <row r="952" spans="1:1" ht="12.75" customHeight="1">
      <c r="A952" s="71"/>
    </row>
    <row r="953" spans="1:1" ht="12.75" customHeight="1">
      <c r="A953" s="71"/>
    </row>
    <row r="954" spans="1:1" ht="12.75" customHeight="1">
      <c r="A954" s="71"/>
    </row>
    <row r="955" spans="1:1" ht="12.75" customHeight="1">
      <c r="A955" s="71"/>
    </row>
    <row r="956" spans="1:1" ht="12.75" customHeight="1">
      <c r="A956" s="71"/>
    </row>
    <row r="957" spans="1:1" ht="12.75" customHeight="1">
      <c r="A957" s="71"/>
    </row>
    <row r="958" spans="1:1" ht="12.75" customHeight="1">
      <c r="A958" s="71"/>
    </row>
    <row r="959" spans="1:1" ht="12.75" customHeight="1">
      <c r="A959" s="71"/>
    </row>
    <row r="960" spans="1:1" ht="12.75" customHeight="1">
      <c r="A960" s="71"/>
    </row>
    <row r="961" spans="1:1" ht="12.75" customHeight="1">
      <c r="A961" s="71"/>
    </row>
    <row r="962" spans="1:1" ht="12.75" customHeight="1">
      <c r="A962" s="71"/>
    </row>
    <row r="963" spans="1:1" ht="12.75" customHeight="1">
      <c r="A963" s="71"/>
    </row>
    <row r="964" spans="1:1" ht="12.75" customHeight="1">
      <c r="A964" s="71"/>
    </row>
    <row r="965" spans="1:1" ht="12.75" customHeight="1">
      <c r="A965" s="71"/>
    </row>
    <row r="966" spans="1:1" ht="12.75" customHeight="1">
      <c r="A966" s="71"/>
    </row>
    <row r="967" spans="1:1" ht="12.75" customHeight="1">
      <c r="A967" s="71"/>
    </row>
    <row r="968" spans="1:1" ht="12.75" customHeight="1">
      <c r="A968" s="71"/>
    </row>
    <row r="969" spans="1:1" ht="12.75" customHeight="1">
      <c r="A969" s="71"/>
    </row>
    <row r="970" spans="1:1" ht="12.75" customHeight="1">
      <c r="A970" s="71"/>
    </row>
    <row r="971" spans="1:1" ht="12.75" customHeight="1">
      <c r="A971" s="71"/>
    </row>
    <row r="972" spans="1:1" ht="12.75" customHeight="1">
      <c r="A972" s="71"/>
    </row>
    <row r="973" spans="1:1" ht="12.75" customHeight="1">
      <c r="A973" s="71"/>
    </row>
    <row r="974" spans="1:1" ht="12.75" customHeight="1">
      <c r="A974" s="71"/>
    </row>
    <row r="975" spans="1:1" ht="12.75" customHeight="1">
      <c r="A975" s="71"/>
    </row>
    <row r="976" spans="1:1" ht="12.75" customHeight="1">
      <c r="A976" s="71"/>
    </row>
    <row r="977" spans="1:1" ht="12.75" customHeight="1">
      <c r="A977" s="71"/>
    </row>
    <row r="978" spans="1:1" ht="12.75" customHeight="1">
      <c r="A978" s="71"/>
    </row>
    <row r="979" spans="1:1" ht="12.75" customHeight="1">
      <c r="A979" s="71"/>
    </row>
    <row r="980" spans="1:1" ht="12.75" customHeight="1">
      <c r="A980" s="71"/>
    </row>
    <row r="981" spans="1:1" ht="12.75" customHeight="1">
      <c r="A981" s="71"/>
    </row>
    <row r="982" spans="1:1" ht="12.75" customHeight="1">
      <c r="A982" s="71"/>
    </row>
    <row r="983" spans="1:1" ht="12.75" customHeight="1">
      <c r="A983" s="71"/>
    </row>
    <row r="984" spans="1:1" ht="12.75" customHeight="1">
      <c r="A984" s="71"/>
    </row>
    <row r="985" spans="1:1" ht="12.75" customHeight="1">
      <c r="A985" s="71"/>
    </row>
    <row r="986" spans="1:1" ht="12.75" customHeight="1">
      <c r="A986" s="71"/>
    </row>
    <row r="987" spans="1:1" ht="12.75" customHeight="1">
      <c r="A987" s="71"/>
    </row>
    <row r="988" spans="1:1" ht="12.75" customHeight="1">
      <c r="A988" s="71"/>
    </row>
    <row r="989" spans="1:1" ht="12.75" customHeight="1">
      <c r="A989" s="71"/>
    </row>
    <row r="990" spans="1:1" ht="12.75" customHeight="1">
      <c r="A990" s="71"/>
    </row>
    <row r="991" spans="1:1" ht="12.75" customHeight="1">
      <c r="A991" s="71"/>
    </row>
    <row r="992" spans="1:1" ht="12.75" customHeight="1">
      <c r="A992" s="71"/>
    </row>
    <row r="993" spans="1:1" ht="12.75" customHeight="1">
      <c r="A993" s="71"/>
    </row>
    <row r="994" spans="1:1" ht="12.75" customHeight="1">
      <c r="A994" s="71"/>
    </row>
    <row r="995" spans="1:1" ht="12.75" customHeight="1">
      <c r="A995" s="71"/>
    </row>
    <row r="996" spans="1:1" ht="12.75" customHeight="1">
      <c r="A996" s="71"/>
    </row>
    <row r="997" spans="1:1" ht="12.75" customHeight="1">
      <c r="A997" s="71"/>
    </row>
    <row r="998" spans="1:1" ht="12.75" customHeight="1">
      <c r="A998" s="71"/>
    </row>
    <row r="999" spans="1:1" ht="12.75" customHeight="1">
      <c r="A999" s="71"/>
    </row>
    <row r="1000" spans="1:1" ht="12.75" customHeight="1">
      <c r="A1000" s="71"/>
    </row>
  </sheetData>
  <mergeCells count="7">
    <mergeCell ref="P1:Q1"/>
    <mergeCell ref="V2:X2"/>
    <mergeCell ref="A1:E1"/>
    <mergeCell ref="F1:G1"/>
    <mergeCell ref="H1:I1"/>
    <mergeCell ref="J1:M1"/>
    <mergeCell ref="N1:O1"/>
  </mergeCells>
  <conditionalFormatting sqref="A4:A31">
    <cfRule type="expression" dxfId="22" priority="3">
      <formula>AND(A4&gt;0, A4&lt;=DAY(LETZTETAG(IMMONAT(A4,0))))</formula>
    </cfRule>
  </conditionalFormatting>
  <pageMargins left="0.19685039370078741" right="0.19685039370078741" top="0.19685039370078741" bottom="0.19685039370078741" header="0" footer="0"/>
  <pageSetup paperSize="9" orientation="landscape"/>
  <ignoredErrors>
    <ignoredError sqref="U3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517B3AE-E357-407A-BD84-A91FFF69D67A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DB0419E3-D234-4B07-B2B0-E4F42B0ED070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Feb!P1+28</f>
        <v>46082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Feb!X1+1</f>
        <v>3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Feb!H2+(Feb!Q32/Summen!B9)</f>
        <v>0</v>
      </c>
      <c r="I2" s="11" t="s">
        <v>7</v>
      </c>
      <c r="J2" s="13">
        <f>E2-H2</f>
        <v>10.8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Feb!U32</f>
        <v>0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5"/>
      <c r="AG2" s="9"/>
      <c r="AH2" s="10"/>
      <c r="AI2" s="10"/>
      <c r="AJ2" s="78"/>
      <c r="AK2" s="7"/>
      <c r="AL2" s="7"/>
    </row>
    <row r="3" spans="1:38" ht="69.75" customHeight="1">
      <c r="A3" s="22" t="s">
        <v>10</v>
      </c>
      <c r="B3" s="147"/>
      <c r="C3" s="93"/>
      <c r="D3" s="94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46082</v>
      </c>
      <c r="B4" s="159" t="str">
        <f>IFERROR(VLOOKUP(A4, Feiertage!$B:$C, 2, 0), IF(OR(WEEKDAY(A4,2)=6, WEEKDAY(A4,2)=7), Feiertage!$C$23, ""))</f>
        <v>* * * * * * * * Wochenende * * * * * * * * * * * * * * * * * * * * * * * * * * * * * * * * * * * * * * * * * * * * * * * *</v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44">
        <f>IF(OR(WEEKDAY(A4,2)=6,WEEKDAY(A4,2)=7),0,IFERROR(IF(VLOOKUP(A4,Feiertage!$B:$D,3,0)="ja",0,Summen!$B$9),Summen!$B$9))</f>
        <v>0</v>
      </c>
      <c r="S4" s="31">
        <f t="shared" ref="S4:S34" si="0">SUM(C4:Q4)</f>
        <v>0</v>
      </c>
      <c r="T4" s="31">
        <f t="shared" ref="T4:T34" si="1">S4-R4</f>
        <v>0</v>
      </c>
      <c r="U4" s="32">
        <f>U2+T4</f>
        <v>0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46083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v>0</v>
      </c>
      <c r="S5" s="45">
        <f t="shared" si="0"/>
        <v>0</v>
      </c>
      <c r="T5" s="45">
        <f t="shared" si="1"/>
        <v>0</v>
      </c>
      <c r="U5" s="46">
        <f t="shared" ref="U5:U34" si="8">U4+T5</f>
        <v>0</v>
      </c>
      <c r="V5" s="42"/>
      <c r="W5" s="47"/>
      <c r="X5" s="48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46084</v>
      </c>
      <c r="B6" s="159" t="str">
        <f>IFERROR(VLOOKUP(A6, Feiertage!$B:$C, 2, 0), IF(OR(WEEKDAY(A6,2)=6, WEEKDAY(A6,2)=7), Feiertage!$C$23, ""))</f>
        <v/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48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46085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48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46086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48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46087</v>
      </c>
      <c r="B9" s="42" t="str">
        <f>IFERROR(VLOOKUP(A9, Feiertage!$B:$C, 2, 0), IF(OR(WEEKDAY(A9,2)=6, WEEKDAY(A9,2)=7), Feiertage!$C$23, ""))</f>
        <v/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48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46088</v>
      </c>
      <c r="B10" s="159" t="str">
        <f>IFERROR(VLOOKUP(A10, Feiertage!$B:$C, 2, 0), IF(OR(WEEKDAY(A10,2)=6, WEEKDAY(A10,2)=7), Feiertage!$C$23, ""))</f>
        <v>* * * * * * * * Wochenende * * * * * * * * * * * * * * * * * * * * * * * * * * * * * * * * * * * * * * * * * * * * * * * *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48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46089</v>
      </c>
      <c r="B11" s="42" t="str">
        <f>IFERROR(VLOOKUP(A11, Feiertage!$B:$C, 2, 0), IF(OR(WEEKDAY(A11,2)=6, WEEKDAY(A11,2)=7), Feiertage!$C$23, ""))</f>
        <v>* * * * * * * * Wochenende * * * * * * * * * * * * * * * * * * * * * * * * * * * * * * * * * * * * * * * * * * * * * * * *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48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46090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48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46091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48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46092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48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46093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48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46094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48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46095</v>
      </c>
      <c r="B17" s="42" t="str">
        <f>IFERROR(VLOOKUP(A17, Feiertage!$B:$C, 2, 0), IF(OR(WEEKDAY(A17,2)=6, WEEKDAY(A17,2)=7), Feiertage!$C$23, ""))</f>
        <v>* * * * * * * * Wochenende * * * * * * * * * * * * * * * * * * * * * * * * * * * * * * * * * * * * * * * * * * * * * * * *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48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46096</v>
      </c>
      <c r="B18" s="159" t="str">
        <f>IFERROR(VLOOKUP(A18, Feiertage!$B:$C, 2, 0), IF(OR(WEEKDAY(A18,2)=6, WEEKDAY(A18,2)=7), Feiertage!$C$23, ""))</f>
        <v>* * * * * * * * Wochenende * * * * * * * * * * * * * * * * * * * * * * * * * * * * * * * * * * * * * * * * * * * * * * * *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0</v>
      </c>
      <c r="S18" s="45">
        <f t="shared" si="0"/>
        <v>0</v>
      </c>
      <c r="T18" s="45">
        <f t="shared" si="1"/>
        <v>0</v>
      </c>
      <c r="U18" s="46">
        <f t="shared" si="8"/>
        <v>0</v>
      </c>
      <c r="V18" s="159"/>
      <c r="W18" s="161"/>
      <c r="X18" s="48">
        <f>V18+W18*Summen!$B$44</f>
        <v>0</v>
      </c>
      <c r="Y18" s="53"/>
      <c r="Z18" s="54"/>
      <c r="AA18" s="54"/>
      <c r="AB18" s="54"/>
      <c r="AC18" s="54"/>
      <c r="AD18" s="54"/>
      <c r="AE18" s="54"/>
      <c r="AF18" s="55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46097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v>0</v>
      </c>
      <c r="S19" s="45">
        <f t="shared" si="0"/>
        <v>0</v>
      </c>
      <c r="T19" s="45">
        <f t="shared" si="1"/>
        <v>0</v>
      </c>
      <c r="U19" s="46">
        <f t="shared" si="8"/>
        <v>0</v>
      </c>
      <c r="V19" s="42"/>
      <c r="W19" s="47"/>
      <c r="X19" s="48">
        <f>V19+W19*Summen!$B$44</f>
        <v>0</v>
      </c>
      <c r="Y19" s="162"/>
      <c r="Z19" s="49"/>
      <c r="AA19" s="49"/>
      <c r="AB19" s="49"/>
      <c r="AC19" s="49"/>
      <c r="AD19" s="49"/>
      <c r="AE19" s="49"/>
      <c r="AF19" s="163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46098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v>0</v>
      </c>
      <c r="S20" s="45">
        <f t="shared" si="0"/>
        <v>0</v>
      </c>
      <c r="T20" s="45">
        <f t="shared" si="1"/>
        <v>0</v>
      </c>
      <c r="U20" s="46">
        <f t="shared" si="8"/>
        <v>0</v>
      </c>
      <c r="V20" s="159"/>
      <c r="W20" s="161"/>
      <c r="X20" s="48">
        <f>V20+W20*Summen!$B$44</f>
        <v>0</v>
      </c>
      <c r="Y20" s="53"/>
      <c r="Z20" s="54"/>
      <c r="AA20" s="54"/>
      <c r="AB20" s="54"/>
      <c r="AC20" s="54"/>
      <c r="AD20" s="54"/>
      <c r="AE20" s="54"/>
      <c r="AF20" s="55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46099</v>
      </c>
      <c r="B21" s="42" t="str">
        <f>IFERROR(VLOOKUP(A21, Feiertage!$B:$C, 2, 0), IF(OR(WEEKDAY(A21,2)=6, WEEKDAY(A21,2)=7), Feiertage!$C$23, ""))</f>
        <v/>
      </c>
      <c r="C21" s="176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v>0</v>
      </c>
      <c r="S21" s="45">
        <f t="shared" si="0"/>
        <v>0</v>
      </c>
      <c r="T21" s="45">
        <f t="shared" si="1"/>
        <v>0</v>
      </c>
      <c r="U21" s="46">
        <f t="shared" si="8"/>
        <v>0</v>
      </c>
      <c r="V21" s="42"/>
      <c r="W21" s="47"/>
      <c r="X21" s="48">
        <f>V21+W21*Summen!$B$44</f>
        <v>0</v>
      </c>
      <c r="Y21" s="162"/>
      <c r="Z21" s="49"/>
      <c r="AA21" s="49"/>
      <c r="AB21" s="49"/>
      <c r="AC21" s="49"/>
      <c r="AD21" s="49"/>
      <c r="AE21" s="49"/>
      <c r="AF21" s="163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46100</v>
      </c>
      <c r="B22" s="159" t="str">
        <f>IFERROR(VLOOKUP(A22, Feiertage!$B:$C, 2, 0), IF(OR(WEEKDAY(A22,2)=6, WEEKDAY(A22,2)=7), Feiertage!$C$23, ""))</f>
        <v>* * * * * * * * Josefstag * * * * * * * * * * * * * * * * * * * * * * * * * * * * * * * * * * * * * * * * * * * * * * * * * *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0</v>
      </c>
      <c r="S22" s="45">
        <f t="shared" si="0"/>
        <v>0</v>
      </c>
      <c r="T22" s="45">
        <f t="shared" si="1"/>
        <v>0</v>
      </c>
      <c r="U22" s="46">
        <f t="shared" si="8"/>
        <v>0</v>
      </c>
      <c r="V22" s="159"/>
      <c r="W22" s="161"/>
      <c r="X22" s="48">
        <f>V22+W22*Summen!$B$44</f>
        <v>0</v>
      </c>
      <c r="Y22" s="53"/>
      <c r="Z22" s="54"/>
      <c r="AA22" s="54"/>
      <c r="AB22" s="54"/>
      <c r="AC22" s="54"/>
      <c r="AD22" s="54"/>
      <c r="AE22" s="54"/>
      <c r="AF22" s="55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46101</v>
      </c>
      <c r="B23" s="42" t="str">
        <f>IFERROR(VLOOKUP(A23, Feiertage!$B:$C, 2, 0), IF(OR(WEEKDAY(A23,2)=6, WEEKDAY(A23,2)=7), Feiertage!$C$23, ""))</f>
        <v/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7"/>
      <c r="R23" s="44">
        <v>0</v>
      </c>
      <c r="S23" s="45">
        <f t="shared" si="0"/>
        <v>0</v>
      </c>
      <c r="T23" s="45">
        <f t="shared" si="1"/>
        <v>0</v>
      </c>
      <c r="U23" s="46">
        <f t="shared" si="8"/>
        <v>0</v>
      </c>
      <c r="V23" s="42"/>
      <c r="W23" s="47"/>
      <c r="X23" s="48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46102</v>
      </c>
      <c r="B24" s="159" t="str">
        <f>IFERROR(VLOOKUP(A24, Feiertage!$B:$C, 2, 0), IF(OR(WEEKDAY(A24,2)=6, WEEKDAY(A24,2)=7), Feiertage!$C$23, ""))</f>
        <v>* * * * * * * * Wochenende * * * * * * * * * * * * * * * * * * * * * * * * * * * * * * * * * * * * * * * * * * * * * * * *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0</v>
      </c>
      <c r="S24" s="45">
        <f t="shared" si="0"/>
        <v>0</v>
      </c>
      <c r="T24" s="45">
        <f t="shared" si="1"/>
        <v>0</v>
      </c>
      <c r="U24" s="46">
        <f t="shared" si="8"/>
        <v>0</v>
      </c>
      <c r="V24" s="159"/>
      <c r="W24" s="161"/>
      <c r="X24" s="48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46103</v>
      </c>
      <c r="B25" s="42" t="str">
        <f>IFERROR(VLOOKUP(A25, Feiertage!$B:$C, 2, 0), IF(OR(WEEKDAY(A25,2)=6, WEEKDAY(A25,2)=7), Feiertage!$C$23, ""))</f>
        <v>* * * * * * * * Wochenende * * * * * * * * * * * * * * * * * * * * * * * * * * * * * * * * * * * * * * * * * * * * * * * *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0</v>
      </c>
      <c r="S25" s="45">
        <f t="shared" si="0"/>
        <v>0</v>
      </c>
      <c r="T25" s="45">
        <f t="shared" si="1"/>
        <v>0</v>
      </c>
      <c r="U25" s="46">
        <f t="shared" si="8"/>
        <v>0</v>
      </c>
      <c r="V25" s="42"/>
      <c r="W25" s="47"/>
      <c r="X25" s="48">
        <f>V25+W25*Summen!$B$44</f>
        <v>0</v>
      </c>
      <c r="Y25" s="162"/>
      <c r="Z25" s="49"/>
      <c r="AA25" s="49"/>
      <c r="AB25" s="49"/>
      <c r="AC25" s="49"/>
      <c r="AD25" s="49"/>
      <c r="AE25" s="49"/>
      <c r="AF25" s="163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46104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v>0</v>
      </c>
      <c r="S26" s="45">
        <f t="shared" si="0"/>
        <v>0</v>
      </c>
      <c r="T26" s="45">
        <f t="shared" si="1"/>
        <v>0</v>
      </c>
      <c r="U26" s="46">
        <f t="shared" si="8"/>
        <v>0</v>
      </c>
      <c r="V26" s="159"/>
      <c r="W26" s="161"/>
      <c r="X26" s="48">
        <f>V26+W26*Summen!$B$44</f>
        <v>0</v>
      </c>
      <c r="Y26" s="53"/>
      <c r="Z26" s="54"/>
      <c r="AA26" s="54"/>
      <c r="AB26" s="54"/>
      <c r="AC26" s="54"/>
      <c r="AD26" s="54"/>
      <c r="AE26" s="54"/>
      <c r="AF26" s="55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46105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v>0</v>
      </c>
      <c r="S27" s="45">
        <f t="shared" si="0"/>
        <v>0</v>
      </c>
      <c r="T27" s="45">
        <f t="shared" si="1"/>
        <v>0</v>
      </c>
      <c r="U27" s="46">
        <f t="shared" si="8"/>
        <v>0</v>
      </c>
      <c r="V27" s="42"/>
      <c r="W27" s="47"/>
      <c r="X27" s="48">
        <f>V27+W27*Summen!$B$44</f>
        <v>0</v>
      </c>
      <c r="Y27" s="162"/>
      <c r="Z27" s="49"/>
      <c r="AA27" s="49"/>
      <c r="AB27" s="49"/>
      <c r="AC27" s="49"/>
      <c r="AD27" s="49"/>
      <c r="AE27" s="49"/>
      <c r="AF27" s="163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46106</v>
      </c>
      <c r="B28" s="159" t="str">
        <f>IFERROR(VLOOKUP(A28, Feiertage!$B:$C, 2, 0), IF(OR(WEEKDAY(A28,2)=6, WEEKDAY(A28,2)=7), Feiertage!$C$23, ""))</f>
        <v/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v>0</v>
      </c>
      <c r="S28" s="45">
        <f t="shared" si="0"/>
        <v>0</v>
      </c>
      <c r="T28" s="45">
        <f t="shared" si="1"/>
        <v>0</v>
      </c>
      <c r="U28" s="46">
        <f t="shared" si="8"/>
        <v>0</v>
      </c>
      <c r="V28" s="159"/>
      <c r="W28" s="161"/>
      <c r="X28" s="48">
        <f>V28+W28*Summen!$B$44</f>
        <v>0</v>
      </c>
      <c r="Y28" s="53"/>
      <c r="Z28" s="54"/>
      <c r="AA28" s="54"/>
      <c r="AB28" s="54"/>
      <c r="AC28" s="54"/>
      <c r="AD28" s="54"/>
      <c r="AE28" s="54"/>
      <c r="AF28" s="55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46107</v>
      </c>
      <c r="B29" s="42" t="str">
        <f>IFERROR(VLOOKUP(A29, Feiertage!$B:$C, 2, 0), IF(OR(WEEKDAY(A29,2)=6, WEEKDAY(A29,2)=7), Feiertage!$C$23, ""))</f>
        <v/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v>0</v>
      </c>
      <c r="S29" s="45">
        <f t="shared" si="0"/>
        <v>0</v>
      </c>
      <c r="T29" s="45">
        <f t="shared" si="1"/>
        <v>0</v>
      </c>
      <c r="U29" s="46">
        <f t="shared" si="8"/>
        <v>0</v>
      </c>
      <c r="V29" s="42"/>
      <c r="W29" s="47"/>
      <c r="X29" s="48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46108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v>0</v>
      </c>
      <c r="S30" s="45">
        <f t="shared" si="0"/>
        <v>0</v>
      </c>
      <c r="T30" s="45">
        <f t="shared" si="1"/>
        <v>0</v>
      </c>
      <c r="U30" s="46">
        <f t="shared" si="8"/>
        <v>0</v>
      </c>
      <c r="V30" s="159"/>
      <c r="W30" s="161"/>
      <c r="X30" s="48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46109</v>
      </c>
      <c r="B31" s="42" t="str">
        <f>IFERROR(VLOOKUP(A31, Feiertage!$B:$C, 2, 0), IF(OR(WEEKDAY(A31,2)=6, WEEKDAY(A31,2)=7), Feiertage!$C$23, ""))</f>
        <v>* * * * * * * * Wochenende * * * * * * * * * * * * * * * * * * * * * * * * * * * * * * * * * * * * * * * * * * * * * * * *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0</v>
      </c>
      <c r="S31" s="45">
        <f t="shared" si="0"/>
        <v>0</v>
      </c>
      <c r="T31" s="45">
        <f t="shared" si="1"/>
        <v>0</v>
      </c>
      <c r="U31" s="46">
        <f t="shared" si="8"/>
        <v>0</v>
      </c>
      <c r="V31" s="42"/>
      <c r="W31" s="47"/>
      <c r="X31" s="48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46110</v>
      </c>
      <c r="B32" s="159" t="str">
        <f>IFERROR(VLOOKUP(A32, Feiertage!$B:$C, 2, 0), IF(OR(WEEKDAY(A32,2)=6, WEEKDAY(A32,2)=7), Feiertage!$C$23, ""))</f>
        <v>* * * * * * * * Wochenende * * * * * * * * * * * * * * * * * * * * * * * * * * * * * * * * * * * * * * * * * * * * * * * *</v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0</v>
      </c>
      <c r="S32" s="45">
        <f t="shared" si="0"/>
        <v>0</v>
      </c>
      <c r="T32" s="45">
        <f t="shared" si="1"/>
        <v>0</v>
      </c>
      <c r="U32" s="46">
        <f t="shared" si="8"/>
        <v>0</v>
      </c>
      <c r="V32" s="159"/>
      <c r="W32" s="161"/>
      <c r="X32" s="48">
        <f>V32+W32*Summen!$B$44</f>
        <v>0</v>
      </c>
      <c r="Y32" s="53"/>
      <c r="Z32" s="54"/>
      <c r="AA32" s="54"/>
      <c r="AB32" s="54"/>
      <c r="AC32" s="54"/>
      <c r="AD32" s="54"/>
      <c r="AE32" s="54"/>
      <c r="AF32" s="55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39">
        <f t="shared" si="7"/>
        <v>46111</v>
      </c>
      <c r="B33" s="42" t="str">
        <f>IFERROR(VLOOKUP(A33, Feiertage!$B:$C, 2, 0), IF(OR(WEEKDAY(A33,2)=6, WEEKDAY(A33,2)=7), Feiertage!$C$23, ""))</f>
        <v/>
      </c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7"/>
      <c r="R33" s="44">
        <v>0</v>
      </c>
      <c r="S33" s="45">
        <f t="shared" si="0"/>
        <v>0</v>
      </c>
      <c r="T33" s="45">
        <f t="shared" si="1"/>
        <v>0</v>
      </c>
      <c r="U33" s="46">
        <f t="shared" si="8"/>
        <v>0</v>
      </c>
      <c r="V33" s="42"/>
      <c r="W33" s="47"/>
      <c r="X33" s="48">
        <f>V33+W33*Summen!$B$44</f>
        <v>0</v>
      </c>
      <c r="Y33" s="162"/>
      <c r="Z33" s="49"/>
      <c r="AA33" s="49"/>
      <c r="AB33" s="49"/>
      <c r="AC33" s="49"/>
      <c r="AD33" s="49"/>
      <c r="AE33" s="49"/>
      <c r="AF33" s="163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</row>
    <row r="34" spans="1:38" ht="13.5" customHeight="1">
      <c r="A34" s="60">
        <f t="shared" si="7"/>
        <v>46112</v>
      </c>
      <c r="B34" s="166" t="str">
        <f>IFERROR(VLOOKUP(A34, Feiertage!$B:$C, 2, 0), IF(OR(WEEKDAY(A34,2)=6, WEEKDAY(A34,2)=7), Feiertage!$C$23, ""))</f>
        <v/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98"/>
      <c r="R34" s="44">
        <v>0</v>
      </c>
      <c r="S34" s="61">
        <f t="shared" si="0"/>
        <v>0</v>
      </c>
      <c r="T34" s="61">
        <f t="shared" si="1"/>
        <v>0</v>
      </c>
      <c r="U34" s="62">
        <f t="shared" si="8"/>
        <v>0</v>
      </c>
      <c r="V34" s="166"/>
      <c r="W34" s="99"/>
      <c r="X34" s="48">
        <f>V34+W34*Summen!$B$44</f>
        <v>0</v>
      </c>
      <c r="Y34" s="100"/>
      <c r="Z34" s="101"/>
      <c r="AA34" s="101"/>
      <c r="AB34" s="101"/>
      <c r="AC34" s="101"/>
      <c r="AD34" s="101"/>
      <c r="AE34" s="101"/>
      <c r="AF34" s="101"/>
      <c r="AG34" s="63">
        <f t="shared" si="2"/>
        <v>0</v>
      </c>
      <c r="AH34" s="61">
        <f t="shared" si="3"/>
        <v>0</v>
      </c>
      <c r="AI34" s="61">
        <f t="shared" si="4"/>
        <v>0</v>
      </c>
      <c r="AJ34" s="62">
        <f t="shared" si="5"/>
        <v>0</v>
      </c>
      <c r="AL34" s="37">
        <f t="shared" si="6"/>
        <v>0</v>
      </c>
    </row>
    <row r="35" spans="1:38" ht="18" customHeight="1">
      <c r="A35" s="64" t="s">
        <v>32</v>
      </c>
      <c r="B35" s="168"/>
      <c r="C35" s="102">
        <f t="shared" ref="C35:T35" si="9">SUM(C4:C34)</f>
        <v>0</v>
      </c>
      <c r="D35" s="168">
        <f t="shared" si="9"/>
        <v>0</v>
      </c>
      <c r="E35" s="168">
        <f t="shared" si="9"/>
        <v>0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0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0</v>
      </c>
      <c r="S35" s="169">
        <f t="shared" si="9"/>
        <v>0</v>
      </c>
      <c r="T35" s="169">
        <f t="shared" si="9"/>
        <v>0</v>
      </c>
      <c r="U35" s="67">
        <f>U34</f>
        <v>0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103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67">
        <f>SUM(AJ4:AJ34)</f>
        <v>0</v>
      </c>
      <c r="AL35" s="37">
        <f t="shared" si="6"/>
        <v>0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2C4D65B-B44B-4A86-AFAD-001E138279F5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DC694AEE-7F15-4FC8-B693-CE28400071FD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Mar!P1+31</f>
        <v>46113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Mar!X1+1</f>
        <v>4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Mar!H2+(Mar!Q35/Summen!B9)</f>
        <v>0</v>
      </c>
      <c r="I2" s="11" t="s">
        <v>7</v>
      </c>
      <c r="J2" s="13">
        <f>E2-H2</f>
        <v>10.8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Mar!U35</f>
        <v>0</v>
      </c>
      <c r="V2" s="190" t="s">
        <v>9</v>
      </c>
      <c r="W2" s="191"/>
      <c r="X2" s="189"/>
      <c r="Y2" s="104"/>
      <c r="Z2" s="17"/>
      <c r="AA2" s="17"/>
      <c r="AB2" s="17"/>
      <c r="AC2" s="17"/>
      <c r="AD2" s="17"/>
      <c r="AE2" s="17"/>
      <c r="AF2" s="18"/>
      <c r="AG2" s="1"/>
      <c r="AH2" s="18"/>
      <c r="AI2" s="18"/>
      <c r="AJ2" s="105"/>
      <c r="AK2" s="6"/>
      <c r="AL2" s="7"/>
    </row>
    <row r="3" spans="1:38" ht="69.75" customHeight="1">
      <c r="A3" s="22" t="s">
        <v>10</v>
      </c>
      <c r="B3" s="147"/>
      <c r="C3" s="93"/>
      <c r="D3" s="94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106" t="s">
        <v>27</v>
      </c>
      <c r="AH3" s="178" t="s">
        <v>28</v>
      </c>
      <c r="AI3" s="178" t="s">
        <v>29</v>
      </c>
      <c r="AJ3" s="174" t="s">
        <v>30</v>
      </c>
      <c r="AK3" s="6"/>
      <c r="AL3" s="28" t="s">
        <v>31</v>
      </c>
    </row>
    <row r="4" spans="1:38" ht="13.5" customHeight="1">
      <c r="A4" s="29">
        <f>P1</f>
        <v>46113</v>
      </c>
      <c r="B4" s="159" t="str">
        <f>IFERROR(VLOOKUP(A4, Feiertage!$B:$C, 2, 0), IF(OR(WEEKDAY(A4,2)=6, WEEKDAY(A4,2)=7), Feiertage!$C$23, ""))</f>
        <v/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60"/>
      <c r="R4" s="107">
        <v>0</v>
      </c>
      <c r="S4" s="31">
        <f t="shared" ref="S4:S33" si="0">SUM(C4:Q4)</f>
        <v>0</v>
      </c>
      <c r="T4" s="31">
        <f t="shared" ref="T4:T33" si="1">S4-R4</f>
        <v>0</v>
      </c>
      <c r="U4" s="32">
        <f>U2+T4</f>
        <v>0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3" si="2">(Z4-Y4)+(AB4-AA4)+(AD4-AC4)+(AF4-AE4)</f>
        <v>0</v>
      </c>
      <c r="AH4" s="31">
        <f t="shared" ref="AH4:AH33" si="3">HOUR(AG4)</f>
        <v>0</v>
      </c>
      <c r="AI4" s="31">
        <f t="shared" ref="AI4:AI33" si="4">MINUTE(AG4)/60</f>
        <v>0</v>
      </c>
      <c r="AJ4" s="32">
        <f t="shared" ref="AJ4:AJ33" si="5">AH4+AI4</f>
        <v>0</v>
      </c>
      <c r="AL4" s="37">
        <f t="shared" ref="AL4:AL34" si="6">SUM(C4:Q4)-AJ4</f>
        <v>0</v>
      </c>
    </row>
    <row r="5" spans="1:38" ht="13.5" customHeight="1">
      <c r="A5" s="39">
        <f t="shared" ref="A5:A33" si="7">A4+1</f>
        <v>46114</v>
      </c>
      <c r="B5" s="42" t="str">
        <f>IFERROR(VLOOKUP(A5, Feiertage!$B:$C, 2, 0), IF(OR(WEEKDAY(A5,2)=6, WEEKDAY(A5,2)=7), Feiertage!$C$23, ""))</f>
        <v/>
      </c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7"/>
      <c r="R5" s="44">
        <v>0</v>
      </c>
      <c r="S5" s="45">
        <f t="shared" si="0"/>
        <v>0</v>
      </c>
      <c r="T5" s="45">
        <f t="shared" si="1"/>
        <v>0</v>
      </c>
      <c r="U5" s="46">
        <f t="shared" ref="U5:U33" si="8">U4+T5</f>
        <v>0</v>
      </c>
      <c r="V5" s="42"/>
      <c r="W5" s="47"/>
      <c r="X5" s="48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46115</v>
      </c>
      <c r="B6" s="159" t="str">
        <f>IFERROR(VLOOKUP(A6, Feiertage!$B:$C, 2, 0), IF(OR(WEEKDAY(A6,2)=6, WEEKDAY(A6,2)=7), Feiertage!$C$23, ""))</f>
        <v>* * * * * * * * Karfreitag * * * * * * * * * * * * * * * * * * * * * * * * * * * * * * * * * * * * * * * * * * * * * * * * * *</v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48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46116</v>
      </c>
      <c r="B7" s="42" t="str">
        <f>IFERROR(VLOOKUP(A7, Feiertage!$B:$C, 2, 0), IF(OR(WEEKDAY(A7,2)=6, WEEKDAY(A7,2)=7), Feiertage!$C$23, ""))</f>
        <v>* * * * * * * * Wochenende * * * * * * * * * * * * * * * * * * * * * * * * * * * * * * * * * * * * * * * * * * * * * * * *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48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46117</v>
      </c>
      <c r="B8" s="159" t="str">
        <f>IFERROR(VLOOKUP(A8, Feiertage!$B:$C, 2, 0), IF(OR(WEEKDAY(A8,2)=6, WEEKDAY(A8,2)=7), Feiertage!$C$23, ""))</f>
        <v>* * * * * * * * Wochenende * * * * * * * * * * * * * * * * * * * * * * * * * * * * * * * * * * * * * * * * * * * * * * * *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f>IF(OR(WEEKDAY(A8,2)=6,WEEKDAY(A8,2)=7),0,IFERROR(IF(VLOOKUP(A8,Feiertage!$B:$D,3,0)="ja",0,Summen!$B$9),Summen!$B$9))</f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48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46118</v>
      </c>
      <c r="B9" s="42" t="str">
        <f>IFERROR(VLOOKUP(A9, Feiertage!$B:$C, 2, 0), IF(OR(WEEKDAY(A9,2)=6, WEEKDAY(A9,2)=7), Feiertage!$C$23, ""))</f>
        <v>* * * * * * * * Ostermontag * * * * * * * * * * * * * * * * * * * * * * * * * * * * * * * * * * * * * * * * * * * * * * * *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48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46119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48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46120</v>
      </c>
      <c r="B11" s="42" t="str">
        <f>IFERROR(VLOOKUP(A11, Feiertage!$B:$C, 2, 0), IF(OR(WEEKDAY(A11,2)=6, WEEKDAY(A11,2)=7), Feiertage!$C$23, ""))</f>
        <v/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48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46121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48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46122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48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46123</v>
      </c>
      <c r="B14" s="159" t="str">
        <f>IFERROR(VLOOKUP(A14, Feiertage!$B:$C, 2, 0), IF(OR(WEEKDAY(A14,2)=6, WEEKDAY(A14,2)=7), Feiertage!$C$23, ""))</f>
        <v>* * * * * * * * Wochenende * * * * * * * * * * * * * * * * * * * * * * * * * * * * * * * * * * * * * * * * * * * * * * * *</v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48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46124</v>
      </c>
      <c r="B15" s="42" t="str">
        <f>IFERROR(VLOOKUP(A15, Feiertage!$B:$C, 2, 0), IF(OR(WEEKDAY(A15,2)=6, WEEKDAY(A15,2)=7), Feiertage!$C$23, ""))</f>
        <v>* * * * * * * * Wochenende * * * * * * * * * * * * * * * * * * * * * * * * * * * * * * * * * * * * * * * * * * * * * * * *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48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46125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48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46126</v>
      </c>
      <c r="B17" s="42" t="str">
        <f>IFERROR(VLOOKUP(A17, Feiertage!$B:$C, 2, 0), IF(OR(WEEKDAY(A17,2)=6, WEEKDAY(A17,2)=7), Feiertage!$C$23, ""))</f>
        <v/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48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46127</v>
      </c>
      <c r="B18" s="159" t="str">
        <f>IFERROR(VLOOKUP(A18, Feiertage!$B:$C, 2, 0), IF(OR(WEEKDAY(A18,2)=6, WEEKDAY(A18,2)=7), Feiertage!$C$23, ""))</f>
        <v/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v>0</v>
      </c>
      <c r="S18" s="45">
        <f t="shared" si="0"/>
        <v>0</v>
      </c>
      <c r="T18" s="45">
        <f t="shared" si="1"/>
        <v>0</v>
      </c>
      <c r="U18" s="46">
        <f t="shared" si="8"/>
        <v>0</v>
      </c>
      <c r="V18" s="159"/>
      <c r="W18" s="161"/>
      <c r="X18" s="48">
        <f>V18+W18*Summen!$B$44</f>
        <v>0</v>
      </c>
      <c r="Y18" s="53"/>
      <c r="Z18" s="54"/>
      <c r="AA18" s="54"/>
      <c r="AB18" s="54"/>
      <c r="AC18" s="54"/>
      <c r="AD18" s="54"/>
      <c r="AE18" s="54"/>
      <c r="AF18" s="55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46128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v>0</v>
      </c>
      <c r="S19" s="45">
        <f t="shared" si="0"/>
        <v>0</v>
      </c>
      <c r="T19" s="45">
        <f t="shared" si="1"/>
        <v>0</v>
      </c>
      <c r="U19" s="46">
        <f t="shared" si="8"/>
        <v>0</v>
      </c>
      <c r="V19" s="42"/>
      <c r="W19" s="47"/>
      <c r="X19" s="48">
        <f>V19+W19*Summen!$B$44</f>
        <v>0</v>
      </c>
      <c r="Y19" s="162"/>
      <c r="Z19" s="49"/>
      <c r="AA19" s="49"/>
      <c r="AB19" s="49"/>
      <c r="AC19" s="49"/>
      <c r="AD19" s="49"/>
      <c r="AE19" s="49"/>
      <c r="AF19" s="163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46129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v>0</v>
      </c>
      <c r="S20" s="45">
        <f t="shared" si="0"/>
        <v>0</v>
      </c>
      <c r="T20" s="45">
        <f t="shared" si="1"/>
        <v>0</v>
      </c>
      <c r="U20" s="46">
        <f t="shared" si="8"/>
        <v>0</v>
      </c>
      <c r="V20" s="159"/>
      <c r="W20" s="161"/>
      <c r="X20" s="48">
        <f>V20+W20*Summen!$B$44</f>
        <v>0</v>
      </c>
      <c r="Y20" s="53"/>
      <c r="Z20" s="54"/>
      <c r="AA20" s="54"/>
      <c r="AB20" s="54"/>
      <c r="AC20" s="54"/>
      <c r="AD20" s="54"/>
      <c r="AE20" s="54"/>
      <c r="AF20" s="55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46130</v>
      </c>
      <c r="B21" s="42" t="str">
        <f>IFERROR(VLOOKUP(A21, Feiertage!$B:$C, 2, 0), IF(OR(WEEKDAY(A21,2)=6, WEEKDAY(A21,2)=7), Feiertage!$C$23, ""))</f>
        <v>* * * * * * * * Wochenende * * * * * * * * * * * * * * * * * * * * * * * * * * * * * * * * * * * * * * * * * * * * * * * *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0</v>
      </c>
      <c r="S21" s="45">
        <f t="shared" si="0"/>
        <v>0</v>
      </c>
      <c r="T21" s="45">
        <f t="shared" si="1"/>
        <v>0</v>
      </c>
      <c r="U21" s="46">
        <f t="shared" si="8"/>
        <v>0</v>
      </c>
      <c r="V21" s="42"/>
      <c r="W21" s="47"/>
      <c r="X21" s="48">
        <f>V21+W21*Summen!$B$44</f>
        <v>0</v>
      </c>
      <c r="Y21" s="162"/>
      <c r="Z21" s="49"/>
      <c r="AA21" s="49"/>
      <c r="AB21" s="49"/>
      <c r="AC21" s="49"/>
      <c r="AD21" s="49"/>
      <c r="AE21" s="49"/>
      <c r="AF21" s="163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46131</v>
      </c>
      <c r="B22" s="159" t="str">
        <f>IFERROR(VLOOKUP(A22, Feiertage!$B:$C, 2, 0), IF(OR(WEEKDAY(A22,2)=6, WEEKDAY(A22,2)=7), Feiertage!$C$23, ""))</f>
        <v>* * * * * * * * Wochenende * * * * * * * * * * * * * * * * * * * * * * * * * * * * * * * * * * * * * * * * * * * * * * * *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0</v>
      </c>
      <c r="S22" s="45">
        <f t="shared" si="0"/>
        <v>0</v>
      </c>
      <c r="T22" s="45">
        <f t="shared" si="1"/>
        <v>0</v>
      </c>
      <c r="U22" s="46">
        <f t="shared" si="8"/>
        <v>0</v>
      </c>
      <c r="V22" s="159"/>
      <c r="W22" s="161"/>
      <c r="X22" s="48">
        <f>V22+W22*Summen!$B$44</f>
        <v>0</v>
      </c>
      <c r="Y22" s="53"/>
      <c r="Z22" s="54"/>
      <c r="AA22" s="54"/>
      <c r="AB22" s="54"/>
      <c r="AC22" s="54"/>
      <c r="AD22" s="54"/>
      <c r="AE22" s="54"/>
      <c r="AF22" s="55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46132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v>0</v>
      </c>
      <c r="S23" s="45">
        <f t="shared" si="0"/>
        <v>0</v>
      </c>
      <c r="T23" s="45">
        <f t="shared" si="1"/>
        <v>0</v>
      </c>
      <c r="U23" s="46">
        <f t="shared" si="8"/>
        <v>0</v>
      </c>
      <c r="V23" s="42"/>
      <c r="W23" s="47"/>
      <c r="X23" s="48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46133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v>0</v>
      </c>
      <c r="S24" s="45">
        <f t="shared" si="0"/>
        <v>0</v>
      </c>
      <c r="T24" s="45">
        <f t="shared" si="1"/>
        <v>0</v>
      </c>
      <c r="U24" s="46">
        <f t="shared" si="8"/>
        <v>0</v>
      </c>
      <c r="V24" s="159"/>
      <c r="W24" s="161"/>
      <c r="X24" s="48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46134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v>0</v>
      </c>
      <c r="S25" s="45">
        <f t="shared" si="0"/>
        <v>0</v>
      </c>
      <c r="T25" s="45">
        <f t="shared" si="1"/>
        <v>0</v>
      </c>
      <c r="U25" s="46">
        <f t="shared" si="8"/>
        <v>0</v>
      </c>
      <c r="V25" s="42"/>
      <c r="W25" s="47"/>
      <c r="X25" s="48">
        <f>V25+W25*Summen!$B$44</f>
        <v>0</v>
      </c>
      <c r="Y25" s="162"/>
      <c r="Z25" s="49"/>
      <c r="AA25" s="49"/>
      <c r="AB25" s="49"/>
      <c r="AC25" s="49"/>
      <c r="AD25" s="49"/>
      <c r="AE25" s="49"/>
      <c r="AF25" s="163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46135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v>0</v>
      </c>
      <c r="S26" s="45">
        <f t="shared" si="0"/>
        <v>0</v>
      </c>
      <c r="T26" s="45">
        <f t="shared" si="1"/>
        <v>0</v>
      </c>
      <c r="U26" s="46">
        <f t="shared" si="8"/>
        <v>0</v>
      </c>
      <c r="V26" s="159"/>
      <c r="W26" s="161"/>
      <c r="X26" s="48">
        <f>V26+W26*Summen!$B$44</f>
        <v>0</v>
      </c>
      <c r="Y26" s="53"/>
      <c r="Z26" s="54"/>
      <c r="AA26" s="54"/>
      <c r="AB26" s="54"/>
      <c r="AC26" s="54"/>
      <c r="AD26" s="54"/>
      <c r="AE26" s="54"/>
      <c r="AF26" s="55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46136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v>0</v>
      </c>
      <c r="S27" s="45">
        <f t="shared" si="0"/>
        <v>0</v>
      </c>
      <c r="T27" s="45">
        <f t="shared" si="1"/>
        <v>0</v>
      </c>
      <c r="U27" s="46">
        <f t="shared" si="8"/>
        <v>0</v>
      </c>
      <c r="V27" s="42"/>
      <c r="W27" s="47"/>
      <c r="X27" s="48">
        <f>V27+W27*Summen!$B$44</f>
        <v>0</v>
      </c>
      <c r="Y27" s="162"/>
      <c r="Z27" s="49"/>
      <c r="AA27" s="49"/>
      <c r="AB27" s="49"/>
      <c r="AC27" s="49"/>
      <c r="AD27" s="49"/>
      <c r="AE27" s="49"/>
      <c r="AF27" s="163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46137</v>
      </c>
      <c r="B28" s="159" t="str">
        <f>IFERROR(VLOOKUP(A28, Feiertage!$B:$C, 2, 0), IF(OR(WEEKDAY(A28,2)=6, WEEKDAY(A28,2)=7), Feiertage!$C$23, ""))</f>
        <v>* * * * * * * * Wochenende * * * * * * * * * * * * * * * * * * * * * * * * * * * * * * * * * * * * * * * * * * * * * * * *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0</v>
      </c>
      <c r="S28" s="45">
        <f t="shared" si="0"/>
        <v>0</v>
      </c>
      <c r="T28" s="45">
        <f t="shared" si="1"/>
        <v>0</v>
      </c>
      <c r="U28" s="46">
        <f t="shared" si="8"/>
        <v>0</v>
      </c>
      <c r="V28" s="159"/>
      <c r="W28" s="161"/>
      <c r="X28" s="48">
        <f>V28+W28*Summen!$B$44</f>
        <v>0</v>
      </c>
      <c r="Y28" s="53"/>
      <c r="Z28" s="54"/>
      <c r="AA28" s="54"/>
      <c r="AB28" s="54"/>
      <c r="AC28" s="54"/>
      <c r="AD28" s="54"/>
      <c r="AE28" s="54"/>
      <c r="AF28" s="55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46138</v>
      </c>
      <c r="B29" s="42" t="str">
        <f>IFERROR(VLOOKUP(A29, Feiertage!$B:$C, 2, 0), IF(OR(WEEKDAY(A29,2)=6, WEEKDAY(A29,2)=7), Feiertage!$C$23, ""))</f>
        <v>* * * * * * * * Wochenende * * * * * * * * * * * * * * * * * * * * * * * * * * * * * * * * * * * * * * * * * * * * * * * *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0</v>
      </c>
      <c r="S29" s="45">
        <f t="shared" si="0"/>
        <v>0</v>
      </c>
      <c r="T29" s="45">
        <f t="shared" si="1"/>
        <v>0</v>
      </c>
      <c r="U29" s="46">
        <f t="shared" si="8"/>
        <v>0</v>
      </c>
      <c r="V29" s="42"/>
      <c r="W29" s="47"/>
      <c r="X29" s="48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46139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v>0</v>
      </c>
      <c r="S30" s="45">
        <f t="shared" si="0"/>
        <v>0</v>
      </c>
      <c r="T30" s="45">
        <f t="shared" si="1"/>
        <v>0</v>
      </c>
      <c r="U30" s="46">
        <f t="shared" si="8"/>
        <v>0</v>
      </c>
      <c r="V30" s="159"/>
      <c r="W30" s="161"/>
      <c r="X30" s="48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46140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v>0</v>
      </c>
      <c r="S31" s="45">
        <f t="shared" si="0"/>
        <v>0</v>
      </c>
      <c r="T31" s="45">
        <f t="shared" si="1"/>
        <v>0</v>
      </c>
      <c r="U31" s="46">
        <f t="shared" si="8"/>
        <v>0</v>
      </c>
      <c r="V31" s="42"/>
      <c r="W31" s="47"/>
      <c r="X31" s="48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46141</v>
      </c>
      <c r="B32" s="159" t="str">
        <f>IFERROR(VLOOKUP(A32, Feiertage!$B:$C, 2, 0), IF(OR(WEEKDAY(A32,2)=6, WEEKDAY(A32,2)=7), Feiertage!$C$23, ""))</f>
        <v/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v>0</v>
      </c>
      <c r="S32" s="45">
        <f t="shared" si="0"/>
        <v>0</v>
      </c>
      <c r="T32" s="45">
        <f t="shared" si="1"/>
        <v>0</v>
      </c>
      <c r="U32" s="46">
        <f t="shared" si="8"/>
        <v>0</v>
      </c>
      <c r="V32" s="159"/>
      <c r="W32" s="161"/>
      <c r="X32" s="48">
        <f>V32+W32*Summen!$B$44</f>
        <v>0</v>
      </c>
      <c r="Y32" s="53"/>
      <c r="Z32" s="54"/>
      <c r="AA32" s="54"/>
      <c r="AB32" s="54"/>
      <c r="AC32" s="54"/>
      <c r="AD32" s="54"/>
      <c r="AE32" s="54"/>
      <c r="AF32" s="55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60">
        <f t="shared" si="7"/>
        <v>46142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v>0</v>
      </c>
      <c r="S33" s="61">
        <f t="shared" si="0"/>
        <v>0</v>
      </c>
      <c r="T33" s="61">
        <f t="shared" si="1"/>
        <v>0</v>
      </c>
      <c r="U33" s="62">
        <f t="shared" si="8"/>
        <v>0</v>
      </c>
      <c r="V33" s="42"/>
      <c r="W33" s="47"/>
      <c r="X33" s="48">
        <f>V33+W33*Summen!$B$44</f>
        <v>0</v>
      </c>
      <c r="Y33" s="162"/>
      <c r="Z33" s="49"/>
      <c r="AA33" s="49"/>
      <c r="AB33" s="49"/>
      <c r="AC33" s="49"/>
      <c r="AD33" s="49"/>
      <c r="AE33" s="49"/>
      <c r="AF33" s="163"/>
      <c r="AG33" s="63">
        <f t="shared" si="2"/>
        <v>0</v>
      </c>
      <c r="AH33" s="61">
        <f t="shared" si="3"/>
        <v>0</v>
      </c>
      <c r="AI33" s="61">
        <f t="shared" si="4"/>
        <v>0</v>
      </c>
      <c r="AJ33" s="62">
        <f t="shared" si="5"/>
        <v>0</v>
      </c>
      <c r="AL33" s="37">
        <f t="shared" si="6"/>
        <v>0</v>
      </c>
    </row>
    <row r="34" spans="1:38" ht="18" customHeight="1">
      <c r="A34" s="64" t="s">
        <v>32</v>
      </c>
      <c r="B34" s="108"/>
      <c r="C34" s="168">
        <f t="shared" ref="C34:T34" si="9">SUM(C4:C33)</f>
        <v>0</v>
      </c>
      <c r="D34" s="168">
        <f t="shared" si="9"/>
        <v>0</v>
      </c>
      <c r="E34" s="168">
        <f t="shared" si="9"/>
        <v>0</v>
      </c>
      <c r="F34" s="168">
        <f t="shared" si="9"/>
        <v>0</v>
      </c>
      <c r="G34" s="168">
        <f t="shared" si="9"/>
        <v>0</v>
      </c>
      <c r="H34" s="168">
        <f t="shared" si="9"/>
        <v>0</v>
      </c>
      <c r="I34" s="168">
        <f t="shared" si="9"/>
        <v>0</v>
      </c>
      <c r="J34" s="168">
        <f t="shared" si="9"/>
        <v>0</v>
      </c>
      <c r="K34" s="168">
        <f t="shared" si="9"/>
        <v>0</v>
      </c>
      <c r="L34" s="168">
        <f t="shared" si="9"/>
        <v>0</v>
      </c>
      <c r="M34" s="168">
        <f t="shared" si="9"/>
        <v>0</v>
      </c>
      <c r="N34" s="168">
        <f t="shared" si="9"/>
        <v>0</v>
      </c>
      <c r="O34" s="168">
        <f t="shared" si="9"/>
        <v>0</v>
      </c>
      <c r="P34" s="168">
        <f t="shared" si="9"/>
        <v>0</v>
      </c>
      <c r="Q34" s="168">
        <f t="shared" si="9"/>
        <v>0</v>
      </c>
      <c r="R34" s="66">
        <f t="shared" si="9"/>
        <v>0</v>
      </c>
      <c r="S34" s="169">
        <f t="shared" si="9"/>
        <v>0</v>
      </c>
      <c r="T34" s="169">
        <f t="shared" si="9"/>
        <v>0</v>
      </c>
      <c r="U34" s="67">
        <f>U33</f>
        <v>0</v>
      </c>
      <c r="V34" s="170">
        <f>SUM(V4:V33)</f>
        <v>0</v>
      </c>
      <c r="W34" s="170">
        <f>SUM(W4:W33)*Summen!$B$44</f>
        <v>0</v>
      </c>
      <c r="X34" s="68">
        <f>V34+W34</f>
        <v>0</v>
      </c>
      <c r="Y34" s="87"/>
      <c r="Z34" s="171"/>
      <c r="AA34" s="171"/>
      <c r="AB34" s="171"/>
      <c r="AC34" s="171"/>
      <c r="AD34" s="171"/>
      <c r="AE34" s="171"/>
      <c r="AF34" s="171"/>
      <c r="AG34" s="171"/>
      <c r="AH34" s="171"/>
      <c r="AI34" s="171"/>
      <c r="AJ34" s="67">
        <f>SUM(AJ4:AJ33)</f>
        <v>0</v>
      </c>
      <c r="AL34" s="37">
        <f t="shared" si="6"/>
        <v>0</v>
      </c>
    </row>
    <row r="35" spans="1:38" ht="12.75" customHeight="1">
      <c r="A35" s="71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L35" s="7"/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4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4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A5F6ABE-BAC7-4680-81B7-F365F87BBFFE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9131F8D2-2785-4BDD-B52C-75E169D2581F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1000"/>
  <sheetViews>
    <sheetView topLeftCell="C2" zoomScale="90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Apr!P1+30</f>
        <v>46143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Apr!X1+1</f>
        <v>5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Apr!H2+(Apr!Q34/Summen!B9)</f>
        <v>0</v>
      </c>
      <c r="I2" s="11" t="s">
        <v>7</v>
      </c>
      <c r="J2" s="13">
        <f>E2-H2</f>
        <v>10.8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Apr!U34</f>
        <v>0</v>
      </c>
      <c r="V2" s="190" t="s">
        <v>9</v>
      </c>
      <c r="W2" s="191"/>
      <c r="X2" s="189"/>
      <c r="Y2" s="109"/>
      <c r="Z2" s="110"/>
      <c r="AA2" s="110"/>
      <c r="AB2" s="110"/>
      <c r="AC2" s="110"/>
      <c r="AD2" s="110"/>
      <c r="AE2" s="110"/>
      <c r="AF2" s="111"/>
      <c r="AG2" s="109"/>
      <c r="AH2" s="112"/>
      <c r="AI2" s="112"/>
      <c r="AJ2" s="113"/>
      <c r="AK2" s="7"/>
      <c r="AL2" s="7"/>
    </row>
    <row r="3" spans="1:38" ht="69.75" customHeight="1">
      <c r="A3" s="22" t="s">
        <v>10</v>
      </c>
      <c r="B3" s="147"/>
      <c r="C3" s="146"/>
      <c r="D3" s="146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46143</v>
      </c>
      <c r="B4" s="159" t="str">
        <f>IFERROR(VLOOKUP(A4, Feiertage!$B:$C, 2, 0), IF(OR(WEEKDAY(A4,2)=6, WEEKDAY(A4,2)=7), Feiertage!$C$23, ""))</f>
        <v/>
      </c>
      <c r="C4" s="83"/>
      <c r="D4" s="83"/>
      <c r="E4" s="159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107">
        <v>0</v>
      </c>
      <c r="S4" s="31">
        <f t="shared" ref="S4:S34" si="0">SUM(C4:Q4)</f>
        <v>0</v>
      </c>
      <c r="T4" s="31">
        <f t="shared" ref="T4:T34" si="1">S4-R4</f>
        <v>0</v>
      </c>
      <c r="U4" s="32">
        <f>U2+T4</f>
        <v>0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46144</v>
      </c>
      <c r="B5" s="42" t="str">
        <f>IFERROR(VLOOKUP(A5, Feiertage!$B:$C, 2, 0), IF(OR(WEEKDAY(A5,2)=6, WEEKDAY(A5,2)=7), Feiertage!$C$23, ""))</f>
        <v>* * * * * * * * Wochenende * * * * * * * * * * * * * * * * * * * * * * * * * * * * * * * * * * * * * * * * * * * * * * * *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0</v>
      </c>
      <c r="S5" s="45">
        <f t="shared" si="0"/>
        <v>0</v>
      </c>
      <c r="T5" s="45">
        <f t="shared" si="1"/>
        <v>0</v>
      </c>
      <c r="U5" s="46">
        <f t="shared" ref="U5:U34" si="8">U4+T5</f>
        <v>0</v>
      </c>
      <c r="V5" s="42"/>
      <c r="W5" s="47"/>
      <c r="X5" s="48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46145</v>
      </c>
      <c r="B6" s="159" t="str">
        <f>IFERROR(VLOOKUP(A6, Feiertage!$B:$C, 2, 0), IF(OR(WEEKDAY(A6,2)=6, WEEKDAY(A6,2)=7), Feiertage!$C$23, ""))</f>
        <v>* * * * * * * * Wochenende * * * * * * * * * * * * * * * * * * * * * * * * * * * * * * * * * * * * * * * * * * * * * * * *</v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48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46146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48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46147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48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46148</v>
      </c>
      <c r="B9" s="42" t="str">
        <f>IFERROR(VLOOKUP(A9, Feiertage!$B:$C, 2, 0), IF(OR(WEEKDAY(A9,2)=6, WEEKDAY(A9,2)=7), Feiertage!$C$23, ""))</f>
        <v/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48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46149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48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46150</v>
      </c>
      <c r="B11" s="42" t="str">
        <f>IFERROR(VLOOKUP(A11, Feiertage!$B:$C, 2, 0), IF(OR(WEEKDAY(A11,2)=6, WEEKDAY(A11,2)=7), Feiertage!$C$23, ""))</f>
        <v/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48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46151</v>
      </c>
      <c r="B12" s="159" t="str">
        <f>IFERROR(VLOOKUP(A12, Feiertage!$B:$C, 2, 0), IF(OR(WEEKDAY(A12,2)=6, WEEKDAY(A12,2)=7), Feiertage!$C$23, ""))</f>
        <v>* * * * * * * * Wochenende * * * * * * * * * * * * * * * * * * * * * * * * * * * * * * * * * * * * * * * * * * * * * * * *</v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48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46152</v>
      </c>
      <c r="B13" s="42" t="str">
        <f>IFERROR(VLOOKUP(A13, Feiertage!$B:$C, 2, 0), IF(OR(WEEKDAY(A13,2)=6, WEEKDAY(A13,2)=7), Feiertage!$C$23, ""))</f>
        <v>* * * * * * * * Wochenende * * * * * * * * * * * * * * * * * * * * * * * * * * * * * * * * * * * * * * * * * * * * * * * *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48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46153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48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46154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48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46155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48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46156</v>
      </c>
      <c r="B17" s="42" t="str">
        <f>IFERROR(VLOOKUP(A17, Feiertage!$B:$C, 2, 0), IF(OR(WEEKDAY(A17,2)=6, WEEKDAY(A17,2)=7), Feiertage!$C$23, ""))</f>
        <v>* * * * * * * * Auffahrt * * * * * * * * * * * * * * * * * * * * * * * * * * * * * * * * * * * * * * * * * * * * * * * * * * * *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48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46157</v>
      </c>
      <c r="B18" s="159" t="str">
        <f>IFERROR(VLOOKUP(A18, Feiertage!$B:$C, 2, 0), IF(OR(WEEKDAY(A18,2)=6, WEEKDAY(A18,2)=7), Feiertage!$C$23, ""))</f>
        <v/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v>0</v>
      </c>
      <c r="S18" s="45">
        <f t="shared" si="0"/>
        <v>0</v>
      </c>
      <c r="T18" s="45">
        <f t="shared" si="1"/>
        <v>0</v>
      </c>
      <c r="U18" s="46">
        <f t="shared" si="8"/>
        <v>0</v>
      </c>
      <c r="V18" s="159"/>
      <c r="W18" s="161"/>
      <c r="X18" s="48">
        <f>V18+W18*Summen!$B$44</f>
        <v>0</v>
      </c>
      <c r="Y18" s="53"/>
      <c r="Z18" s="54"/>
      <c r="AA18" s="54"/>
      <c r="AB18" s="54"/>
      <c r="AC18" s="54"/>
      <c r="AD18" s="54"/>
      <c r="AE18" s="54"/>
      <c r="AF18" s="55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46158</v>
      </c>
      <c r="B19" s="42" t="str">
        <f>IFERROR(VLOOKUP(A19, Feiertage!$B:$C, 2, 0), IF(OR(WEEKDAY(A19,2)=6, WEEKDAY(A19,2)=7), Feiertage!$C$23, ""))</f>
        <v>* * * * * * * * Wochenende * * * * * * * * * * * * * * * * * * * * * * * * * * * * * * * * * * * * * * * * * * * * * * * *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0</v>
      </c>
      <c r="S19" s="45">
        <f t="shared" si="0"/>
        <v>0</v>
      </c>
      <c r="T19" s="45">
        <f t="shared" si="1"/>
        <v>0</v>
      </c>
      <c r="U19" s="46">
        <f t="shared" si="8"/>
        <v>0</v>
      </c>
      <c r="V19" s="42"/>
      <c r="W19" s="47"/>
      <c r="X19" s="48">
        <f>V19+W19*Summen!$B$44</f>
        <v>0</v>
      </c>
      <c r="Y19" s="162"/>
      <c r="Z19" s="49"/>
      <c r="AA19" s="49"/>
      <c r="AB19" s="49"/>
      <c r="AC19" s="49"/>
      <c r="AD19" s="49"/>
      <c r="AE19" s="49"/>
      <c r="AF19" s="163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46159</v>
      </c>
      <c r="B20" s="159" t="str">
        <f>IFERROR(VLOOKUP(A20, Feiertage!$B:$C, 2, 0), IF(OR(WEEKDAY(A20,2)=6, WEEKDAY(A20,2)=7), Feiertage!$C$23, ""))</f>
        <v>* * * * * * * * Wochenende * * * * * * * * * * * * * * * * * * * * * * * * * * * * * * * * * * * * * * * * * * * * * * * *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0</v>
      </c>
      <c r="S20" s="45">
        <f t="shared" si="0"/>
        <v>0</v>
      </c>
      <c r="T20" s="45">
        <f t="shared" si="1"/>
        <v>0</v>
      </c>
      <c r="U20" s="46">
        <f t="shared" si="8"/>
        <v>0</v>
      </c>
      <c r="V20" s="159"/>
      <c r="W20" s="161"/>
      <c r="X20" s="48">
        <f>V20+W20*Summen!$B$44</f>
        <v>0</v>
      </c>
      <c r="Y20" s="53"/>
      <c r="Z20" s="54"/>
      <c r="AA20" s="54"/>
      <c r="AB20" s="54"/>
      <c r="AC20" s="54"/>
      <c r="AD20" s="54"/>
      <c r="AE20" s="54"/>
      <c r="AF20" s="55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46160</v>
      </c>
      <c r="B21" s="42" t="str">
        <f>IFERROR(VLOOKUP(A21, Feiertage!$B:$C, 2, 0), IF(OR(WEEKDAY(A21,2)=6, WEEKDAY(A21,2)=7), Feiertage!$C$23, ""))</f>
        <v/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v>0</v>
      </c>
      <c r="S21" s="45">
        <f t="shared" si="0"/>
        <v>0</v>
      </c>
      <c r="T21" s="45">
        <f t="shared" si="1"/>
        <v>0</v>
      </c>
      <c r="U21" s="46">
        <f t="shared" si="8"/>
        <v>0</v>
      </c>
      <c r="V21" s="42"/>
      <c r="W21" s="47"/>
      <c r="X21" s="48">
        <f>V21+W21*Summen!$B$44</f>
        <v>0</v>
      </c>
      <c r="Y21" s="162"/>
      <c r="Z21" s="49"/>
      <c r="AA21" s="49"/>
      <c r="AB21" s="49"/>
      <c r="AC21" s="49"/>
      <c r="AD21" s="49"/>
      <c r="AE21" s="49"/>
      <c r="AF21" s="163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46161</v>
      </c>
      <c r="B22" s="159" t="str">
        <f>IFERROR(VLOOKUP(A22, Feiertage!$B:$C, 2, 0), IF(OR(WEEKDAY(A22,2)=6, WEEKDAY(A22,2)=7), Feiertage!$C$23, ""))</f>
        <v/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v>0</v>
      </c>
      <c r="S22" s="45">
        <f t="shared" si="0"/>
        <v>0</v>
      </c>
      <c r="T22" s="45">
        <f t="shared" si="1"/>
        <v>0</v>
      </c>
      <c r="U22" s="46">
        <f t="shared" si="8"/>
        <v>0</v>
      </c>
      <c r="V22" s="159"/>
      <c r="W22" s="161"/>
      <c r="X22" s="48">
        <f>V22+W22*Summen!$B$44</f>
        <v>0</v>
      </c>
      <c r="Y22" s="53"/>
      <c r="Z22" s="54"/>
      <c r="AA22" s="54"/>
      <c r="AB22" s="54"/>
      <c r="AC22" s="54"/>
      <c r="AD22" s="54"/>
      <c r="AE22" s="54"/>
      <c r="AF22" s="55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46162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v>0</v>
      </c>
      <c r="S23" s="45">
        <f t="shared" si="0"/>
        <v>0</v>
      </c>
      <c r="T23" s="45">
        <f t="shared" si="1"/>
        <v>0</v>
      </c>
      <c r="U23" s="46">
        <f t="shared" si="8"/>
        <v>0</v>
      </c>
      <c r="V23" s="42"/>
      <c r="W23" s="47"/>
      <c r="X23" s="48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46163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v>0</v>
      </c>
      <c r="S24" s="45">
        <f t="shared" si="0"/>
        <v>0</v>
      </c>
      <c r="T24" s="45">
        <f t="shared" si="1"/>
        <v>0</v>
      </c>
      <c r="U24" s="46">
        <f t="shared" si="8"/>
        <v>0</v>
      </c>
      <c r="V24" s="159"/>
      <c r="W24" s="161"/>
      <c r="X24" s="48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46164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v>0</v>
      </c>
      <c r="S25" s="45">
        <f t="shared" si="0"/>
        <v>0</v>
      </c>
      <c r="T25" s="45">
        <f t="shared" si="1"/>
        <v>0</v>
      </c>
      <c r="U25" s="46">
        <f t="shared" si="8"/>
        <v>0</v>
      </c>
      <c r="V25" s="42"/>
      <c r="W25" s="47"/>
      <c r="X25" s="48">
        <f>V25+W25*Summen!$B$44</f>
        <v>0</v>
      </c>
      <c r="Y25" s="162"/>
      <c r="Z25" s="49"/>
      <c r="AA25" s="49"/>
      <c r="AB25" s="49"/>
      <c r="AC25" s="49"/>
      <c r="AD25" s="49"/>
      <c r="AE25" s="49"/>
      <c r="AF25" s="163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46165</v>
      </c>
      <c r="B26" s="159" t="str">
        <f>IFERROR(VLOOKUP(A26, Feiertage!$B:$C, 2, 0), IF(OR(WEEKDAY(A26,2)=6, WEEKDAY(A26,2)=7), Feiertage!$C$23, ""))</f>
        <v>* * * * * * * * Wochenende * * * * * * * * * * * * * * * * * * * * * * * * * * * * * * * * * * * * * * * * * * * * * * * *</v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0</v>
      </c>
      <c r="S26" s="45">
        <f t="shared" si="0"/>
        <v>0</v>
      </c>
      <c r="T26" s="45">
        <f t="shared" si="1"/>
        <v>0</v>
      </c>
      <c r="U26" s="46">
        <f t="shared" si="8"/>
        <v>0</v>
      </c>
      <c r="V26" s="159"/>
      <c r="W26" s="161"/>
      <c r="X26" s="48">
        <f>V26+W26*Summen!$B$44</f>
        <v>0</v>
      </c>
      <c r="Y26" s="53"/>
      <c r="Z26" s="54"/>
      <c r="AA26" s="54"/>
      <c r="AB26" s="54"/>
      <c r="AC26" s="54"/>
      <c r="AD26" s="54"/>
      <c r="AE26" s="54"/>
      <c r="AF26" s="55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46166</v>
      </c>
      <c r="B27" s="42" t="str">
        <f>IFERROR(VLOOKUP(A27, Feiertage!$B:$C, 2, 0), IF(OR(WEEKDAY(A27,2)=6, WEEKDAY(A27,2)=7), Feiertage!$C$23, ""))</f>
        <v>* * * * * * * * Wochenende * * * * * * * * * * * * * * * * * * * * * * * * * * * * * * * * * * * * * * * * * * * * * * * *</v>
      </c>
      <c r="C27" s="42"/>
      <c r="D27" s="114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0</v>
      </c>
      <c r="S27" s="45">
        <f t="shared" si="0"/>
        <v>0</v>
      </c>
      <c r="T27" s="45">
        <f t="shared" si="1"/>
        <v>0</v>
      </c>
      <c r="U27" s="46">
        <f t="shared" si="8"/>
        <v>0</v>
      </c>
      <c r="V27" s="42"/>
      <c r="W27" s="47"/>
      <c r="X27" s="48">
        <f>V27+W27*Summen!$B$44</f>
        <v>0</v>
      </c>
      <c r="Y27" s="162"/>
      <c r="Z27" s="49"/>
      <c r="AA27" s="49"/>
      <c r="AB27" s="49"/>
      <c r="AC27" s="49"/>
      <c r="AD27" s="49"/>
      <c r="AE27" s="49"/>
      <c r="AF27" s="163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46167</v>
      </c>
      <c r="B28" s="159" t="str">
        <f>IFERROR(VLOOKUP(A28, Feiertage!$B:$C, 2, 0), IF(OR(WEEKDAY(A28,2)=6, WEEKDAY(A28,2)=7), Feiertage!$C$23, ""))</f>
        <v>* * * * * * * * Pfingstmontag * * * * * * * * * * * * * * * * * * * * * * * * * * * * * * * * * * * * * * * * * * * * * * *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v>0</v>
      </c>
      <c r="S28" s="45">
        <f t="shared" si="0"/>
        <v>0</v>
      </c>
      <c r="T28" s="45">
        <f t="shared" si="1"/>
        <v>0</v>
      </c>
      <c r="U28" s="46">
        <f t="shared" si="8"/>
        <v>0</v>
      </c>
      <c r="V28" s="159"/>
      <c r="W28" s="161"/>
      <c r="X28" s="48">
        <f>V28+W28*Summen!$B$44</f>
        <v>0</v>
      </c>
      <c r="Y28" s="53"/>
      <c r="Z28" s="54"/>
      <c r="AA28" s="54"/>
      <c r="AB28" s="54"/>
      <c r="AC28" s="54"/>
      <c r="AD28" s="54"/>
      <c r="AE28" s="54"/>
      <c r="AF28" s="55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46168</v>
      </c>
      <c r="B29" s="42" t="str">
        <f>IFERROR(VLOOKUP(A29, Feiertage!$B:$C, 2, 0), IF(OR(WEEKDAY(A29,2)=6, WEEKDAY(A29,2)=7), Feiertage!$C$23, ""))</f>
        <v/>
      </c>
      <c r="C29" s="42"/>
      <c r="D29" s="114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v>0</v>
      </c>
      <c r="S29" s="45">
        <f t="shared" si="0"/>
        <v>0</v>
      </c>
      <c r="T29" s="45">
        <f t="shared" si="1"/>
        <v>0</v>
      </c>
      <c r="U29" s="46">
        <f t="shared" si="8"/>
        <v>0</v>
      </c>
      <c r="V29" s="42"/>
      <c r="W29" s="47"/>
      <c r="X29" s="48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46169</v>
      </c>
      <c r="B30" s="159" t="str">
        <f>IFERROR(VLOOKUP(A30, Feiertage!$B:$C, 2, 0), IF(OR(WEEKDAY(A30,2)=6, WEEKDAY(A30,2)=7), Feiertage!$C$23, ""))</f>
        <v/>
      </c>
      <c r="C30" s="115"/>
      <c r="D30" s="116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160"/>
      <c r="R30" s="44">
        <v>0</v>
      </c>
      <c r="S30" s="45">
        <f t="shared" si="0"/>
        <v>0</v>
      </c>
      <c r="T30" s="45">
        <f t="shared" si="1"/>
        <v>0</v>
      </c>
      <c r="U30" s="46">
        <f t="shared" si="8"/>
        <v>0</v>
      </c>
      <c r="V30" s="159"/>
      <c r="W30" s="161"/>
      <c r="X30" s="48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46170</v>
      </c>
      <c r="B31" s="42" t="str">
        <f>IFERROR(VLOOKUP(A31, Feiertage!$B:$C, 2, 0), IF(OR(WEEKDAY(A31,2)=6, WEEKDAY(A31,2)=7), Feiertage!$C$23, ""))</f>
        <v/>
      </c>
      <c r="C31" s="176"/>
      <c r="D31" s="117"/>
      <c r="E31" s="59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v>0</v>
      </c>
      <c r="S31" s="45">
        <f t="shared" si="0"/>
        <v>0</v>
      </c>
      <c r="T31" s="45">
        <f t="shared" si="1"/>
        <v>0</v>
      </c>
      <c r="U31" s="46">
        <f t="shared" si="8"/>
        <v>0</v>
      </c>
      <c r="V31" s="42"/>
      <c r="W31" s="47"/>
      <c r="X31" s="48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46171</v>
      </c>
      <c r="B32" s="159" t="str">
        <f>IFERROR(VLOOKUP(A32, Feiertage!$B:$C, 2, 0), IF(OR(WEEKDAY(A32,2)=6, WEEKDAY(A32,2)=7), Feiertage!$C$23, ""))</f>
        <v/>
      </c>
      <c r="C32" s="115"/>
      <c r="D32" s="116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160"/>
      <c r="R32" s="44">
        <v>0</v>
      </c>
      <c r="S32" s="45">
        <f t="shared" si="0"/>
        <v>0</v>
      </c>
      <c r="T32" s="45">
        <f t="shared" si="1"/>
        <v>0</v>
      </c>
      <c r="U32" s="46">
        <f t="shared" si="8"/>
        <v>0</v>
      </c>
      <c r="V32" s="159"/>
      <c r="W32" s="161"/>
      <c r="X32" s="48">
        <f>V32+W32*Summen!$B$44</f>
        <v>0</v>
      </c>
      <c r="Y32" s="53"/>
      <c r="Z32" s="54"/>
      <c r="AA32" s="54"/>
      <c r="AB32" s="54"/>
      <c r="AC32" s="54"/>
      <c r="AD32" s="54"/>
      <c r="AE32" s="54"/>
      <c r="AF32" s="55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39">
        <f t="shared" si="7"/>
        <v>46172</v>
      </c>
      <c r="B33" s="42" t="str">
        <f>IFERROR(VLOOKUP(A33, Feiertage!$B:$C, 2, 0), IF(OR(WEEKDAY(A33,2)=6, WEEKDAY(A33,2)=7), Feiertage!$C$23, ""))</f>
        <v>* * * * * * * * Wochenende * * * * * * * * * * * * * * * * * * * * * * * * * * * * * * * * * * * * * * * * * * * * * * * *</v>
      </c>
      <c r="C33" s="176"/>
      <c r="D33" s="117"/>
      <c r="E33" s="59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0</v>
      </c>
      <c r="S33" s="45">
        <f t="shared" si="0"/>
        <v>0</v>
      </c>
      <c r="T33" s="45">
        <f t="shared" si="1"/>
        <v>0</v>
      </c>
      <c r="U33" s="46">
        <f t="shared" si="8"/>
        <v>0</v>
      </c>
      <c r="V33" s="42"/>
      <c r="W33" s="47"/>
      <c r="X33" s="48">
        <f>V33+W33*Summen!$B$44</f>
        <v>0</v>
      </c>
      <c r="Y33" s="162"/>
      <c r="Z33" s="49"/>
      <c r="AA33" s="49"/>
      <c r="AB33" s="49"/>
      <c r="AC33" s="49"/>
      <c r="AD33" s="49"/>
      <c r="AE33" s="49"/>
      <c r="AF33" s="163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</row>
    <row r="34" spans="1:38" ht="13.5" customHeight="1">
      <c r="A34" s="60">
        <f t="shared" si="7"/>
        <v>46173</v>
      </c>
      <c r="B34" s="159" t="str">
        <f>IFERROR(VLOOKUP(A34, Feiertage!$B:$C, 2, 0), IF(OR(WEEKDAY(A34,2)=6, WEEKDAY(A34,2)=7), Feiertage!$C$23, ""))</f>
        <v>* * * * * * * * Wochenende * * * * * * * * * * * * * * * * * * * * * * * * * * * * * * * * * * * * * * * * * * * * * * * *</v>
      </c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  <c r="P34" s="159"/>
      <c r="Q34" s="160"/>
      <c r="R34" s="44">
        <f>IF(OR(WEEKDAY(A34,2)=6,WEEKDAY(A34,2)=7),0,IFERROR(IF(VLOOKUP(A34,Feiertage!$B:$D,3,0)="ja",0,Summen!$B$9),Summen!$B$9))</f>
        <v>0</v>
      </c>
      <c r="S34" s="61">
        <f t="shared" si="0"/>
        <v>0</v>
      </c>
      <c r="T34" s="61">
        <f t="shared" si="1"/>
        <v>0</v>
      </c>
      <c r="U34" s="62">
        <f t="shared" si="8"/>
        <v>0</v>
      </c>
      <c r="V34" s="159"/>
      <c r="W34" s="161"/>
      <c r="X34" s="48">
        <f>V34+W34*Summen!$B$44</f>
        <v>0</v>
      </c>
      <c r="Y34" s="34"/>
      <c r="Z34" s="35"/>
      <c r="AA34" s="35"/>
      <c r="AB34" s="35"/>
      <c r="AC34" s="35"/>
      <c r="AD34" s="35"/>
      <c r="AE34" s="35"/>
      <c r="AF34" s="35"/>
      <c r="AG34" s="63">
        <f t="shared" si="2"/>
        <v>0</v>
      </c>
      <c r="AH34" s="61">
        <f t="shared" si="3"/>
        <v>0</v>
      </c>
      <c r="AI34" s="61">
        <f t="shared" si="4"/>
        <v>0</v>
      </c>
      <c r="AJ34" s="62">
        <f t="shared" si="5"/>
        <v>0</v>
      </c>
      <c r="AL34" s="37">
        <f t="shared" si="6"/>
        <v>0</v>
      </c>
    </row>
    <row r="35" spans="1:38" ht="18" customHeight="1">
      <c r="A35" s="64" t="s">
        <v>32</v>
      </c>
      <c r="B35" s="108"/>
      <c r="C35" s="168">
        <f t="shared" ref="C35:T35" si="9">SUM(C4:C34)</f>
        <v>0</v>
      </c>
      <c r="D35" s="168">
        <f t="shared" si="9"/>
        <v>0</v>
      </c>
      <c r="E35" s="168">
        <f t="shared" si="9"/>
        <v>0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0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0</v>
      </c>
      <c r="S35" s="169">
        <f t="shared" si="9"/>
        <v>0</v>
      </c>
      <c r="T35" s="169">
        <f t="shared" si="9"/>
        <v>0</v>
      </c>
      <c r="U35" s="67">
        <f>U34</f>
        <v>0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103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67">
        <f>SUM(AJ4:AJ34)</f>
        <v>0</v>
      </c>
      <c r="AL35" s="37">
        <f t="shared" si="6"/>
        <v>0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L41" s="7"/>
    </row>
    <row r="42" spans="1:38" ht="12.75" customHeight="1">
      <c r="A42" s="71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L42" s="7"/>
    </row>
    <row r="43" spans="1:38" ht="12.75" customHeight="1">
      <c r="A43" s="71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L43" s="7"/>
    </row>
    <row r="44" spans="1:38" ht="12.75" customHeight="1">
      <c r="A44" s="71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L44" s="7"/>
    </row>
    <row r="45" spans="1:38" ht="12.75" customHeight="1">
      <c r="A45" s="71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  <c r="AJ45" s="118"/>
      <c r="AL45" s="7"/>
    </row>
    <row r="46" spans="1:38" ht="12.75" customHeight="1">
      <c r="A46" s="71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  <c r="AJ46" s="118"/>
      <c r="AL46" s="7"/>
    </row>
    <row r="47" spans="1:38" ht="12.75" customHeight="1">
      <c r="A47" s="71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  <c r="AJ47" s="118"/>
      <c r="AL47" s="7"/>
    </row>
    <row r="48" spans="1:38" ht="12.75" customHeight="1">
      <c r="A48" s="71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L48" s="7"/>
    </row>
    <row r="49" spans="1:38" ht="12.75" customHeight="1">
      <c r="A49" s="71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L49" s="7"/>
    </row>
    <row r="50" spans="1:38" ht="12.75" customHeight="1">
      <c r="A50" s="71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L50" s="7"/>
    </row>
    <row r="51" spans="1:38" ht="12.75" customHeight="1">
      <c r="A51" s="71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L51" s="7"/>
    </row>
    <row r="52" spans="1:38" ht="12.75" customHeight="1">
      <c r="A52" s="71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L52" s="7"/>
    </row>
    <row r="53" spans="1:38" ht="12.75" customHeight="1">
      <c r="A53" s="71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L53" s="7"/>
    </row>
    <row r="54" spans="1:38" ht="12.75" customHeight="1">
      <c r="A54" s="71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L54" s="7"/>
    </row>
    <row r="55" spans="1:38" ht="12.75" customHeight="1">
      <c r="A55" s="71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  <c r="AJ55" s="118"/>
      <c r="AL55" s="7"/>
    </row>
    <row r="56" spans="1:38" ht="12.75" customHeight="1">
      <c r="A56" s="71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L56" s="7"/>
    </row>
    <row r="57" spans="1:38" ht="12.75" customHeight="1">
      <c r="A57" s="71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  <c r="AJ57" s="118"/>
      <c r="AL57" s="7"/>
    </row>
    <row r="58" spans="1:38" ht="12.75" customHeight="1">
      <c r="A58" s="71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  <c r="AJ58" s="118"/>
      <c r="AL58" s="7"/>
    </row>
    <row r="59" spans="1:38" ht="12.75" customHeight="1">
      <c r="A59" s="71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L59" s="7"/>
    </row>
    <row r="60" spans="1:38" ht="12.75" customHeight="1">
      <c r="A60" s="71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L60" s="7"/>
    </row>
    <row r="61" spans="1:38" ht="12.75" customHeight="1">
      <c r="A61" s="71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L61" s="7"/>
    </row>
    <row r="62" spans="1:38" ht="12.75" customHeight="1">
      <c r="A62" s="71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L62" s="7"/>
    </row>
    <row r="63" spans="1:38" ht="12.75" customHeight="1">
      <c r="A63" s="71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L63" s="7"/>
    </row>
    <row r="64" spans="1:38" ht="12.75" customHeight="1">
      <c r="A64" s="71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L64" s="7"/>
    </row>
    <row r="65" spans="1:38" ht="12.75" customHeight="1">
      <c r="A65" s="71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L65" s="7"/>
    </row>
    <row r="66" spans="1:38" ht="12.75" customHeight="1">
      <c r="A66" s="71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  <c r="AJ66" s="118"/>
      <c r="AL66" s="7"/>
    </row>
    <row r="67" spans="1:38" ht="12.75" customHeight="1">
      <c r="A67" s="71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L67" s="7"/>
    </row>
    <row r="68" spans="1:38" ht="12.75" customHeight="1">
      <c r="A68" s="71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L68" s="7"/>
    </row>
    <row r="69" spans="1:38" ht="12.75" customHeight="1">
      <c r="A69" s="71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L69" s="7"/>
    </row>
    <row r="70" spans="1:38" ht="12.75" customHeight="1">
      <c r="A70" s="71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L70" s="7"/>
    </row>
    <row r="71" spans="1:38" ht="12.75" customHeight="1">
      <c r="A71" s="71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L71" s="7"/>
    </row>
    <row r="72" spans="1:38" ht="12.75" customHeight="1">
      <c r="A72" s="71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L72" s="7"/>
    </row>
    <row r="73" spans="1:38" ht="12.75" customHeight="1">
      <c r="A73" s="71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  <c r="AI73" s="118"/>
      <c r="AJ73" s="118"/>
      <c r="AL73" s="7"/>
    </row>
    <row r="74" spans="1:38" ht="12.75" customHeight="1">
      <c r="A74" s="71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  <c r="AI74" s="118"/>
      <c r="AJ74" s="118"/>
      <c r="AL74" s="7"/>
    </row>
    <row r="75" spans="1:38" ht="12.75" customHeight="1">
      <c r="A75" s="71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  <c r="AI75" s="118"/>
      <c r="AJ75" s="118"/>
      <c r="AL75" s="7"/>
    </row>
    <row r="76" spans="1:38" ht="12.75" customHeight="1">
      <c r="A76" s="71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  <c r="AI76" s="118"/>
      <c r="AJ76" s="118"/>
      <c r="AL76" s="7"/>
    </row>
    <row r="77" spans="1:38" ht="12.75" customHeight="1">
      <c r="A77" s="71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L77" s="7"/>
    </row>
    <row r="78" spans="1:38" ht="12.75" customHeight="1">
      <c r="A78" s="71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8"/>
      <c r="AJ78" s="118"/>
      <c r="AL78" s="7"/>
    </row>
    <row r="79" spans="1:38" ht="12.75" customHeight="1">
      <c r="A79" s="71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  <c r="AI79" s="118"/>
      <c r="AJ79" s="118"/>
      <c r="AL79" s="7"/>
    </row>
    <row r="80" spans="1:38" ht="12.75" customHeight="1">
      <c r="A80" s="71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L80" s="7"/>
    </row>
    <row r="81" spans="1:38" ht="12.75" customHeight="1">
      <c r="A81" s="71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8"/>
      <c r="AJ81" s="118"/>
      <c r="AL81" s="7"/>
    </row>
    <row r="82" spans="1:38" ht="12.75" customHeight="1">
      <c r="A82" s="71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L82" s="7"/>
    </row>
    <row r="83" spans="1:38" ht="12.75" customHeight="1">
      <c r="A83" s="71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L83" s="7"/>
    </row>
    <row r="84" spans="1:38" ht="12.75" customHeight="1">
      <c r="A84" s="71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8"/>
      <c r="AJ84" s="118"/>
      <c r="AL84" s="7"/>
    </row>
    <row r="85" spans="1:38" ht="12.75" customHeight="1">
      <c r="A85" s="71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8"/>
      <c r="AJ85" s="118"/>
      <c r="AL85" s="7"/>
    </row>
    <row r="86" spans="1:38" ht="12.75" customHeight="1">
      <c r="A86" s="71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8"/>
      <c r="AJ86" s="118"/>
      <c r="AL86" s="7"/>
    </row>
    <row r="87" spans="1:38" ht="12.75" customHeight="1">
      <c r="A87" s="71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8"/>
      <c r="AJ87" s="118"/>
      <c r="AL87" s="7"/>
    </row>
    <row r="88" spans="1:38" ht="12.75" customHeight="1">
      <c r="A88" s="71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8"/>
      <c r="AJ88" s="118"/>
      <c r="AL88" s="7"/>
    </row>
    <row r="89" spans="1:38" ht="12.75" customHeight="1">
      <c r="A89" s="71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8"/>
      <c r="AJ89" s="118"/>
      <c r="AL89" s="7"/>
    </row>
    <row r="90" spans="1:38" ht="12.75" customHeight="1">
      <c r="A90" s="71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8"/>
      <c r="AJ90" s="118"/>
      <c r="AL90" s="7"/>
    </row>
    <row r="91" spans="1:38" ht="12.75" customHeight="1">
      <c r="A91" s="71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8"/>
      <c r="AJ91" s="118"/>
      <c r="AL91" s="7"/>
    </row>
    <row r="92" spans="1:38" ht="12.75" customHeight="1">
      <c r="A92" s="71"/>
      <c r="Y92" s="118"/>
      <c r="Z92" s="118"/>
      <c r="AA92" s="118"/>
      <c r="AB92" s="118"/>
      <c r="AC92" s="118"/>
      <c r="AD92" s="118"/>
      <c r="AE92" s="118"/>
      <c r="AF92" s="118"/>
      <c r="AG92" s="118"/>
      <c r="AH92" s="118"/>
      <c r="AI92" s="118"/>
      <c r="AJ92" s="118"/>
      <c r="AL92" s="7"/>
    </row>
    <row r="93" spans="1:38" ht="12.75" customHeight="1">
      <c r="A93" s="71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8"/>
      <c r="AJ93" s="118"/>
      <c r="AL93" s="7"/>
    </row>
    <row r="94" spans="1:38" ht="12.75" customHeight="1">
      <c r="A94" s="71"/>
      <c r="Y94" s="118"/>
      <c r="Z94" s="118"/>
      <c r="AA94" s="118"/>
      <c r="AB94" s="118"/>
      <c r="AC94" s="118"/>
      <c r="AD94" s="118"/>
      <c r="AE94" s="118"/>
      <c r="AF94" s="118"/>
      <c r="AG94" s="118"/>
      <c r="AH94" s="118"/>
      <c r="AI94" s="118"/>
      <c r="AJ94" s="118"/>
      <c r="AL94" s="7"/>
    </row>
    <row r="95" spans="1:38" ht="12.75" customHeight="1">
      <c r="A95" s="71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  <c r="AI95" s="118"/>
      <c r="AJ95" s="118"/>
      <c r="AL95" s="7"/>
    </row>
    <row r="96" spans="1:38" ht="12.75" customHeight="1">
      <c r="A96" s="71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  <c r="AI96" s="118"/>
      <c r="AJ96" s="118"/>
      <c r="AL96" s="7"/>
    </row>
    <row r="97" spans="1:38" ht="12.75" customHeight="1">
      <c r="A97" s="71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  <c r="AI97" s="118"/>
      <c r="AJ97" s="118"/>
      <c r="AL97" s="7"/>
    </row>
    <row r="98" spans="1:38" ht="12.75" customHeight="1">
      <c r="A98" s="71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8"/>
      <c r="AJ98" s="118"/>
      <c r="AL98" s="7"/>
    </row>
    <row r="99" spans="1:38" ht="12.75" customHeight="1">
      <c r="A99" s="71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8"/>
      <c r="AJ99" s="118"/>
      <c r="AL99" s="7"/>
    </row>
    <row r="100" spans="1:38" ht="12.75" customHeight="1">
      <c r="A100" s="71"/>
      <c r="Y100" s="118"/>
      <c r="Z100" s="118"/>
      <c r="AA100" s="118"/>
      <c r="AB100" s="118"/>
      <c r="AC100" s="118"/>
      <c r="AD100" s="118"/>
      <c r="AE100" s="118"/>
      <c r="AF100" s="118"/>
      <c r="AG100" s="118"/>
      <c r="AH100" s="118"/>
      <c r="AI100" s="118"/>
      <c r="AJ100" s="118"/>
      <c r="AL100" s="7"/>
    </row>
    <row r="101" spans="1:38" ht="12.75" customHeight="1">
      <c r="A101" s="71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  <c r="AI101" s="118"/>
      <c r="AJ101" s="118"/>
      <c r="AL101" s="7"/>
    </row>
    <row r="102" spans="1:38" ht="12.75" customHeight="1">
      <c r="A102" s="71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8"/>
      <c r="AJ102" s="118"/>
      <c r="AL102" s="7"/>
    </row>
    <row r="103" spans="1:38" ht="12.75" customHeight="1">
      <c r="A103" s="71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8"/>
      <c r="AJ103" s="118"/>
      <c r="AL103" s="7"/>
    </row>
    <row r="104" spans="1:38" ht="12.75" customHeight="1">
      <c r="A104" s="71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  <c r="AI104" s="118"/>
      <c r="AJ104" s="118"/>
      <c r="AL104" s="7"/>
    </row>
    <row r="105" spans="1:38" ht="12.75" customHeight="1">
      <c r="A105" s="71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L105" s="7"/>
    </row>
    <row r="106" spans="1:38" ht="12.75" customHeight="1">
      <c r="A106" s="71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L106" s="7"/>
    </row>
    <row r="107" spans="1:38" ht="12.75" customHeight="1">
      <c r="A107" s="71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L107" s="7"/>
    </row>
    <row r="108" spans="1:38" ht="12.75" customHeight="1">
      <c r="A108" s="71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L108" s="7"/>
    </row>
    <row r="109" spans="1:38" ht="12.75" customHeight="1">
      <c r="A109" s="71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L109" s="7"/>
    </row>
    <row r="110" spans="1:38" ht="12.75" customHeight="1">
      <c r="A110" s="71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L110" s="7"/>
    </row>
    <row r="111" spans="1:38" ht="12.75" customHeight="1">
      <c r="A111" s="71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L111" s="7"/>
    </row>
    <row r="112" spans="1:38" ht="12.75" customHeight="1">
      <c r="A112" s="71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  <c r="AI112" s="118"/>
      <c r="AJ112" s="118"/>
      <c r="AL112" s="7"/>
    </row>
    <row r="113" spans="1:38" ht="12.75" customHeight="1">
      <c r="A113" s="71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  <c r="AI113" s="118"/>
      <c r="AJ113" s="118"/>
      <c r="AL113" s="7"/>
    </row>
    <row r="114" spans="1:38" ht="12.75" customHeight="1">
      <c r="A114" s="71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  <c r="AI114" s="118"/>
      <c r="AJ114" s="118"/>
      <c r="AL114" s="7"/>
    </row>
    <row r="115" spans="1:38" ht="12.75" customHeight="1">
      <c r="A115" s="71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  <c r="AI115" s="118"/>
      <c r="AJ115" s="118"/>
      <c r="AL115" s="7"/>
    </row>
    <row r="116" spans="1:38" ht="12.75" customHeight="1">
      <c r="A116" s="71"/>
      <c r="Y116" s="118"/>
      <c r="Z116" s="118"/>
      <c r="AA116" s="118"/>
      <c r="AB116" s="118"/>
      <c r="AC116" s="118"/>
      <c r="AD116" s="118"/>
      <c r="AE116" s="118"/>
      <c r="AF116" s="118"/>
      <c r="AG116" s="118"/>
      <c r="AH116" s="118"/>
      <c r="AI116" s="118"/>
      <c r="AJ116" s="118"/>
      <c r="AL116" s="7"/>
    </row>
    <row r="117" spans="1:38" ht="12.75" customHeight="1">
      <c r="A117" s="71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  <c r="AI117" s="118"/>
      <c r="AJ117" s="118"/>
      <c r="AL117" s="7"/>
    </row>
    <row r="118" spans="1:38" ht="12.75" customHeight="1">
      <c r="A118" s="71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  <c r="AI118" s="118"/>
      <c r="AJ118" s="118"/>
      <c r="AL118" s="7"/>
    </row>
    <row r="119" spans="1:38" ht="12.75" customHeight="1">
      <c r="A119" s="71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  <c r="AI119" s="118"/>
      <c r="AJ119" s="118"/>
      <c r="AL119" s="7"/>
    </row>
    <row r="120" spans="1:38" ht="12.75" customHeight="1">
      <c r="A120" s="71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  <c r="AI120" s="118"/>
      <c r="AJ120" s="118"/>
      <c r="AL120" s="7"/>
    </row>
    <row r="121" spans="1:38" ht="12.75" customHeight="1">
      <c r="A121" s="71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  <c r="AI121" s="118"/>
      <c r="AJ121" s="118"/>
      <c r="AL121" s="7"/>
    </row>
    <row r="122" spans="1:38" ht="12.75" customHeight="1">
      <c r="A122" s="71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  <c r="AI122" s="118"/>
      <c r="AJ122" s="118"/>
      <c r="AL122" s="7"/>
    </row>
    <row r="123" spans="1:38" ht="12.75" customHeight="1">
      <c r="A123" s="71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  <c r="AI123" s="118"/>
      <c r="AJ123" s="118"/>
      <c r="AL123" s="7"/>
    </row>
    <row r="124" spans="1:38" ht="12.75" customHeight="1">
      <c r="A124" s="71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  <c r="AI124" s="118"/>
      <c r="AJ124" s="118"/>
      <c r="AL124" s="7"/>
    </row>
    <row r="125" spans="1:38" ht="12.75" customHeight="1">
      <c r="A125" s="71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  <c r="AI125" s="118"/>
      <c r="AJ125" s="118"/>
      <c r="AL125" s="7"/>
    </row>
    <row r="126" spans="1:38" ht="12.75" customHeight="1">
      <c r="A126" s="71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  <c r="AI126" s="118"/>
      <c r="AJ126" s="118"/>
      <c r="AL126" s="7"/>
    </row>
    <row r="127" spans="1:38" ht="12.75" customHeight="1">
      <c r="A127" s="71"/>
      <c r="Y127" s="118"/>
      <c r="Z127" s="118"/>
      <c r="AA127" s="118"/>
      <c r="AB127" s="118"/>
      <c r="AC127" s="118"/>
      <c r="AD127" s="118"/>
      <c r="AE127" s="118"/>
      <c r="AF127" s="118"/>
      <c r="AG127" s="118"/>
      <c r="AH127" s="118"/>
      <c r="AI127" s="118"/>
      <c r="AJ127" s="118"/>
      <c r="AL127" s="7"/>
    </row>
    <row r="128" spans="1:38" ht="12.75" customHeight="1">
      <c r="A128" s="71"/>
      <c r="Y128" s="118"/>
      <c r="Z128" s="118"/>
      <c r="AA128" s="118"/>
      <c r="AB128" s="118"/>
      <c r="AC128" s="118"/>
      <c r="AD128" s="118"/>
      <c r="AE128" s="118"/>
      <c r="AF128" s="118"/>
      <c r="AG128" s="118"/>
      <c r="AH128" s="118"/>
      <c r="AI128" s="118"/>
      <c r="AJ128" s="118"/>
      <c r="AL128" s="7"/>
    </row>
    <row r="129" spans="1:38" ht="12.75" customHeight="1">
      <c r="A129" s="71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18"/>
      <c r="AI129" s="118"/>
      <c r="AJ129" s="118"/>
      <c r="AL129" s="7"/>
    </row>
    <row r="130" spans="1:38" ht="12.75" customHeight="1">
      <c r="A130" s="71"/>
      <c r="Y130" s="118"/>
      <c r="Z130" s="118"/>
      <c r="AA130" s="118"/>
      <c r="AB130" s="118"/>
      <c r="AC130" s="118"/>
      <c r="AD130" s="118"/>
      <c r="AE130" s="118"/>
      <c r="AF130" s="118"/>
      <c r="AG130" s="118"/>
      <c r="AH130" s="118"/>
      <c r="AI130" s="118"/>
      <c r="AJ130" s="118"/>
      <c r="AL130" s="7"/>
    </row>
    <row r="131" spans="1:38" ht="12.75" customHeight="1">
      <c r="A131" s="71"/>
      <c r="Y131" s="118"/>
      <c r="Z131" s="118"/>
      <c r="AA131" s="118"/>
      <c r="AB131" s="118"/>
      <c r="AC131" s="118"/>
      <c r="AD131" s="118"/>
      <c r="AE131" s="118"/>
      <c r="AF131" s="118"/>
      <c r="AG131" s="118"/>
      <c r="AH131" s="118"/>
      <c r="AI131" s="118"/>
      <c r="AJ131" s="118"/>
      <c r="AL131" s="7"/>
    </row>
    <row r="132" spans="1:38" ht="12.75" customHeight="1">
      <c r="A132" s="71"/>
      <c r="Y132" s="118"/>
      <c r="Z132" s="118"/>
      <c r="AA132" s="118"/>
      <c r="AB132" s="118"/>
      <c r="AC132" s="118"/>
      <c r="AD132" s="118"/>
      <c r="AE132" s="118"/>
      <c r="AF132" s="118"/>
      <c r="AG132" s="118"/>
      <c r="AH132" s="118"/>
      <c r="AI132" s="118"/>
      <c r="AJ132" s="118"/>
      <c r="AL132" s="7"/>
    </row>
    <row r="133" spans="1:38" ht="12.75" customHeight="1">
      <c r="A133" s="71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8"/>
      <c r="AJ133" s="118"/>
      <c r="AL133" s="7"/>
    </row>
    <row r="134" spans="1:38" ht="12.75" customHeight="1">
      <c r="A134" s="71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8"/>
      <c r="AJ134" s="118"/>
      <c r="AL134" s="7"/>
    </row>
    <row r="135" spans="1:38" ht="12.75" customHeight="1">
      <c r="A135" s="71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  <c r="AI135" s="118"/>
      <c r="AJ135" s="118"/>
      <c r="AL135" s="7"/>
    </row>
    <row r="136" spans="1:38" ht="12.75" customHeight="1">
      <c r="A136" s="71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  <c r="AI136" s="118"/>
      <c r="AJ136" s="118"/>
      <c r="AL136" s="7"/>
    </row>
    <row r="137" spans="1:38" ht="12.75" customHeight="1">
      <c r="A137" s="71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18"/>
      <c r="AI137" s="118"/>
      <c r="AJ137" s="118"/>
      <c r="AL137" s="7"/>
    </row>
    <row r="138" spans="1:38" ht="12.75" customHeight="1">
      <c r="A138" s="71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  <c r="AI138" s="118"/>
      <c r="AJ138" s="118"/>
      <c r="AL138" s="7"/>
    </row>
    <row r="139" spans="1:38" ht="12.75" customHeight="1">
      <c r="A139" s="71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  <c r="AI139" s="118"/>
      <c r="AJ139" s="118"/>
      <c r="AL139" s="7"/>
    </row>
    <row r="140" spans="1:38" ht="12.75" customHeight="1">
      <c r="A140" s="71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  <c r="AI140" s="118"/>
      <c r="AJ140" s="118"/>
      <c r="AL140" s="7"/>
    </row>
    <row r="141" spans="1:38" ht="12.75" customHeight="1">
      <c r="A141" s="71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8"/>
      <c r="AJ141" s="118"/>
      <c r="AL141" s="7"/>
    </row>
    <row r="142" spans="1:38" ht="12.75" customHeight="1">
      <c r="A142" s="71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  <c r="AI142" s="118"/>
      <c r="AJ142" s="118"/>
      <c r="AL142" s="7"/>
    </row>
    <row r="143" spans="1:38" ht="12.75" customHeight="1">
      <c r="A143" s="71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  <c r="AI143" s="118"/>
      <c r="AJ143" s="118"/>
      <c r="AL143" s="7"/>
    </row>
    <row r="144" spans="1:38" ht="12.75" customHeight="1">
      <c r="A144" s="71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  <c r="AI144" s="118"/>
      <c r="AJ144" s="118"/>
      <c r="AL144" s="7"/>
    </row>
    <row r="145" spans="1:38" ht="12.75" customHeight="1">
      <c r="A145" s="71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  <c r="AI145" s="118"/>
      <c r="AJ145" s="118"/>
      <c r="AL145" s="7"/>
    </row>
    <row r="146" spans="1:38" ht="12.75" customHeight="1">
      <c r="A146" s="71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  <c r="AI146" s="118"/>
      <c r="AJ146" s="118"/>
      <c r="AL146" s="7"/>
    </row>
    <row r="147" spans="1:38" ht="12.75" customHeight="1">
      <c r="A147" s="71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  <c r="AI147" s="118"/>
      <c r="AJ147" s="118"/>
      <c r="AL147" s="7"/>
    </row>
    <row r="148" spans="1:38" ht="12.75" customHeight="1">
      <c r="A148" s="71"/>
      <c r="Y148" s="118"/>
      <c r="Z148" s="118"/>
      <c r="AA148" s="118"/>
      <c r="AB148" s="118"/>
      <c r="AC148" s="118"/>
      <c r="AD148" s="118"/>
      <c r="AE148" s="118"/>
      <c r="AF148" s="118"/>
      <c r="AG148" s="118"/>
      <c r="AH148" s="118"/>
      <c r="AI148" s="118"/>
      <c r="AJ148" s="118"/>
      <c r="AL148" s="7"/>
    </row>
    <row r="149" spans="1:38" ht="12.75" customHeight="1">
      <c r="A149" s="71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  <c r="AI149" s="118"/>
      <c r="AJ149" s="118"/>
      <c r="AL149" s="7"/>
    </row>
    <row r="150" spans="1:38" ht="12.75" customHeight="1">
      <c r="A150" s="71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  <c r="AI150" s="118"/>
      <c r="AJ150" s="118"/>
      <c r="AL150" s="7"/>
    </row>
    <row r="151" spans="1:38" ht="12.75" customHeight="1">
      <c r="A151" s="71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  <c r="AI151" s="118"/>
      <c r="AJ151" s="118"/>
      <c r="AL151" s="7"/>
    </row>
    <row r="152" spans="1:38" ht="12.75" customHeight="1">
      <c r="A152" s="71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  <c r="AI152" s="118"/>
      <c r="AJ152" s="118"/>
      <c r="AL152" s="7"/>
    </row>
    <row r="153" spans="1:38" ht="12.75" customHeight="1">
      <c r="A153" s="71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  <c r="AI153" s="118"/>
      <c r="AJ153" s="118"/>
      <c r="AL153" s="7"/>
    </row>
    <row r="154" spans="1:38" ht="12.75" customHeight="1">
      <c r="A154" s="71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  <c r="AI154" s="118"/>
      <c r="AJ154" s="118"/>
      <c r="AL154" s="7"/>
    </row>
    <row r="155" spans="1:38" ht="12.75" customHeight="1">
      <c r="A155" s="71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  <c r="AI155" s="118"/>
      <c r="AJ155" s="118"/>
      <c r="AL155" s="7"/>
    </row>
    <row r="156" spans="1:38" ht="12.75" customHeight="1">
      <c r="A156" s="71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  <c r="AI156" s="118"/>
      <c r="AJ156" s="118"/>
      <c r="AL156" s="7"/>
    </row>
    <row r="157" spans="1:38" ht="12.75" customHeight="1">
      <c r="A157" s="71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  <c r="AI157" s="118"/>
      <c r="AJ157" s="118"/>
      <c r="AL157" s="7"/>
    </row>
    <row r="158" spans="1:38" ht="12.75" customHeight="1">
      <c r="A158" s="71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  <c r="AI158" s="118"/>
      <c r="AJ158" s="118"/>
      <c r="AL158" s="7"/>
    </row>
    <row r="159" spans="1:38" ht="12.75" customHeight="1">
      <c r="A159" s="71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18"/>
      <c r="AI159" s="118"/>
      <c r="AJ159" s="118"/>
      <c r="AL159" s="7"/>
    </row>
    <row r="160" spans="1:38" ht="12.75" customHeight="1">
      <c r="A160" s="71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  <c r="AI160" s="118"/>
      <c r="AJ160" s="118"/>
      <c r="AL160" s="7"/>
    </row>
    <row r="161" spans="1:38" ht="12.75" customHeight="1">
      <c r="A161" s="71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  <c r="AI161" s="118"/>
      <c r="AJ161" s="118"/>
      <c r="AL161" s="7"/>
    </row>
    <row r="162" spans="1:38" ht="12.75" customHeight="1">
      <c r="A162" s="71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  <c r="AI162" s="118"/>
      <c r="AJ162" s="118"/>
      <c r="AL162" s="7"/>
    </row>
    <row r="163" spans="1:38" ht="12.75" customHeight="1">
      <c r="A163" s="71"/>
      <c r="Y163" s="118"/>
      <c r="Z163" s="118"/>
      <c r="AA163" s="118"/>
      <c r="AB163" s="118"/>
      <c r="AC163" s="118"/>
      <c r="AD163" s="118"/>
      <c r="AE163" s="118"/>
      <c r="AF163" s="118"/>
      <c r="AG163" s="118"/>
      <c r="AH163" s="118"/>
      <c r="AI163" s="118"/>
      <c r="AJ163" s="118"/>
      <c r="AL163" s="7"/>
    </row>
    <row r="164" spans="1:38" ht="12.75" customHeight="1">
      <c r="A164" s="71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L164" s="7"/>
    </row>
    <row r="165" spans="1:38" ht="12.75" customHeight="1">
      <c r="A165" s="71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  <c r="AI165" s="118"/>
      <c r="AJ165" s="118"/>
      <c r="AL165" s="7"/>
    </row>
    <row r="166" spans="1:38" ht="12.75" customHeight="1">
      <c r="A166" s="71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L166" s="7"/>
    </row>
    <row r="167" spans="1:38" ht="12.75" customHeight="1">
      <c r="A167" s="71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L167" s="7"/>
    </row>
    <row r="168" spans="1:38" ht="12.75" customHeight="1">
      <c r="A168" s="71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  <c r="AI168" s="118"/>
      <c r="AJ168" s="118"/>
      <c r="AL168" s="7"/>
    </row>
    <row r="169" spans="1:38" ht="12.75" customHeight="1">
      <c r="A169" s="71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  <c r="AI169" s="118"/>
      <c r="AJ169" s="118"/>
      <c r="AL169" s="7"/>
    </row>
    <row r="170" spans="1:38" ht="12.75" customHeight="1">
      <c r="A170" s="71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8"/>
      <c r="AJ170" s="118"/>
      <c r="AL170" s="7"/>
    </row>
    <row r="171" spans="1:38" ht="12.75" customHeight="1">
      <c r="A171" s="71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  <c r="AI171" s="118"/>
      <c r="AJ171" s="118"/>
      <c r="AL171" s="7"/>
    </row>
    <row r="172" spans="1:38" ht="12.75" customHeight="1">
      <c r="A172" s="71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  <c r="AI172" s="118"/>
      <c r="AJ172" s="118"/>
      <c r="AL172" s="7"/>
    </row>
    <row r="173" spans="1:38" ht="12.75" customHeight="1">
      <c r="A173" s="71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  <c r="AI173" s="118"/>
      <c r="AJ173" s="118"/>
      <c r="AL173" s="7"/>
    </row>
    <row r="174" spans="1:38" ht="12.75" customHeight="1">
      <c r="A174" s="71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  <c r="AI174" s="118"/>
      <c r="AJ174" s="118"/>
      <c r="AL174" s="7"/>
    </row>
    <row r="175" spans="1:38" ht="12.75" customHeight="1">
      <c r="A175" s="71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8"/>
      <c r="AJ175" s="118"/>
      <c r="AL175" s="7"/>
    </row>
    <row r="176" spans="1:38" ht="12.75" customHeight="1">
      <c r="A176" s="71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  <c r="AI176" s="118"/>
      <c r="AJ176" s="118"/>
      <c r="AL176" s="7"/>
    </row>
    <row r="177" spans="1:38" ht="12.75" customHeight="1">
      <c r="A177" s="71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  <c r="AI177" s="118"/>
      <c r="AJ177" s="118"/>
      <c r="AL177" s="7"/>
    </row>
    <row r="178" spans="1:38" ht="12.75" customHeight="1">
      <c r="A178" s="71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  <c r="AI178" s="118"/>
      <c r="AJ178" s="118"/>
      <c r="AL178" s="7"/>
    </row>
    <row r="179" spans="1:38" ht="12.75" customHeight="1">
      <c r="A179" s="71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  <c r="AI179" s="118"/>
      <c r="AJ179" s="118"/>
      <c r="AL179" s="7"/>
    </row>
    <row r="180" spans="1:38" ht="12.75" customHeight="1">
      <c r="A180" s="71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  <c r="AI180" s="118"/>
      <c r="AJ180" s="118"/>
      <c r="AL180" s="7"/>
    </row>
    <row r="181" spans="1:38" ht="12.75" customHeight="1">
      <c r="A181" s="71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  <c r="AI181" s="118"/>
      <c r="AJ181" s="118"/>
      <c r="AL181" s="7"/>
    </row>
    <row r="182" spans="1:38" ht="12.75" customHeight="1">
      <c r="A182" s="71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  <c r="AI182" s="118"/>
      <c r="AJ182" s="118"/>
      <c r="AL182" s="7"/>
    </row>
    <row r="183" spans="1:38" ht="12.75" customHeight="1">
      <c r="A183" s="71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  <c r="AI183" s="118"/>
      <c r="AJ183" s="118"/>
      <c r="AL183" s="7"/>
    </row>
    <row r="184" spans="1:38" ht="12.75" customHeight="1">
      <c r="A184" s="71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  <c r="AI184" s="118"/>
      <c r="AJ184" s="118"/>
      <c r="AL184" s="7"/>
    </row>
    <row r="185" spans="1:38" ht="12.75" customHeight="1">
      <c r="A185" s="71"/>
      <c r="Y185" s="118"/>
      <c r="Z185" s="118"/>
      <c r="AA185" s="118"/>
      <c r="AB185" s="118"/>
      <c r="AC185" s="118"/>
      <c r="AD185" s="118"/>
      <c r="AE185" s="118"/>
      <c r="AF185" s="118"/>
      <c r="AG185" s="118"/>
      <c r="AH185" s="118"/>
      <c r="AI185" s="118"/>
      <c r="AJ185" s="118"/>
      <c r="AL185" s="7"/>
    </row>
    <row r="186" spans="1:38" ht="12.75" customHeight="1">
      <c r="A186" s="71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  <c r="AI186" s="118"/>
      <c r="AJ186" s="118"/>
      <c r="AL186" s="7"/>
    </row>
    <row r="187" spans="1:38" ht="12.75" customHeight="1">
      <c r="A187" s="71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8"/>
      <c r="AJ187" s="118"/>
      <c r="AL187" s="7"/>
    </row>
    <row r="188" spans="1:38" ht="12.75" customHeight="1">
      <c r="A188" s="71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  <c r="AI188" s="118"/>
      <c r="AJ188" s="118"/>
      <c r="AL188" s="7"/>
    </row>
    <row r="189" spans="1:38" ht="12.75" customHeight="1">
      <c r="A189" s="71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  <c r="AI189" s="118"/>
      <c r="AJ189" s="118"/>
      <c r="AL189" s="7"/>
    </row>
    <row r="190" spans="1:38" ht="12.75" customHeight="1">
      <c r="A190" s="71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  <c r="AI190" s="118"/>
      <c r="AJ190" s="118"/>
      <c r="AL190" s="7"/>
    </row>
    <row r="191" spans="1:38" ht="12.75" customHeight="1">
      <c r="A191" s="71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  <c r="AI191" s="118"/>
      <c r="AJ191" s="118"/>
      <c r="AL191" s="7"/>
    </row>
    <row r="192" spans="1:38" ht="12.75" customHeight="1">
      <c r="A192" s="71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  <c r="AI192" s="118"/>
      <c r="AJ192" s="118"/>
      <c r="AL192" s="7"/>
    </row>
    <row r="193" spans="1:38" ht="12.75" customHeight="1">
      <c r="A193" s="71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J193" s="118"/>
      <c r="AL193" s="7"/>
    </row>
    <row r="194" spans="1:38" ht="12.75" customHeight="1">
      <c r="A194" s="71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J194" s="118"/>
      <c r="AL194" s="7"/>
    </row>
    <row r="195" spans="1:38" ht="12.75" customHeight="1">
      <c r="A195" s="71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J196" s="118"/>
      <c r="AL196" s="7"/>
    </row>
    <row r="197" spans="1:38" ht="12.75" customHeight="1">
      <c r="A197" s="71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J197" s="118"/>
      <c r="AL197" s="7"/>
    </row>
    <row r="198" spans="1:38" ht="12.75" customHeight="1">
      <c r="A198" s="71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J198" s="118"/>
      <c r="AL198" s="7"/>
    </row>
    <row r="199" spans="1:38" ht="12.75" customHeight="1">
      <c r="A199" s="71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J199" s="118"/>
      <c r="AL199" s="7"/>
    </row>
    <row r="200" spans="1:38" ht="12.75" customHeight="1">
      <c r="A200" s="71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J200" s="118"/>
      <c r="AL200" s="7"/>
    </row>
    <row r="201" spans="1:38" ht="12.75" customHeight="1">
      <c r="A201" s="71"/>
      <c r="Y201" s="118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J201" s="118"/>
      <c r="AL201" s="7"/>
    </row>
    <row r="202" spans="1:38" ht="12.75" customHeight="1">
      <c r="A202" s="71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J202" s="118"/>
      <c r="AL202" s="7"/>
    </row>
    <row r="203" spans="1:38" ht="12.75" customHeight="1">
      <c r="A203" s="71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J203" s="118"/>
      <c r="AL203" s="7"/>
    </row>
    <row r="204" spans="1:38" ht="12.75" customHeight="1">
      <c r="A204" s="71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J204" s="118"/>
      <c r="AL204" s="7"/>
    </row>
    <row r="205" spans="1:38" ht="12.75" customHeight="1">
      <c r="A205" s="71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J205" s="118"/>
      <c r="AL205" s="7"/>
    </row>
    <row r="206" spans="1:38" ht="12.75" customHeight="1">
      <c r="A206" s="71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J206" s="118"/>
      <c r="AL206" s="7"/>
    </row>
    <row r="207" spans="1:38" ht="12.75" customHeight="1">
      <c r="A207" s="71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J207" s="118"/>
      <c r="AL207" s="7"/>
    </row>
    <row r="208" spans="1:38" ht="12.75" customHeight="1">
      <c r="A208" s="71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J208" s="118"/>
      <c r="AL208" s="7"/>
    </row>
    <row r="209" spans="1:38" ht="12.75" customHeight="1">
      <c r="A209" s="71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J209" s="118"/>
      <c r="AL209" s="7"/>
    </row>
    <row r="210" spans="1:38" ht="12.75" customHeight="1">
      <c r="A210" s="71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J210" s="118"/>
      <c r="AL210" s="7"/>
    </row>
    <row r="211" spans="1:38" ht="12.75" customHeight="1">
      <c r="A211" s="71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J211" s="118"/>
      <c r="AL211" s="7"/>
    </row>
    <row r="212" spans="1:38" ht="12.75" customHeight="1">
      <c r="A212" s="71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J212" s="118"/>
      <c r="AL212" s="7"/>
    </row>
    <row r="213" spans="1:38" ht="12.75" customHeight="1">
      <c r="A213" s="71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J213" s="118"/>
      <c r="AL213" s="7"/>
    </row>
    <row r="214" spans="1:38" ht="12.75" customHeight="1">
      <c r="A214" s="71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J214" s="118"/>
      <c r="AL214" s="7"/>
    </row>
    <row r="215" spans="1:38" ht="12.75" customHeight="1">
      <c r="A215" s="71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J215" s="118"/>
      <c r="AL215" s="7"/>
    </row>
    <row r="216" spans="1:38" ht="12.75" customHeight="1">
      <c r="A216" s="71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J216" s="118"/>
      <c r="AL216" s="7"/>
    </row>
    <row r="217" spans="1:38" ht="12.75" customHeight="1">
      <c r="A217" s="71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J217" s="118"/>
      <c r="AL217" s="7"/>
    </row>
    <row r="218" spans="1:38" ht="12.75" customHeight="1">
      <c r="A218" s="71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J218" s="118"/>
      <c r="AL218" s="7"/>
    </row>
    <row r="219" spans="1:38" ht="12.75" customHeight="1">
      <c r="A219" s="71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J219" s="118"/>
      <c r="AL219" s="7"/>
    </row>
    <row r="220" spans="1:38" ht="12.75" customHeight="1">
      <c r="A220" s="71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  <c r="AI220" s="118"/>
      <c r="AJ220" s="118"/>
      <c r="AL220" s="7"/>
    </row>
    <row r="221" spans="1:38" ht="12.75" customHeight="1">
      <c r="A221" s="71"/>
      <c r="Y221" s="118"/>
      <c r="Z221" s="118"/>
      <c r="AA221" s="118"/>
      <c r="AB221" s="118"/>
      <c r="AC221" s="118"/>
      <c r="AD221" s="118"/>
      <c r="AE221" s="118"/>
      <c r="AF221" s="118"/>
      <c r="AG221" s="118"/>
      <c r="AH221" s="118"/>
      <c r="AI221" s="118"/>
      <c r="AJ221" s="118"/>
      <c r="AL221" s="7"/>
    </row>
    <row r="222" spans="1:38" ht="12.75" customHeight="1">
      <c r="A222" s="71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  <c r="AI222" s="118"/>
      <c r="AJ222" s="118"/>
      <c r="AL222" s="7"/>
    </row>
    <row r="223" spans="1:38" ht="12.75" customHeight="1">
      <c r="A223" s="71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  <c r="AI223" s="118"/>
      <c r="AJ223" s="118"/>
      <c r="AL223" s="7"/>
    </row>
    <row r="224" spans="1:38" ht="12.75" customHeight="1">
      <c r="A224" s="71"/>
      <c r="Y224" s="118"/>
      <c r="Z224" s="118"/>
      <c r="AA224" s="118"/>
      <c r="AB224" s="118"/>
      <c r="AC224" s="118"/>
      <c r="AD224" s="118"/>
      <c r="AE224" s="118"/>
      <c r="AF224" s="118"/>
      <c r="AG224" s="118"/>
      <c r="AH224" s="118"/>
      <c r="AI224" s="118"/>
      <c r="AJ224" s="118"/>
      <c r="AL224" s="7"/>
    </row>
    <row r="225" spans="1:38" ht="12.75" customHeight="1">
      <c r="A225" s="71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  <c r="AI225" s="118"/>
      <c r="AJ225" s="118"/>
      <c r="AL225" s="7"/>
    </row>
    <row r="226" spans="1:38" ht="12.75" customHeight="1">
      <c r="A226" s="71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  <c r="AI226" s="118"/>
      <c r="AJ226" s="118"/>
      <c r="AL226" s="7"/>
    </row>
    <row r="227" spans="1:38" ht="12.75" customHeight="1">
      <c r="A227" s="71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  <c r="AI227" s="118"/>
      <c r="AJ227" s="118"/>
      <c r="AL227" s="7"/>
    </row>
    <row r="228" spans="1:38" ht="12.75" customHeight="1">
      <c r="A228" s="71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  <c r="AI228" s="118"/>
      <c r="AJ228" s="118"/>
      <c r="AL228" s="7"/>
    </row>
    <row r="229" spans="1:38" ht="12.75" customHeight="1">
      <c r="A229" s="71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  <c r="AI229" s="118"/>
      <c r="AJ229" s="118"/>
      <c r="AL229" s="7"/>
    </row>
    <row r="230" spans="1:38" ht="12.75" customHeight="1">
      <c r="A230" s="71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  <c r="AI230" s="118"/>
      <c r="AJ230" s="118"/>
      <c r="AL230" s="7"/>
    </row>
    <row r="231" spans="1:38" ht="12.75" customHeight="1">
      <c r="A231" s="71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  <c r="AI231" s="118"/>
      <c r="AJ231" s="118"/>
      <c r="AL231" s="7"/>
    </row>
    <row r="232" spans="1:38" ht="12.75" customHeight="1">
      <c r="A232" s="71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  <c r="AI232" s="118"/>
      <c r="AJ232" s="118"/>
      <c r="AL232" s="7"/>
    </row>
    <row r="233" spans="1:38" ht="12.75" customHeight="1">
      <c r="A233" s="71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  <c r="AI233" s="118"/>
      <c r="AJ233" s="118"/>
      <c r="AL233" s="7"/>
    </row>
    <row r="234" spans="1:38" ht="12.75" customHeight="1">
      <c r="A234" s="71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  <c r="AI234" s="118"/>
      <c r="AJ234" s="118"/>
      <c r="AL234" s="7"/>
    </row>
    <row r="235" spans="1:38" ht="12.75" customHeight="1">
      <c r="A235" s="71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  <c r="AI235" s="118"/>
      <c r="AJ235" s="118"/>
      <c r="AL235" s="7"/>
    </row>
    <row r="236" spans="1:38" ht="12.75" customHeight="1">
      <c r="A236" s="71"/>
      <c r="Y236" s="118"/>
      <c r="Z236" s="118"/>
      <c r="AA236" s="118"/>
      <c r="AB236" s="118"/>
      <c r="AC236" s="118"/>
      <c r="AD236" s="118"/>
      <c r="AE236" s="118"/>
      <c r="AF236" s="118"/>
      <c r="AG236" s="118"/>
      <c r="AH236" s="118"/>
      <c r="AI236" s="118"/>
      <c r="AJ236" s="118"/>
      <c r="AL236" s="7"/>
    </row>
    <row r="237" spans="1:38" ht="12.75" customHeight="1">
      <c r="A237" s="71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  <c r="AI237" s="118"/>
      <c r="AJ237" s="118"/>
      <c r="AL237" s="7"/>
    </row>
    <row r="238" spans="1:38" ht="12.75" customHeight="1">
      <c r="A238" s="71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  <c r="AI238" s="118"/>
      <c r="AJ238" s="118"/>
      <c r="AL238" s="7"/>
    </row>
    <row r="239" spans="1:38" ht="12.75" customHeight="1">
      <c r="A239" s="71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  <c r="AI239" s="118"/>
      <c r="AJ239" s="118"/>
      <c r="AL239" s="7"/>
    </row>
    <row r="240" spans="1:38" ht="12.75" customHeight="1">
      <c r="A240" s="71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  <c r="AI240" s="118"/>
      <c r="AJ240" s="118"/>
      <c r="AL240" s="7"/>
    </row>
    <row r="241" spans="1:38" ht="12.75" customHeight="1">
      <c r="A241" s="71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  <c r="AI241" s="118"/>
      <c r="AJ241" s="118"/>
      <c r="AL241" s="7"/>
    </row>
    <row r="242" spans="1:38" ht="12.75" customHeight="1">
      <c r="A242" s="71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  <c r="AI242" s="118"/>
      <c r="AJ242" s="118"/>
      <c r="AL242" s="7"/>
    </row>
    <row r="243" spans="1:38" ht="12.75" customHeight="1">
      <c r="A243" s="71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L243" s="7"/>
    </row>
    <row r="244" spans="1:38" ht="12.75" customHeight="1">
      <c r="A244" s="71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  <c r="AI244" s="118"/>
      <c r="AJ244" s="118"/>
      <c r="AL244" s="7"/>
    </row>
    <row r="245" spans="1:38" ht="12.75" customHeight="1">
      <c r="A245" s="71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  <c r="AI245" s="118"/>
      <c r="AJ245" s="118"/>
      <c r="AL245" s="7"/>
    </row>
    <row r="246" spans="1:38" ht="12.75" customHeight="1">
      <c r="A246" s="71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  <c r="AI246" s="118"/>
      <c r="AJ246" s="118"/>
      <c r="AL246" s="7"/>
    </row>
    <row r="247" spans="1:38" ht="12.75" customHeight="1">
      <c r="A247" s="71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  <c r="AI247" s="118"/>
      <c r="AJ247" s="118"/>
      <c r="AL247" s="7"/>
    </row>
    <row r="248" spans="1:38" ht="12.75" customHeight="1">
      <c r="A248" s="71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  <c r="AI248" s="118"/>
      <c r="AJ248" s="118"/>
      <c r="AL248" s="7"/>
    </row>
    <row r="249" spans="1:38" ht="12.75" customHeight="1">
      <c r="A249" s="71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  <c r="AI249" s="118"/>
      <c r="AJ249" s="118"/>
      <c r="AL249" s="7"/>
    </row>
    <row r="250" spans="1:38" ht="12.75" customHeight="1">
      <c r="A250" s="71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  <c r="AI250" s="118"/>
      <c r="AJ250" s="118"/>
      <c r="AL250" s="7"/>
    </row>
    <row r="251" spans="1:38" ht="12.75" customHeight="1">
      <c r="A251" s="71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  <c r="AI251" s="118"/>
      <c r="AJ251" s="118"/>
      <c r="AL251" s="7"/>
    </row>
    <row r="252" spans="1:38" ht="12.75" customHeight="1">
      <c r="A252" s="71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  <c r="AI252" s="118"/>
      <c r="AJ252" s="118"/>
      <c r="AL252" s="7"/>
    </row>
    <row r="253" spans="1:38" ht="12.75" customHeight="1">
      <c r="A253" s="71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  <c r="AI253" s="118"/>
      <c r="AJ253" s="118"/>
      <c r="AL253" s="7"/>
    </row>
    <row r="254" spans="1:38" ht="12.75" customHeight="1">
      <c r="A254" s="71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  <c r="AI254" s="118"/>
      <c r="AJ254" s="118"/>
      <c r="AL254" s="7"/>
    </row>
    <row r="255" spans="1:38" ht="12.75" customHeight="1">
      <c r="A255" s="71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  <c r="AI255" s="118"/>
      <c r="AJ255" s="118"/>
      <c r="AL255" s="7"/>
    </row>
    <row r="256" spans="1:38" ht="12.75" customHeight="1">
      <c r="A256" s="71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  <c r="AI256" s="118"/>
      <c r="AJ256" s="118"/>
      <c r="AL256" s="7"/>
    </row>
    <row r="257" spans="1:38" ht="12.75" customHeight="1">
      <c r="A257" s="71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  <c r="AI257" s="118"/>
      <c r="AJ257" s="118"/>
      <c r="AL257" s="7"/>
    </row>
    <row r="258" spans="1:38" ht="12.75" customHeight="1">
      <c r="A258" s="71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  <c r="AI258" s="118"/>
      <c r="AJ258" s="118"/>
      <c r="AL258" s="7"/>
    </row>
    <row r="259" spans="1:38" ht="12.75" customHeight="1">
      <c r="A259" s="71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  <c r="AI259" s="118"/>
      <c r="AJ259" s="118"/>
      <c r="AL259" s="7"/>
    </row>
    <row r="260" spans="1:38" ht="12.75" customHeight="1">
      <c r="A260" s="71"/>
      <c r="Y260" s="118"/>
      <c r="Z260" s="118"/>
      <c r="AA260" s="118"/>
      <c r="AB260" s="118"/>
      <c r="AC260" s="118"/>
      <c r="AD260" s="118"/>
      <c r="AE260" s="118"/>
      <c r="AF260" s="118"/>
      <c r="AG260" s="118"/>
      <c r="AH260" s="118"/>
      <c r="AI260" s="118"/>
      <c r="AJ260" s="118"/>
      <c r="AL260" s="7"/>
    </row>
    <row r="261" spans="1:38" ht="12.75" customHeight="1">
      <c r="A261" s="71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  <c r="AI261" s="118"/>
      <c r="AJ261" s="118"/>
      <c r="AL261" s="7"/>
    </row>
    <row r="262" spans="1:38" ht="12.75" customHeight="1">
      <c r="A262" s="71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  <c r="AI262" s="118"/>
      <c r="AJ262" s="118"/>
      <c r="AL262" s="7"/>
    </row>
    <row r="263" spans="1:38" ht="12.75" customHeight="1">
      <c r="A263" s="71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  <c r="AI263" s="118"/>
      <c r="AJ263" s="118"/>
      <c r="AL263" s="7"/>
    </row>
    <row r="264" spans="1:38" ht="12.75" customHeight="1">
      <c r="A264" s="71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  <c r="AI264" s="118"/>
      <c r="AJ264" s="118"/>
      <c r="AL264" s="7"/>
    </row>
    <row r="265" spans="1:38" ht="12.75" customHeight="1">
      <c r="A265" s="71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  <c r="AI265" s="118"/>
      <c r="AJ265" s="118"/>
      <c r="AL265" s="7"/>
    </row>
    <row r="266" spans="1:38" ht="12.75" customHeight="1">
      <c r="A266" s="71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  <c r="AI266" s="118"/>
      <c r="AJ266" s="118"/>
      <c r="AL266" s="7"/>
    </row>
    <row r="267" spans="1:38" ht="12.75" customHeight="1">
      <c r="A267" s="71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  <c r="AI267" s="118"/>
      <c r="AJ267" s="118"/>
      <c r="AL267" s="7"/>
    </row>
    <row r="268" spans="1:38" ht="12.75" customHeight="1">
      <c r="A268" s="71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  <c r="AI268" s="118"/>
      <c r="AJ268" s="118"/>
      <c r="AL268" s="7"/>
    </row>
    <row r="269" spans="1:38" ht="12.75" customHeight="1">
      <c r="A269" s="71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  <c r="AI269" s="118"/>
      <c r="AJ269" s="118"/>
      <c r="AL269" s="7"/>
    </row>
    <row r="270" spans="1:38" ht="12.75" customHeight="1">
      <c r="A270" s="71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  <c r="AI270" s="118"/>
      <c r="AJ270" s="118"/>
      <c r="AL270" s="7"/>
    </row>
    <row r="271" spans="1:38" ht="12.75" customHeight="1">
      <c r="A271" s="71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8"/>
      <c r="AJ271" s="118"/>
      <c r="AL271" s="7"/>
    </row>
    <row r="272" spans="1:38" ht="12.75" customHeight="1">
      <c r="A272" s="71"/>
      <c r="Y272" s="118"/>
      <c r="Z272" s="118"/>
      <c r="AA272" s="118"/>
      <c r="AB272" s="118"/>
      <c r="AC272" s="118"/>
      <c r="AD272" s="118"/>
      <c r="AE272" s="118"/>
      <c r="AF272" s="118"/>
      <c r="AG272" s="118"/>
      <c r="AH272" s="118"/>
      <c r="AI272" s="118"/>
      <c r="AJ272" s="118"/>
      <c r="AL272" s="7"/>
    </row>
    <row r="273" spans="1:38" ht="12.75" customHeight="1">
      <c r="A273" s="71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  <c r="AI273" s="118"/>
      <c r="AJ273" s="118"/>
      <c r="AL273" s="7"/>
    </row>
    <row r="274" spans="1:38" ht="12.75" customHeight="1">
      <c r="A274" s="71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  <c r="AI274" s="118"/>
      <c r="AJ274" s="118"/>
      <c r="AL274" s="7"/>
    </row>
    <row r="275" spans="1:38" ht="12.75" customHeight="1">
      <c r="A275" s="71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  <c r="AI275" s="118"/>
      <c r="AJ275" s="118"/>
      <c r="AL275" s="7"/>
    </row>
    <row r="276" spans="1:38" ht="12.75" customHeight="1">
      <c r="A276" s="71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  <c r="AI276" s="118"/>
      <c r="AJ276" s="118"/>
      <c r="AL276" s="7"/>
    </row>
    <row r="277" spans="1:38" ht="12.75" customHeight="1">
      <c r="A277" s="71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  <c r="AI277" s="118"/>
      <c r="AJ277" s="118"/>
      <c r="AL277" s="7"/>
    </row>
    <row r="278" spans="1:38" ht="12.75" customHeight="1">
      <c r="A278" s="71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  <c r="AI278" s="118"/>
      <c r="AJ278" s="118"/>
      <c r="AL278" s="7"/>
    </row>
    <row r="279" spans="1:38" ht="12.75" customHeight="1">
      <c r="A279" s="71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  <c r="AI279" s="118"/>
      <c r="AJ279" s="118"/>
      <c r="AL279" s="7"/>
    </row>
    <row r="280" spans="1:38" ht="12.75" customHeight="1">
      <c r="A280" s="71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  <c r="AI280" s="118"/>
      <c r="AJ280" s="118"/>
      <c r="AL280" s="7"/>
    </row>
    <row r="281" spans="1:38" ht="12.75" customHeight="1">
      <c r="A281" s="71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  <c r="AI281" s="118"/>
      <c r="AJ281" s="118"/>
      <c r="AL281" s="7"/>
    </row>
    <row r="282" spans="1:38" ht="12.75" customHeight="1">
      <c r="A282" s="71"/>
      <c r="Y282" s="118"/>
      <c r="Z282" s="118"/>
      <c r="AA282" s="118"/>
      <c r="AB282" s="118"/>
      <c r="AC282" s="118"/>
      <c r="AD282" s="118"/>
      <c r="AE282" s="118"/>
      <c r="AF282" s="118"/>
      <c r="AG282" s="118"/>
      <c r="AH282" s="118"/>
      <c r="AI282" s="118"/>
      <c r="AJ282" s="118"/>
      <c r="AL282" s="7"/>
    </row>
    <row r="283" spans="1:38" ht="12.75" customHeight="1">
      <c r="A283" s="71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  <c r="AI283" s="118"/>
      <c r="AJ283" s="118"/>
      <c r="AL283" s="7"/>
    </row>
    <row r="284" spans="1:38" ht="12.75" customHeight="1">
      <c r="A284" s="71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  <c r="AI284" s="118"/>
      <c r="AJ284" s="118"/>
      <c r="AL284" s="7"/>
    </row>
    <row r="285" spans="1:38" ht="12.75" customHeight="1">
      <c r="A285" s="71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  <c r="AI285" s="118"/>
      <c r="AJ285" s="118"/>
      <c r="AL285" s="7"/>
    </row>
    <row r="286" spans="1:38" ht="12.75" customHeight="1">
      <c r="A286" s="71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  <c r="AI286" s="118"/>
      <c r="AJ286" s="118"/>
      <c r="AL286" s="7"/>
    </row>
    <row r="287" spans="1:38" ht="12.75" customHeight="1">
      <c r="A287" s="71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  <c r="AI287" s="118"/>
      <c r="AJ287" s="118"/>
      <c r="AL287" s="7"/>
    </row>
    <row r="288" spans="1:38" ht="12.75" customHeight="1">
      <c r="A288" s="71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  <c r="AI288" s="118"/>
      <c r="AJ288" s="118"/>
      <c r="AL288" s="7"/>
    </row>
    <row r="289" spans="1:38" ht="12.75" customHeight="1">
      <c r="A289" s="71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  <c r="AI289" s="118"/>
      <c r="AJ289" s="118"/>
      <c r="AL289" s="7"/>
    </row>
    <row r="290" spans="1:38" ht="12.75" customHeight="1">
      <c r="A290" s="71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  <c r="AI290" s="118"/>
      <c r="AJ290" s="118"/>
      <c r="AL290" s="7"/>
    </row>
    <row r="291" spans="1:38" ht="12.75" customHeight="1">
      <c r="A291" s="71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  <c r="AI291" s="118"/>
      <c r="AJ291" s="118"/>
      <c r="AL291" s="7"/>
    </row>
    <row r="292" spans="1:38" ht="12.75" customHeight="1">
      <c r="A292" s="71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  <c r="AI292" s="118"/>
      <c r="AJ292" s="118"/>
      <c r="AL292" s="7"/>
    </row>
    <row r="293" spans="1:38" ht="12.75" customHeight="1">
      <c r="A293" s="71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  <c r="AI293" s="118"/>
      <c r="AJ293" s="118"/>
      <c r="AL293" s="7"/>
    </row>
    <row r="294" spans="1:38" ht="12.75" customHeight="1">
      <c r="A294" s="71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  <c r="AI294" s="118"/>
      <c r="AJ294" s="118"/>
      <c r="AL294" s="7"/>
    </row>
    <row r="295" spans="1:38" ht="12.75" customHeight="1">
      <c r="A295" s="71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  <c r="AI295" s="118"/>
      <c r="AJ295" s="118"/>
      <c r="AL295" s="7"/>
    </row>
    <row r="296" spans="1:38" ht="12.75" customHeight="1">
      <c r="A296" s="71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  <c r="AI296" s="118"/>
      <c r="AJ296" s="118"/>
      <c r="AL296" s="7"/>
    </row>
    <row r="297" spans="1:38" ht="12.75" customHeight="1">
      <c r="A297" s="71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  <c r="AI297" s="118"/>
      <c r="AJ297" s="118"/>
      <c r="AL297" s="7"/>
    </row>
    <row r="298" spans="1:38" ht="12.75" customHeight="1">
      <c r="A298" s="71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  <c r="AI298" s="118"/>
      <c r="AJ298" s="118"/>
      <c r="AL298" s="7"/>
    </row>
    <row r="299" spans="1:38" ht="12.75" customHeight="1">
      <c r="A299" s="71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  <c r="AI299" s="118"/>
      <c r="AJ299" s="118"/>
      <c r="AL299" s="7"/>
    </row>
    <row r="300" spans="1:38" ht="12.75" customHeight="1">
      <c r="A300" s="71"/>
      <c r="Y300" s="118"/>
      <c r="Z300" s="118"/>
      <c r="AA300" s="118"/>
      <c r="AB300" s="118"/>
      <c r="AC300" s="118"/>
      <c r="AD300" s="118"/>
      <c r="AE300" s="118"/>
      <c r="AF300" s="118"/>
      <c r="AG300" s="118"/>
      <c r="AH300" s="118"/>
      <c r="AI300" s="118"/>
      <c r="AJ300" s="118"/>
      <c r="AL300" s="7"/>
    </row>
    <row r="301" spans="1:38" ht="12.75" customHeight="1">
      <c r="A301" s="71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  <c r="AI301" s="118"/>
      <c r="AJ301" s="118"/>
      <c r="AL301" s="7"/>
    </row>
    <row r="302" spans="1:38" ht="12.75" customHeight="1">
      <c r="A302" s="71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  <c r="AI302" s="118"/>
      <c r="AJ302" s="118"/>
      <c r="AL302" s="7"/>
    </row>
    <row r="303" spans="1:38" ht="12.75" customHeight="1">
      <c r="A303" s="71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  <c r="AI303" s="118"/>
      <c r="AJ303" s="118"/>
      <c r="AL303" s="7"/>
    </row>
    <row r="304" spans="1:38" ht="12.75" customHeight="1">
      <c r="A304" s="71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L304" s="7"/>
    </row>
    <row r="305" spans="1:38" ht="12.75" customHeight="1">
      <c r="A305" s="71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  <c r="AI305" s="118"/>
      <c r="AJ305" s="118"/>
      <c r="AL305" s="7"/>
    </row>
    <row r="306" spans="1:38" ht="12.75" customHeight="1">
      <c r="A306" s="71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  <c r="AI306" s="118"/>
      <c r="AJ306" s="118"/>
      <c r="AL306" s="7"/>
    </row>
    <row r="307" spans="1:38" ht="12.75" customHeight="1">
      <c r="A307" s="71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  <c r="AI307" s="118"/>
      <c r="AJ307" s="118"/>
      <c r="AL307" s="7"/>
    </row>
    <row r="308" spans="1:38" ht="12.75" customHeight="1">
      <c r="A308" s="71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  <c r="AI308" s="118"/>
      <c r="AJ308" s="118"/>
      <c r="AL308" s="7"/>
    </row>
    <row r="309" spans="1:38" ht="12.75" customHeight="1">
      <c r="A309" s="71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  <c r="AI309" s="118"/>
      <c r="AJ309" s="118"/>
      <c r="AL309" s="7"/>
    </row>
    <row r="310" spans="1:38" ht="12.75" customHeight="1">
      <c r="A310" s="71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  <c r="AI310" s="118"/>
      <c r="AJ310" s="118"/>
      <c r="AL310" s="7"/>
    </row>
    <row r="311" spans="1:38" ht="12.75" customHeight="1">
      <c r="A311" s="71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  <c r="AI311" s="118"/>
      <c r="AJ311" s="118"/>
      <c r="AL311" s="7"/>
    </row>
    <row r="312" spans="1:38" ht="12.75" customHeight="1">
      <c r="A312" s="71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  <c r="AI312" s="118"/>
      <c r="AJ312" s="118"/>
      <c r="AL312" s="7"/>
    </row>
    <row r="313" spans="1:38" ht="12.75" customHeight="1">
      <c r="A313" s="71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  <c r="AI313" s="118"/>
      <c r="AJ313" s="118"/>
      <c r="AL313" s="7"/>
    </row>
    <row r="314" spans="1:38" ht="12.75" customHeight="1">
      <c r="A314" s="71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  <c r="AI314" s="118"/>
      <c r="AJ314" s="118"/>
      <c r="AL314" s="7"/>
    </row>
    <row r="315" spans="1:38" ht="12.75" customHeight="1">
      <c r="A315" s="71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  <c r="AI315" s="118"/>
      <c r="AJ315" s="118"/>
      <c r="AL315" s="7"/>
    </row>
    <row r="316" spans="1:38" ht="12.75" customHeight="1">
      <c r="A316" s="71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  <c r="AI316" s="118"/>
      <c r="AJ316" s="118"/>
      <c r="AL316" s="7"/>
    </row>
    <row r="317" spans="1:38" ht="12.75" customHeight="1">
      <c r="A317" s="71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  <c r="AI317" s="118"/>
      <c r="AJ317" s="118"/>
      <c r="AL317" s="7"/>
    </row>
    <row r="318" spans="1:38" ht="12.75" customHeight="1">
      <c r="A318" s="71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  <c r="AI318" s="118"/>
      <c r="AJ318" s="118"/>
      <c r="AL318" s="7"/>
    </row>
    <row r="319" spans="1:38" ht="12.75" customHeight="1">
      <c r="A319" s="71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  <c r="AI319" s="118"/>
      <c r="AJ319" s="118"/>
      <c r="AL319" s="7"/>
    </row>
    <row r="320" spans="1:38" ht="12.75" customHeight="1">
      <c r="A320" s="71"/>
      <c r="Y320" s="118"/>
      <c r="Z320" s="118"/>
      <c r="AA320" s="118"/>
      <c r="AB320" s="118"/>
      <c r="AC320" s="118"/>
      <c r="AD320" s="118"/>
      <c r="AE320" s="118"/>
      <c r="AF320" s="118"/>
      <c r="AG320" s="118"/>
      <c r="AH320" s="118"/>
      <c r="AI320" s="118"/>
      <c r="AJ320" s="118"/>
      <c r="AL320" s="7"/>
    </row>
    <row r="321" spans="1:38" ht="12.75" customHeight="1">
      <c r="A321" s="71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  <c r="AI321" s="118"/>
      <c r="AJ321" s="118"/>
      <c r="AL321" s="7"/>
    </row>
    <row r="322" spans="1:38" ht="12.75" customHeight="1">
      <c r="A322" s="71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  <c r="AI322" s="118"/>
      <c r="AJ322" s="118"/>
      <c r="AL322" s="7"/>
    </row>
    <row r="323" spans="1:38" ht="12.75" customHeight="1">
      <c r="A323" s="71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  <c r="AI323" s="118"/>
      <c r="AJ323" s="118"/>
      <c r="AL323" s="7"/>
    </row>
    <row r="324" spans="1:38" ht="12.75" customHeight="1">
      <c r="A324" s="71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  <c r="AI324" s="118"/>
      <c r="AJ324" s="118"/>
      <c r="AL324" s="7"/>
    </row>
    <row r="325" spans="1:38" ht="12.75" customHeight="1">
      <c r="A325" s="71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  <c r="AI325" s="118"/>
      <c r="AJ325" s="118"/>
      <c r="AL325" s="7"/>
    </row>
    <row r="326" spans="1:38" ht="12.75" customHeight="1">
      <c r="A326" s="71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  <c r="AI326" s="118"/>
      <c r="AJ326" s="118"/>
      <c r="AL326" s="7"/>
    </row>
    <row r="327" spans="1:38" ht="12.75" customHeight="1">
      <c r="A327" s="71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  <c r="AI327" s="118"/>
      <c r="AJ327" s="118"/>
      <c r="AL327" s="7"/>
    </row>
    <row r="328" spans="1:38" ht="12.75" customHeight="1">
      <c r="A328" s="71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  <c r="AI328" s="118"/>
      <c r="AJ328" s="118"/>
      <c r="AL328" s="7"/>
    </row>
    <row r="329" spans="1:38" ht="12.75" customHeight="1">
      <c r="A329" s="71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  <c r="AI329" s="118"/>
      <c r="AJ329" s="118"/>
      <c r="AL329" s="7"/>
    </row>
    <row r="330" spans="1:38" ht="12.75" customHeight="1">
      <c r="A330" s="71"/>
      <c r="Y330" s="118"/>
      <c r="Z330" s="118"/>
      <c r="AA330" s="118"/>
      <c r="AB330" s="118"/>
      <c r="AC330" s="118"/>
      <c r="AD330" s="118"/>
      <c r="AE330" s="118"/>
      <c r="AF330" s="118"/>
      <c r="AG330" s="118"/>
      <c r="AH330" s="118"/>
      <c r="AI330" s="118"/>
      <c r="AJ330" s="118"/>
      <c r="AL330" s="7"/>
    </row>
    <row r="331" spans="1:38" ht="12.75" customHeight="1">
      <c r="A331" s="71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  <c r="AI331" s="118"/>
      <c r="AJ331" s="118"/>
      <c r="AL331" s="7"/>
    </row>
    <row r="332" spans="1:38" ht="12.75" customHeight="1">
      <c r="A332" s="71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  <c r="AI332" s="118"/>
      <c r="AJ332" s="118"/>
      <c r="AL332" s="7"/>
    </row>
    <row r="333" spans="1:38" ht="12.75" customHeight="1">
      <c r="A333" s="71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  <c r="AI333" s="118"/>
      <c r="AJ333" s="118"/>
      <c r="AL333" s="7"/>
    </row>
    <row r="334" spans="1:38" ht="12.75" customHeight="1">
      <c r="A334" s="71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  <c r="AI334" s="118"/>
      <c r="AJ334" s="118"/>
      <c r="AL334" s="7"/>
    </row>
    <row r="335" spans="1:38" ht="12.75" customHeight="1">
      <c r="A335" s="71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  <c r="AI335" s="118"/>
      <c r="AJ335" s="118"/>
      <c r="AL335" s="7"/>
    </row>
    <row r="336" spans="1:38" ht="12.75" customHeight="1">
      <c r="A336" s="71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  <c r="AI336" s="118"/>
      <c r="AJ336" s="118"/>
      <c r="AL336" s="7"/>
    </row>
    <row r="337" spans="1:38" ht="12.75" customHeight="1">
      <c r="A337" s="71"/>
      <c r="Y337" s="118"/>
      <c r="Z337" s="118"/>
      <c r="AA337" s="118"/>
      <c r="AB337" s="118"/>
      <c r="AC337" s="118"/>
      <c r="AD337" s="118"/>
      <c r="AE337" s="118"/>
      <c r="AF337" s="118"/>
      <c r="AG337" s="118"/>
      <c r="AH337" s="118"/>
      <c r="AI337" s="118"/>
      <c r="AJ337" s="118"/>
      <c r="AL337" s="7"/>
    </row>
    <row r="338" spans="1:38" ht="12.75" customHeight="1">
      <c r="A338" s="71"/>
      <c r="Y338" s="118"/>
      <c r="Z338" s="118"/>
      <c r="AA338" s="118"/>
      <c r="AB338" s="118"/>
      <c r="AC338" s="118"/>
      <c r="AD338" s="118"/>
      <c r="AE338" s="118"/>
      <c r="AF338" s="118"/>
      <c r="AG338" s="118"/>
      <c r="AH338" s="118"/>
      <c r="AI338" s="118"/>
      <c r="AJ338" s="118"/>
      <c r="AL338" s="7"/>
    </row>
    <row r="339" spans="1:38" ht="12.75" customHeight="1">
      <c r="A339" s="71"/>
      <c r="Y339" s="118"/>
      <c r="Z339" s="118"/>
      <c r="AA339" s="118"/>
      <c r="AB339" s="118"/>
      <c r="AC339" s="118"/>
      <c r="AD339" s="118"/>
      <c r="AE339" s="118"/>
      <c r="AF339" s="118"/>
      <c r="AG339" s="118"/>
      <c r="AH339" s="118"/>
      <c r="AI339" s="118"/>
      <c r="AJ339" s="118"/>
      <c r="AL339" s="7"/>
    </row>
    <row r="340" spans="1:38" ht="12.75" customHeight="1">
      <c r="A340" s="71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  <c r="AI340" s="118"/>
      <c r="AJ340" s="118"/>
      <c r="AL340" s="7"/>
    </row>
    <row r="341" spans="1:38" ht="12.75" customHeight="1">
      <c r="A341" s="71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  <c r="AI341" s="118"/>
      <c r="AJ341" s="118"/>
      <c r="AL341" s="7"/>
    </row>
    <row r="342" spans="1:38" ht="12.75" customHeight="1">
      <c r="A342" s="71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  <c r="AI342" s="118"/>
      <c r="AJ342" s="118"/>
      <c r="AL342" s="7"/>
    </row>
    <row r="343" spans="1:38" ht="12.75" customHeight="1">
      <c r="A343" s="71"/>
      <c r="Y343" s="118"/>
      <c r="Z343" s="118"/>
      <c r="AA343" s="118"/>
      <c r="AB343" s="118"/>
      <c r="AC343" s="118"/>
      <c r="AD343" s="118"/>
      <c r="AE343" s="118"/>
      <c r="AF343" s="118"/>
      <c r="AG343" s="118"/>
      <c r="AH343" s="118"/>
      <c r="AI343" s="118"/>
      <c r="AJ343" s="118"/>
      <c r="AL343" s="7"/>
    </row>
    <row r="344" spans="1:38" ht="12.75" customHeight="1">
      <c r="A344" s="71"/>
      <c r="Y344" s="118"/>
      <c r="Z344" s="118"/>
      <c r="AA344" s="118"/>
      <c r="AB344" s="118"/>
      <c r="AC344" s="118"/>
      <c r="AD344" s="118"/>
      <c r="AE344" s="118"/>
      <c r="AF344" s="118"/>
      <c r="AG344" s="118"/>
      <c r="AH344" s="118"/>
      <c r="AI344" s="118"/>
      <c r="AJ344" s="118"/>
      <c r="AL344" s="7"/>
    </row>
    <row r="345" spans="1:38" ht="12.75" customHeight="1">
      <c r="A345" s="71"/>
      <c r="Y345" s="118"/>
      <c r="Z345" s="118"/>
      <c r="AA345" s="118"/>
      <c r="AB345" s="118"/>
      <c r="AC345" s="118"/>
      <c r="AD345" s="118"/>
      <c r="AE345" s="118"/>
      <c r="AF345" s="118"/>
      <c r="AG345" s="118"/>
      <c r="AH345" s="118"/>
      <c r="AI345" s="118"/>
      <c r="AJ345" s="118"/>
      <c r="AL345" s="7"/>
    </row>
    <row r="346" spans="1:38" ht="12.75" customHeight="1">
      <c r="A346" s="71"/>
      <c r="Y346" s="118"/>
      <c r="Z346" s="118"/>
      <c r="AA346" s="118"/>
      <c r="AB346" s="118"/>
      <c r="AC346" s="118"/>
      <c r="AD346" s="118"/>
      <c r="AE346" s="118"/>
      <c r="AF346" s="118"/>
      <c r="AG346" s="118"/>
      <c r="AH346" s="118"/>
      <c r="AI346" s="118"/>
      <c r="AJ346" s="118"/>
      <c r="AL346" s="7"/>
    </row>
    <row r="347" spans="1:38" ht="12.75" customHeight="1">
      <c r="A347" s="71"/>
      <c r="Y347" s="118"/>
      <c r="Z347" s="118"/>
      <c r="AA347" s="118"/>
      <c r="AB347" s="118"/>
      <c r="AC347" s="118"/>
      <c r="AD347" s="118"/>
      <c r="AE347" s="118"/>
      <c r="AF347" s="118"/>
      <c r="AG347" s="118"/>
      <c r="AH347" s="118"/>
      <c r="AI347" s="118"/>
      <c r="AJ347" s="118"/>
      <c r="AL347" s="7"/>
    </row>
    <row r="348" spans="1:38" ht="12.75" customHeight="1">
      <c r="A348" s="71"/>
      <c r="Y348" s="118"/>
      <c r="Z348" s="118"/>
      <c r="AA348" s="118"/>
      <c r="AB348" s="118"/>
      <c r="AC348" s="118"/>
      <c r="AD348" s="118"/>
      <c r="AE348" s="118"/>
      <c r="AF348" s="118"/>
      <c r="AG348" s="118"/>
      <c r="AH348" s="118"/>
      <c r="AI348" s="118"/>
      <c r="AJ348" s="118"/>
      <c r="AL348" s="7"/>
    </row>
    <row r="349" spans="1:38" ht="12.75" customHeight="1">
      <c r="A349" s="71"/>
      <c r="Y349" s="118"/>
      <c r="Z349" s="118"/>
      <c r="AA349" s="118"/>
      <c r="AB349" s="118"/>
      <c r="AC349" s="118"/>
      <c r="AD349" s="118"/>
      <c r="AE349" s="118"/>
      <c r="AF349" s="118"/>
      <c r="AG349" s="118"/>
      <c r="AH349" s="118"/>
      <c r="AI349" s="118"/>
      <c r="AJ349" s="118"/>
      <c r="AL349" s="7"/>
    </row>
    <row r="350" spans="1:38" ht="12.75" customHeight="1">
      <c r="A350" s="71"/>
      <c r="Y350" s="118"/>
      <c r="Z350" s="118"/>
      <c r="AA350" s="118"/>
      <c r="AB350" s="118"/>
      <c r="AC350" s="118"/>
      <c r="AD350" s="118"/>
      <c r="AE350" s="118"/>
      <c r="AF350" s="118"/>
      <c r="AG350" s="118"/>
      <c r="AH350" s="118"/>
      <c r="AI350" s="118"/>
      <c r="AJ350" s="118"/>
      <c r="AL350" s="7"/>
    </row>
    <row r="351" spans="1:38" ht="12.75" customHeight="1">
      <c r="A351" s="71"/>
      <c r="Y351" s="118"/>
      <c r="Z351" s="118"/>
      <c r="AA351" s="118"/>
      <c r="AB351" s="118"/>
      <c r="AC351" s="118"/>
      <c r="AD351" s="118"/>
      <c r="AE351" s="118"/>
      <c r="AF351" s="118"/>
      <c r="AG351" s="118"/>
      <c r="AH351" s="118"/>
      <c r="AI351" s="118"/>
      <c r="AJ351" s="118"/>
      <c r="AL351" s="7"/>
    </row>
    <row r="352" spans="1:38" ht="12.75" customHeight="1">
      <c r="A352" s="71"/>
      <c r="Y352" s="118"/>
      <c r="Z352" s="118"/>
      <c r="AA352" s="118"/>
      <c r="AB352" s="118"/>
      <c r="AC352" s="118"/>
      <c r="AD352" s="118"/>
      <c r="AE352" s="118"/>
      <c r="AF352" s="118"/>
      <c r="AG352" s="118"/>
      <c r="AH352" s="118"/>
      <c r="AI352" s="118"/>
      <c r="AJ352" s="118"/>
      <c r="AL352" s="7"/>
    </row>
    <row r="353" spans="1:38" ht="12.75" customHeight="1">
      <c r="A353" s="71"/>
      <c r="Y353" s="118"/>
      <c r="Z353" s="118"/>
      <c r="AA353" s="118"/>
      <c r="AB353" s="118"/>
      <c r="AC353" s="118"/>
      <c r="AD353" s="118"/>
      <c r="AE353" s="118"/>
      <c r="AF353" s="118"/>
      <c r="AG353" s="118"/>
      <c r="AH353" s="118"/>
      <c r="AI353" s="118"/>
      <c r="AJ353" s="118"/>
      <c r="AL353" s="7"/>
    </row>
    <row r="354" spans="1:38" ht="12.75" customHeight="1">
      <c r="A354" s="71"/>
      <c r="Y354" s="118"/>
      <c r="Z354" s="118"/>
      <c r="AA354" s="118"/>
      <c r="AB354" s="118"/>
      <c r="AC354" s="118"/>
      <c r="AD354" s="118"/>
      <c r="AE354" s="118"/>
      <c r="AF354" s="118"/>
      <c r="AG354" s="118"/>
      <c r="AH354" s="118"/>
      <c r="AI354" s="118"/>
      <c r="AJ354" s="118"/>
      <c r="AL354" s="7"/>
    </row>
    <row r="355" spans="1:38" ht="12.75" customHeight="1">
      <c r="A355" s="71"/>
      <c r="Y355" s="118"/>
      <c r="Z355" s="118"/>
      <c r="AA355" s="118"/>
      <c r="AB355" s="118"/>
      <c r="AC355" s="118"/>
      <c r="AD355" s="118"/>
      <c r="AE355" s="118"/>
      <c r="AF355" s="118"/>
      <c r="AG355" s="118"/>
      <c r="AH355" s="118"/>
      <c r="AI355" s="118"/>
      <c r="AJ355" s="118"/>
      <c r="AL355" s="7"/>
    </row>
    <row r="356" spans="1:38" ht="12.75" customHeight="1">
      <c r="A356" s="71"/>
      <c r="Y356" s="118"/>
      <c r="Z356" s="118"/>
      <c r="AA356" s="118"/>
      <c r="AB356" s="118"/>
      <c r="AC356" s="118"/>
      <c r="AD356" s="118"/>
      <c r="AE356" s="118"/>
      <c r="AF356" s="118"/>
      <c r="AG356" s="118"/>
      <c r="AH356" s="118"/>
      <c r="AI356" s="118"/>
      <c r="AJ356" s="118"/>
      <c r="AL356" s="7"/>
    </row>
    <row r="357" spans="1:38" ht="12.75" customHeight="1">
      <c r="A357" s="71"/>
      <c r="Y357" s="118"/>
      <c r="Z357" s="118"/>
      <c r="AA357" s="118"/>
      <c r="AB357" s="118"/>
      <c r="AC357" s="118"/>
      <c r="AD357" s="118"/>
      <c r="AE357" s="118"/>
      <c r="AF357" s="118"/>
      <c r="AG357" s="118"/>
      <c r="AH357" s="118"/>
      <c r="AI357" s="118"/>
      <c r="AJ357" s="118"/>
      <c r="AL357" s="7"/>
    </row>
    <row r="358" spans="1:38" ht="12.75" customHeight="1">
      <c r="A358" s="71"/>
      <c r="Y358" s="118"/>
      <c r="Z358" s="118"/>
      <c r="AA358" s="118"/>
      <c r="AB358" s="118"/>
      <c r="AC358" s="118"/>
      <c r="AD358" s="118"/>
      <c r="AE358" s="118"/>
      <c r="AF358" s="118"/>
      <c r="AG358" s="118"/>
      <c r="AH358" s="118"/>
      <c r="AI358" s="118"/>
      <c r="AJ358" s="118"/>
      <c r="AL358" s="7"/>
    </row>
    <row r="359" spans="1:38" ht="12.75" customHeight="1">
      <c r="A359" s="71"/>
      <c r="Y359" s="118"/>
      <c r="Z359" s="118"/>
      <c r="AA359" s="118"/>
      <c r="AB359" s="118"/>
      <c r="AC359" s="118"/>
      <c r="AD359" s="118"/>
      <c r="AE359" s="118"/>
      <c r="AF359" s="118"/>
      <c r="AG359" s="118"/>
      <c r="AH359" s="118"/>
      <c r="AI359" s="118"/>
      <c r="AJ359" s="118"/>
      <c r="AL359" s="7"/>
    </row>
    <row r="360" spans="1:38" ht="12.75" customHeight="1">
      <c r="A360" s="71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  <c r="AI360" s="118"/>
      <c r="AJ360" s="118"/>
      <c r="AL360" s="7"/>
    </row>
    <row r="361" spans="1:38" ht="12.75" customHeight="1">
      <c r="A361" s="71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  <c r="AI361" s="118"/>
      <c r="AJ361" s="118"/>
      <c r="AL361" s="7"/>
    </row>
    <row r="362" spans="1:38" ht="12.75" customHeight="1">
      <c r="A362" s="71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  <c r="AI362" s="118"/>
      <c r="AJ362" s="118"/>
      <c r="AL362" s="7"/>
    </row>
    <row r="363" spans="1:38" ht="12.75" customHeight="1">
      <c r="A363" s="71"/>
      <c r="Y363" s="118"/>
      <c r="Z363" s="118"/>
      <c r="AA363" s="118"/>
      <c r="AB363" s="118"/>
      <c r="AC363" s="118"/>
      <c r="AD363" s="118"/>
      <c r="AE363" s="118"/>
      <c r="AF363" s="118"/>
      <c r="AG363" s="118"/>
      <c r="AH363" s="118"/>
      <c r="AI363" s="118"/>
      <c r="AJ363" s="118"/>
      <c r="AL363" s="7"/>
    </row>
    <row r="364" spans="1:38" ht="12.75" customHeight="1">
      <c r="A364" s="71"/>
      <c r="Y364" s="118"/>
      <c r="Z364" s="118"/>
      <c r="AA364" s="118"/>
      <c r="AB364" s="118"/>
      <c r="AC364" s="118"/>
      <c r="AD364" s="118"/>
      <c r="AE364" s="118"/>
      <c r="AF364" s="118"/>
      <c r="AG364" s="118"/>
      <c r="AH364" s="118"/>
      <c r="AI364" s="118"/>
      <c r="AJ364" s="118"/>
      <c r="AL364" s="7"/>
    </row>
    <row r="365" spans="1:38" ht="12.75" customHeight="1">
      <c r="A365" s="71"/>
      <c r="Y365" s="118"/>
      <c r="Z365" s="118"/>
      <c r="AA365" s="118"/>
      <c r="AB365" s="118"/>
      <c r="AC365" s="118"/>
      <c r="AD365" s="118"/>
      <c r="AE365" s="118"/>
      <c r="AF365" s="118"/>
      <c r="AG365" s="118"/>
      <c r="AH365" s="118"/>
      <c r="AI365" s="118"/>
      <c r="AJ365" s="118"/>
      <c r="AL365" s="7"/>
    </row>
    <row r="366" spans="1:38" ht="12.75" customHeight="1">
      <c r="A366" s="71"/>
      <c r="Y366" s="118"/>
      <c r="Z366" s="118"/>
      <c r="AA366" s="118"/>
      <c r="AB366" s="118"/>
      <c r="AC366" s="118"/>
      <c r="AD366" s="118"/>
      <c r="AE366" s="118"/>
      <c r="AF366" s="118"/>
      <c r="AG366" s="118"/>
      <c r="AH366" s="118"/>
      <c r="AI366" s="118"/>
      <c r="AJ366" s="118"/>
      <c r="AL366" s="7"/>
    </row>
    <row r="367" spans="1:38" ht="12.75" customHeight="1">
      <c r="A367" s="71"/>
      <c r="Y367" s="118"/>
      <c r="Z367" s="118"/>
      <c r="AA367" s="118"/>
      <c r="AB367" s="118"/>
      <c r="AC367" s="118"/>
      <c r="AD367" s="118"/>
      <c r="AE367" s="118"/>
      <c r="AF367" s="118"/>
      <c r="AG367" s="118"/>
      <c r="AH367" s="118"/>
      <c r="AI367" s="118"/>
      <c r="AJ367" s="118"/>
      <c r="AL367" s="7"/>
    </row>
    <row r="368" spans="1:38" ht="12.75" customHeight="1">
      <c r="A368" s="71"/>
      <c r="Y368" s="118"/>
      <c r="Z368" s="118"/>
      <c r="AA368" s="118"/>
      <c r="AB368" s="118"/>
      <c r="AC368" s="118"/>
      <c r="AD368" s="118"/>
      <c r="AE368" s="118"/>
      <c r="AF368" s="118"/>
      <c r="AG368" s="118"/>
      <c r="AH368" s="118"/>
      <c r="AI368" s="118"/>
      <c r="AJ368" s="118"/>
      <c r="AL368" s="7"/>
    </row>
    <row r="369" spans="1:38" ht="12.75" customHeight="1">
      <c r="A369" s="71"/>
      <c r="Y369" s="118"/>
      <c r="Z369" s="118"/>
      <c r="AA369" s="118"/>
      <c r="AB369" s="118"/>
      <c r="AC369" s="118"/>
      <c r="AD369" s="118"/>
      <c r="AE369" s="118"/>
      <c r="AF369" s="118"/>
      <c r="AG369" s="118"/>
      <c r="AH369" s="118"/>
      <c r="AI369" s="118"/>
      <c r="AJ369" s="118"/>
      <c r="AL369" s="7"/>
    </row>
    <row r="370" spans="1:38" ht="12.75" customHeight="1">
      <c r="A370" s="71"/>
      <c r="Y370" s="118"/>
      <c r="Z370" s="118"/>
      <c r="AA370" s="118"/>
      <c r="AB370" s="118"/>
      <c r="AC370" s="118"/>
      <c r="AD370" s="118"/>
      <c r="AE370" s="118"/>
      <c r="AF370" s="118"/>
      <c r="AG370" s="118"/>
      <c r="AH370" s="118"/>
      <c r="AI370" s="118"/>
      <c r="AJ370" s="118"/>
      <c r="AL370" s="7"/>
    </row>
    <row r="371" spans="1:38" ht="12.75" customHeight="1">
      <c r="A371" s="71"/>
      <c r="Y371" s="118"/>
      <c r="Z371" s="118"/>
      <c r="AA371" s="118"/>
      <c r="AB371" s="118"/>
      <c r="AC371" s="118"/>
      <c r="AD371" s="118"/>
      <c r="AE371" s="118"/>
      <c r="AF371" s="118"/>
      <c r="AG371" s="118"/>
      <c r="AH371" s="118"/>
      <c r="AI371" s="118"/>
      <c r="AJ371" s="118"/>
      <c r="AL371" s="7"/>
    </row>
    <row r="372" spans="1:38" ht="12.75" customHeight="1">
      <c r="A372" s="71"/>
      <c r="Y372" s="118"/>
      <c r="Z372" s="118"/>
      <c r="AA372" s="118"/>
      <c r="AB372" s="118"/>
      <c r="AC372" s="118"/>
      <c r="AD372" s="118"/>
      <c r="AE372" s="118"/>
      <c r="AF372" s="118"/>
      <c r="AG372" s="118"/>
      <c r="AH372" s="118"/>
      <c r="AI372" s="118"/>
      <c r="AJ372" s="118"/>
      <c r="AL372" s="7"/>
    </row>
    <row r="373" spans="1:38" ht="12.75" customHeight="1">
      <c r="A373" s="71"/>
      <c r="Y373" s="118"/>
      <c r="Z373" s="118"/>
      <c r="AA373" s="118"/>
      <c r="AB373" s="118"/>
      <c r="AC373" s="118"/>
      <c r="AD373" s="118"/>
      <c r="AE373" s="118"/>
      <c r="AF373" s="118"/>
      <c r="AG373" s="118"/>
      <c r="AH373" s="118"/>
      <c r="AI373" s="118"/>
      <c r="AJ373" s="118"/>
      <c r="AL373" s="7"/>
    </row>
    <row r="374" spans="1:38" ht="12.75" customHeight="1">
      <c r="A374" s="71"/>
      <c r="Y374" s="118"/>
      <c r="Z374" s="118"/>
      <c r="AA374" s="118"/>
      <c r="AB374" s="118"/>
      <c r="AC374" s="118"/>
      <c r="AD374" s="118"/>
      <c r="AE374" s="118"/>
      <c r="AF374" s="118"/>
      <c r="AG374" s="118"/>
      <c r="AH374" s="118"/>
      <c r="AI374" s="118"/>
      <c r="AJ374" s="118"/>
      <c r="AL374" s="7"/>
    </row>
    <row r="375" spans="1:38" ht="12.75" customHeight="1">
      <c r="A375" s="71"/>
      <c r="Y375" s="118"/>
      <c r="Z375" s="118"/>
      <c r="AA375" s="118"/>
      <c r="AB375" s="118"/>
      <c r="AC375" s="118"/>
      <c r="AD375" s="118"/>
      <c r="AE375" s="118"/>
      <c r="AF375" s="118"/>
      <c r="AG375" s="118"/>
      <c r="AH375" s="118"/>
      <c r="AI375" s="118"/>
      <c r="AJ375" s="118"/>
      <c r="AL375" s="7"/>
    </row>
    <row r="376" spans="1:38" ht="12.75" customHeight="1">
      <c r="A376" s="71"/>
      <c r="Y376" s="118"/>
      <c r="Z376" s="118"/>
      <c r="AA376" s="118"/>
      <c r="AB376" s="118"/>
      <c r="AC376" s="118"/>
      <c r="AD376" s="118"/>
      <c r="AE376" s="118"/>
      <c r="AF376" s="118"/>
      <c r="AG376" s="118"/>
      <c r="AH376" s="118"/>
      <c r="AI376" s="118"/>
      <c r="AJ376" s="118"/>
      <c r="AL376" s="7"/>
    </row>
    <row r="377" spans="1:38" ht="12.75" customHeight="1">
      <c r="A377" s="71"/>
      <c r="Y377" s="118"/>
      <c r="Z377" s="118"/>
      <c r="AA377" s="118"/>
      <c r="AB377" s="118"/>
      <c r="AC377" s="118"/>
      <c r="AD377" s="118"/>
      <c r="AE377" s="118"/>
      <c r="AF377" s="118"/>
      <c r="AG377" s="118"/>
      <c r="AH377" s="118"/>
      <c r="AI377" s="118"/>
      <c r="AJ377" s="118"/>
      <c r="AL377" s="7"/>
    </row>
    <row r="378" spans="1:38" ht="12.75" customHeight="1">
      <c r="A378" s="71"/>
      <c r="Y378" s="118"/>
      <c r="Z378" s="118"/>
      <c r="AA378" s="118"/>
      <c r="AB378" s="118"/>
      <c r="AC378" s="118"/>
      <c r="AD378" s="118"/>
      <c r="AE378" s="118"/>
      <c r="AF378" s="118"/>
      <c r="AG378" s="118"/>
      <c r="AH378" s="118"/>
      <c r="AI378" s="118"/>
      <c r="AJ378" s="118"/>
      <c r="AL378" s="7"/>
    </row>
    <row r="379" spans="1:38" ht="12.75" customHeight="1">
      <c r="A379" s="71"/>
      <c r="Y379" s="118"/>
      <c r="Z379" s="118"/>
      <c r="AA379" s="118"/>
      <c r="AB379" s="118"/>
      <c r="AC379" s="118"/>
      <c r="AD379" s="118"/>
      <c r="AE379" s="118"/>
      <c r="AF379" s="118"/>
      <c r="AG379" s="118"/>
      <c r="AH379" s="118"/>
      <c r="AI379" s="118"/>
      <c r="AJ379" s="118"/>
      <c r="AL379" s="7"/>
    </row>
    <row r="380" spans="1:38" ht="12.75" customHeight="1">
      <c r="A380" s="71"/>
      <c r="Y380" s="118"/>
      <c r="Z380" s="118"/>
      <c r="AA380" s="118"/>
      <c r="AB380" s="118"/>
      <c r="AC380" s="118"/>
      <c r="AD380" s="118"/>
      <c r="AE380" s="118"/>
      <c r="AF380" s="118"/>
      <c r="AG380" s="118"/>
      <c r="AH380" s="118"/>
      <c r="AI380" s="118"/>
      <c r="AJ380" s="118"/>
      <c r="AL380" s="7"/>
    </row>
    <row r="381" spans="1:38" ht="12.75" customHeight="1">
      <c r="A381" s="71"/>
      <c r="Y381" s="118"/>
      <c r="Z381" s="118"/>
      <c r="AA381" s="118"/>
      <c r="AB381" s="118"/>
      <c r="AC381" s="118"/>
      <c r="AD381" s="118"/>
      <c r="AE381" s="118"/>
      <c r="AF381" s="118"/>
      <c r="AG381" s="118"/>
      <c r="AH381" s="118"/>
      <c r="AI381" s="118"/>
      <c r="AJ381" s="118"/>
      <c r="AL381" s="7"/>
    </row>
    <row r="382" spans="1:38" ht="12.75" customHeight="1">
      <c r="A382" s="71"/>
      <c r="Y382" s="118"/>
      <c r="Z382" s="118"/>
      <c r="AA382" s="118"/>
      <c r="AB382" s="118"/>
      <c r="AC382" s="118"/>
      <c r="AD382" s="118"/>
      <c r="AE382" s="118"/>
      <c r="AF382" s="118"/>
      <c r="AG382" s="118"/>
      <c r="AH382" s="118"/>
      <c r="AI382" s="118"/>
      <c r="AJ382" s="118"/>
      <c r="AL382" s="7"/>
    </row>
    <row r="383" spans="1:38" ht="12.75" customHeight="1">
      <c r="A383" s="71"/>
      <c r="Y383" s="118"/>
      <c r="Z383" s="118"/>
      <c r="AA383" s="118"/>
      <c r="AB383" s="118"/>
      <c r="AC383" s="118"/>
      <c r="AD383" s="118"/>
      <c r="AE383" s="118"/>
      <c r="AF383" s="118"/>
      <c r="AG383" s="118"/>
      <c r="AH383" s="118"/>
      <c r="AI383" s="118"/>
      <c r="AJ383" s="118"/>
      <c r="AL383" s="7"/>
    </row>
    <row r="384" spans="1:38" ht="12.75" customHeight="1">
      <c r="A384" s="71"/>
      <c r="Y384" s="118"/>
      <c r="Z384" s="118"/>
      <c r="AA384" s="118"/>
      <c r="AB384" s="118"/>
      <c r="AC384" s="118"/>
      <c r="AD384" s="118"/>
      <c r="AE384" s="118"/>
      <c r="AF384" s="118"/>
      <c r="AG384" s="118"/>
      <c r="AH384" s="118"/>
      <c r="AI384" s="118"/>
      <c r="AJ384" s="118"/>
      <c r="AL384" s="7"/>
    </row>
    <row r="385" spans="1:38" ht="12.75" customHeight="1">
      <c r="A385" s="71"/>
      <c r="Y385" s="118"/>
      <c r="Z385" s="118"/>
      <c r="AA385" s="118"/>
      <c r="AB385" s="118"/>
      <c r="AC385" s="118"/>
      <c r="AD385" s="118"/>
      <c r="AE385" s="118"/>
      <c r="AF385" s="118"/>
      <c r="AG385" s="118"/>
      <c r="AH385" s="118"/>
      <c r="AI385" s="118"/>
      <c r="AJ385" s="118"/>
      <c r="AL385" s="7"/>
    </row>
    <row r="386" spans="1:38" ht="12.75" customHeight="1">
      <c r="A386" s="71"/>
      <c r="Y386" s="118"/>
      <c r="Z386" s="118"/>
      <c r="AA386" s="118"/>
      <c r="AB386" s="118"/>
      <c r="AC386" s="118"/>
      <c r="AD386" s="118"/>
      <c r="AE386" s="118"/>
      <c r="AF386" s="118"/>
      <c r="AG386" s="118"/>
      <c r="AH386" s="118"/>
      <c r="AI386" s="118"/>
      <c r="AJ386" s="118"/>
      <c r="AL386" s="7"/>
    </row>
    <row r="387" spans="1:38" ht="12.75" customHeight="1">
      <c r="A387" s="71"/>
      <c r="Y387" s="118"/>
      <c r="Z387" s="118"/>
      <c r="AA387" s="118"/>
      <c r="AB387" s="118"/>
      <c r="AC387" s="118"/>
      <c r="AD387" s="118"/>
      <c r="AE387" s="118"/>
      <c r="AF387" s="118"/>
      <c r="AG387" s="118"/>
      <c r="AH387" s="118"/>
      <c r="AI387" s="118"/>
      <c r="AJ387" s="118"/>
      <c r="AL387" s="7"/>
    </row>
    <row r="388" spans="1:38" ht="12.75" customHeight="1">
      <c r="A388" s="71"/>
      <c r="Y388" s="118"/>
      <c r="Z388" s="118"/>
      <c r="AA388" s="118"/>
      <c r="AB388" s="118"/>
      <c r="AC388" s="118"/>
      <c r="AD388" s="118"/>
      <c r="AE388" s="118"/>
      <c r="AF388" s="118"/>
      <c r="AG388" s="118"/>
      <c r="AH388" s="118"/>
      <c r="AI388" s="118"/>
      <c r="AJ388" s="118"/>
      <c r="AL388" s="7"/>
    </row>
    <row r="389" spans="1:38" ht="12.75" customHeight="1">
      <c r="A389" s="71"/>
      <c r="Y389" s="118"/>
      <c r="Z389" s="118"/>
      <c r="AA389" s="118"/>
      <c r="AB389" s="118"/>
      <c r="AC389" s="118"/>
      <c r="AD389" s="118"/>
      <c r="AE389" s="118"/>
      <c r="AF389" s="118"/>
      <c r="AG389" s="118"/>
      <c r="AH389" s="118"/>
      <c r="AI389" s="118"/>
      <c r="AJ389" s="118"/>
      <c r="AL389" s="7"/>
    </row>
    <row r="390" spans="1:38" ht="12.75" customHeight="1">
      <c r="A390" s="71"/>
      <c r="Y390" s="118"/>
      <c r="Z390" s="118"/>
      <c r="AA390" s="118"/>
      <c r="AB390" s="118"/>
      <c r="AC390" s="118"/>
      <c r="AD390" s="118"/>
      <c r="AE390" s="118"/>
      <c r="AF390" s="118"/>
      <c r="AG390" s="118"/>
      <c r="AH390" s="118"/>
      <c r="AI390" s="118"/>
      <c r="AJ390" s="118"/>
      <c r="AL390" s="7"/>
    </row>
    <row r="391" spans="1:38" ht="12.75" customHeight="1">
      <c r="A391" s="71"/>
      <c r="Y391" s="118"/>
      <c r="Z391" s="118"/>
      <c r="AA391" s="118"/>
      <c r="AB391" s="118"/>
      <c r="AC391" s="118"/>
      <c r="AD391" s="118"/>
      <c r="AE391" s="118"/>
      <c r="AF391" s="118"/>
      <c r="AG391" s="118"/>
      <c r="AH391" s="118"/>
      <c r="AI391" s="118"/>
      <c r="AJ391" s="118"/>
      <c r="AL391" s="7"/>
    </row>
    <row r="392" spans="1:38" ht="12.75" customHeight="1">
      <c r="A392" s="71"/>
      <c r="Y392" s="118"/>
      <c r="Z392" s="118"/>
      <c r="AA392" s="118"/>
      <c r="AB392" s="118"/>
      <c r="AC392" s="118"/>
      <c r="AD392" s="118"/>
      <c r="AE392" s="118"/>
      <c r="AF392" s="118"/>
      <c r="AG392" s="118"/>
      <c r="AH392" s="118"/>
      <c r="AI392" s="118"/>
      <c r="AJ392" s="118"/>
      <c r="AL392" s="7"/>
    </row>
    <row r="393" spans="1:38" ht="12.75" customHeight="1">
      <c r="A393" s="71"/>
      <c r="Y393" s="118"/>
      <c r="Z393" s="118"/>
      <c r="AA393" s="118"/>
      <c r="AB393" s="118"/>
      <c r="AC393" s="118"/>
      <c r="AD393" s="118"/>
      <c r="AE393" s="118"/>
      <c r="AF393" s="118"/>
      <c r="AG393" s="118"/>
      <c r="AH393" s="118"/>
      <c r="AI393" s="118"/>
      <c r="AJ393" s="118"/>
      <c r="AL393" s="7"/>
    </row>
    <row r="394" spans="1:38" ht="12.75" customHeight="1">
      <c r="A394" s="71"/>
      <c r="Y394" s="118"/>
      <c r="Z394" s="118"/>
      <c r="AA394" s="118"/>
      <c r="AB394" s="118"/>
      <c r="AC394" s="118"/>
      <c r="AD394" s="118"/>
      <c r="AE394" s="118"/>
      <c r="AF394" s="118"/>
      <c r="AG394" s="118"/>
      <c r="AH394" s="118"/>
      <c r="AI394" s="118"/>
      <c r="AJ394" s="118"/>
      <c r="AL394" s="7"/>
    </row>
    <row r="395" spans="1:38" ht="12.75" customHeight="1">
      <c r="A395" s="71"/>
      <c r="Y395" s="118"/>
      <c r="Z395" s="118"/>
      <c r="AA395" s="118"/>
      <c r="AB395" s="118"/>
      <c r="AC395" s="118"/>
      <c r="AD395" s="118"/>
      <c r="AE395" s="118"/>
      <c r="AF395" s="118"/>
      <c r="AG395" s="118"/>
      <c r="AH395" s="118"/>
      <c r="AI395" s="118"/>
      <c r="AJ395" s="118"/>
      <c r="AL395" s="7"/>
    </row>
    <row r="396" spans="1:38" ht="12.75" customHeight="1">
      <c r="A396" s="71"/>
      <c r="Y396" s="118"/>
      <c r="Z396" s="118"/>
      <c r="AA396" s="118"/>
      <c r="AB396" s="118"/>
      <c r="AC396" s="118"/>
      <c r="AD396" s="118"/>
      <c r="AE396" s="118"/>
      <c r="AF396" s="118"/>
      <c r="AG396" s="118"/>
      <c r="AH396" s="118"/>
      <c r="AI396" s="118"/>
      <c r="AJ396" s="118"/>
      <c r="AL396" s="7"/>
    </row>
    <row r="397" spans="1:38" ht="12.75" customHeight="1">
      <c r="A397" s="71"/>
      <c r="Y397" s="118"/>
      <c r="Z397" s="118"/>
      <c r="AA397" s="118"/>
      <c r="AB397" s="118"/>
      <c r="AC397" s="118"/>
      <c r="AD397" s="118"/>
      <c r="AE397" s="118"/>
      <c r="AF397" s="118"/>
      <c r="AG397" s="118"/>
      <c r="AH397" s="118"/>
      <c r="AI397" s="118"/>
      <c r="AJ397" s="118"/>
      <c r="AL397" s="7"/>
    </row>
    <row r="398" spans="1:38" ht="12.75" customHeight="1">
      <c r="A398" s="71"/>
      <c r="Y398" s="118"/>
      <c r="Z398" s="118"/>
      <c r="AA398" s="118"/>
      <c r="AB398" s="118"/>
      <c r="AC398" s="118"/>
      <c r="AD398" s="118"/>
      <c r="AE398" s="118"/>
      <c r="AF398" s="118"/>
      <c r="AG398" s="118"/>
      <c r="AH398" s="118"/>
      <c r="AI398" s="118"/>
      <c r="AJ398" s="118"/>
      <c r="AL398" s="7"/>
    </row>
    <row r="399" spans="1:38" ht="12.75" customHeight="1">
      <c r="A399" s="71"/>
      <c r="Y399" s="118"/>
      <c r="Z399" s="118"/>
      <c r="AA399" s="118"/>
      <c r="AB399" s="118"/>
      <c r="AC399" s="118"/>
      <c r="AD399" s="118"/>
      <c r="AE399" s="118"/>
      <c r="AF399" s="118"/>
      <c r="AG399" s="118"/>
      <c r="AH399" s="118"/>
      <c r="AI399" s="118"/>
      <c r="AJ399" s="118"/>
      <c r="AL399" s="7"/>
    </row>
    <row r="400" spans="1:38" ht="12.75" customHeight="1">
      <c r="A400" s="71"/>
      <c r="Y400" s="118"/>
      <c r="Z400" s="118"/>
      <c r="AA400" s="118"/>
      <c r="AB400" s="118"/>
      <c r="AC400" s="118"/>
      <c r="AD400" s="118"/>
      <c r="AE400" s="118"/>
      <c r="AF400" s="118"/>
      <c r="AG400" s="118"/>
      <c r="AH400" s="118"/>
      <c r="AI400" s="118"/>
      <c r="AJ400" s="118"/>
      <c r="AL400" s="7"/>
    </row>
    <row r="401" spans="1:38" ht="12.75" customHeight="1">
      <c r="A401" s="71"/>
      <c r="Y401" s="118"/>
      <c r="Z401" s="118"/>
      <c r="AA401" s="118"/>
      <c r="AB401" s="118"/>
      <c r="AC401" s="118"/>
      <c r="AD401" s="118"/>
      <c r="AE401" s="118"/>
      <c r="AF401" s="118"/>
      <c r="AG401" s="118"/>
      <c r="AH401" s="118"/>
      <c r="AI401" s="118"/>
      <c r="AJ401" s="118"/>
      <c r="AL401" s="7"/>
    </row>
    <row r="402" spans="1:38" ht="12.75" customHeight="1">
      <c r="A402" s="71"/>
      <c r="Y402" s="118"/>
      <c r="Z402" s="118"/>
      <c r="AA402" s="118"/>
      <c r="AB402" s="118"/>
      <c r="AC402" s="118"/>
      <c r="AD402" s="118"/>
      <c r="AE402" s="118"/>
      <c r="AF402" s="118"/>
      <c r="AG402" s="118"/>
      <c r="AH402" s="118"/>
      <c r="AI402" s="118"/>
      <c r="AJ402" s="118"/>
      <c r="AL402" s="7"/>
    </row>
    <row r="403" spans="1:38" ht="12.75" customHeight="1">
      <c r="A403" s="71"/>
      <c r="Y403" s="118"/>
      <c r="Z403" s="118"/>
      <c r="AA403" s="118"/>
      <c r="AB403" s="118"/>
      <c r="AC403" s="118"/>
      <c r="AD403" s="118"/>
      <c r="AE403" s="118"/>
      <c r="AF403" s="118"/>
      <c r="AG403" s="118"/>
      <c r="AH403" s="118"/>
      <c r="AI403" s="118"/>
      <c r="AJ403" s="118"/>
      <c r="AL403" s="7"/>
    </row>
    <row r="404" spans="1:38" ht="12.75" customHeight="1">
      <c r="A404" s="71"/>
      <c r="Y404" s="118"/>
      <c r="Z404" s="118"/>
      <c r="AA404" s="118"/>
      <c r="AB404" s="118"/>
      <c r="AC404" s="118"/>
      <c r="AD404" s="118"/>
      <c r="AE404" s="118"/>
      <c r="AF404" s="118"/>
      <c r="AG404" s="118"/>
      <c r="AH404" s="118"/>
      <c r="AI404" s="118"/>
      <c r="AJ404" s="118"/>
      <c r="AL404" s="7"/>
    </row>
    <row r="405" spans="1:38" ht="12.75" customHeight="1">
      <c r="A405" s="71"/>
      <c r="Y405" s="118"/>
      <c r="Z405" s="118"/>
      <c r="AA405" s="118"/>
      <c r="AB405" s="118"/>
      <c r="AC405" s="118"/>
      <c r="AD405" s="118"/>
      <c r="AE405" s="118"/>
      <c r="AF405" s="118"/>
      <c r="AG405" s="118"/>
      <c r="AH405" s="118"/>
      <c r="AI405" s="118"/>
      <c r="AJ405" s="118"/>
      <c r="AL405" s="7"/>
    </row>
    <row r="406" spans="1:38" ht="12.75" customHeight="1">
      <c r="A406" s="71"/>
      <c r="Y406" s="118"/>
      <c r="Z406" s="118"/>
      <c r="AA406" s="118"/>
      <c r="AB406" s="118"/>
      <c r="AC406" s="118"/>
      <c r="AD406" s="118"/>
      <c r="AE406" s="118"/>
      <c r="AF406" s="118"/>
      <c r="AG406" s="118"/>
      <c r="AH406" s="118"/>
      <c r="AI406" s="118"/>
      <c r="AJ406" s="118"/>
      <c r="AL406" s="7"/>
    </row>
    <row r="407" spans="1:38" ht="12.75" customHeight="1">
      <c r="A407" s="71"/>
      <c r="Y407" s="118"/>
      <c r="Z407" s="118"/>
      <c r="AA407" s="118"/>
      <c r="AB407" s="118"/>
      <c r="AC407" s="118"/>
      <c r="AD407" s="118"/>
      <c r="AE407" s="118"/>
      <c r="AF407" s="118"/>
      <c r="AG407" s="118"/>
      <c r="AH407" s="118"/>
      <c r="AI407" s="118"/>
      <c r="AJ407" s="118"/>
      <c r="AL407" s="7"/>
    </row>
    <row r="408" spans="1:38" ht="12.75" customHeight="1">
      <c r="A408" s="71"/>
      <c r="Y408" s="118"/>
      <c r="Z408" s="118"/>
      <c r="AA408" s="118"/>
      <c r="AB408" s="118"/>
      <c r="AC408" s="118"/>
      <c r="AD408" s="118"/>
      <c r="AE408" s="118"/>
      <c r="AF408" s="118"/>
      <c r="AG408" s="118"/>
      <c r="AH408" s="118"/>
      <c r="AI408" s="118"/>
      <c r="AJ408" s="118"/>
      <c r="AL408" s="7"/>
    </row>
    <row r="409" spans="1:38" ht="12.75" customHeight="1">
      <c r="A409" s="71"/>
      <c r="Y409" s="118"/>
      <c r="Z409" s="118"/>
      <c r="AA409" s="118"/>
      <c r="AB409" s="118"/>
      <c r="AC409" s="118"/>
      <c r="AD409" s="118"/>
      <c r="AE409" s="118"/>
      <c r="AF409" s="118"/>
      <c r="AG409" s="118"/>
      <c r="AH409" s="118"/>
      <c r="AI409" s="118"/>
      <c r="AJ409" s="118"/>
      <c r="AL409" s="7"/>
    </row>
    <row r="410" spans="1:38" ht="12.75" customHeight="1">
      <c r="A410" s="71"/>
      <c r="Y410" s="118"/>
      <c r="Z410" s="118"/>
      <c r="AA410" s="118"/>
      <c r="AB410" s="118"/>
      <c r="AC410" s="118"/>
      <c r="AD410" s="118"/>
      <c r="AE410" s="118"/>
      <c r="AF410" s="118"/>
      <c r="AG410" s="118"/>
      <c r="AH410" s="118"/>
      <c r="AI410" s="118"/>
      <c r="AJ410" s="118"/>
      <c r="AL410" s="7"/>
    </row>
    <row r="411" spans="1:38" ht="12.75" customHeight="1">
      <c r="A411" s="71"/>
      <c r="Y411" s="118"/>
      <c r="Z411" s="118"/>
      <c r="AA411" s="118"/>
      <c r="AB411" s="118"/>
      <c r="AC411" s="118"/>
      <c r="AD411" s="118"/>
      <c r="AE411" s="118"/>
      <c r="AF411" s="118"/>
      <c r="AG411" s="118"/>
      <c r="AH411" s="118"/>
      <c r="AI411" s="118"/>
      <c r="AJ411" s="118"/>
      <c r="AL411" s="7"/>
    </row>
    <row r="412" spans="1:38" ht="12.75" customHeight="1">
      <c r="A412" s="71"/>
      <c r="Y412" s="118"/>
      <c r="Z412" s="118"/>
      <c r="AA412" s="118"/>
      <c r="AB412" s="118"/>
      <c r="AC412" s="118"/>
      <c r="AD412" s="118"/>
      <c r="AE412" s="118"/>
      <c r="AF412" s="118"/>
      <c r="AG412" s="118"/>
      <c r="AH412" s="118"/>
      <c r="AI412" s="118"/>
      <c r="AJ412" s="118"/>
      <c r="AL412" s="7"/>
    </row>
    <row r="413" spans="1:38" ht="12.75" customHeight="1">
      <c r="A413" s="71"/>
      <c r="Y413" s="118"/>
      <c r="Z413" s="118"/>
      <c r="AA413" s="118"/>
      <c r="AB413" s="118"/>
      <c r="AC413" s="118"/>
      <c r="AD413" s="118"/>
      <c r="AE413" s="118"/>
      <c r="AF413" s="118"/>
      <c r="AG413" s="118"/>
      <c r="AH413" s="118"/>
      <c r="AI413" s="118"/>
      <c r="AJ413" s="118"/>
      <c r="AL413" s="7"/>
    </row>
    <row r="414" spans="1:38" ht="12.75" customHeight="1">
      <c r="A414" s="71"/>
      <c r="Y414" s="118"/>
      <c r="Z414" s="118"/>
      <c r="AA414" s="118"/>
      <c r="AB414" s="118"/>
      <c r="AC414" s="118"/>
      <c r="AD414" s="118"/>
      <c r="AE414" s="118"/>
      <c r="AF414" s="118"/>
      <c r="AG414" s="118"/>
      <c r="AH414" s="118"/>
      <c r="AI414" s="118"/>
      <c r="AJ414" s="118"/>
      <c r="AL414" s="7"/>
    </row>
    <row r="415" spans="1:38" ht="12.75" customHeight="1">
      <c r="A415" s="71"/>
      <c r="Y415" s="118"/>
      <c r="Z415" s="118"/>
      <c r="AA415" s="118"/>
      <c r="AB415" s="118"/>
      <c r="AC415" s="118"/>
      <c r="AD415" s="118"/>
      <c r="AE415" s="118"/>
      <c r="AF415" s="118"/>
      <c r="AG415" s="118"/>
      <c r="AH415" s="118"/>
      <c r="AI415" s="118"/>
      <c r="AJ415" s="118"/>
      <c r="AL415" s="7"/>
    </row>
    <row r="416" spans="1:38" ht="12.75" customHeight="1">
      <c r="A416" s="71"/>
      <c r="Y416" s="118"/>
      <c r="Z416" s="118"/>
      <c r="AA416" s="118"/>
      <c r="AB416" s="118"/>
      <c r="AC416" s="118"/>
      <c r="AD416" s="118"/>
      <c r="AE416" s="118"/>
      <c r="AF416" s="118"/>
      <c r="AG416" s="118"/>
      <c r="AH416" s="118"/>
      <c r="AI416" s="118"/>
      <c r="AJ416" s="118"/>
      <c r="AL416" s="7"/>
    </row>
    <row r="417" spans="1:38" ht="12.75" customHeight="1">
      <c r="A417" s="71"/>
      <c r="Y417" s="118"/>
      <c r="Z417" s="118"/>
      <c r="AA417" s="118"/>
      <c r="AB417" s="118"/>
      <c r="AC417" s="118"/>
      <c r="AD417" s="118"/>
      <c r="AE417" s="118"/>
      <c r="AF417" s="118"/>
      <c r="AG417" s="118"/>
      <c r="AH417" s="118"/>
      <c r="AI417" s="118"/>
      <c r="AJ417" s="118"/>
      <c r="AL417" s="7"/>
    </row>
    <row r="418" spans="1:38" ht="12.75" customHeight="1">
      <c r="A418" s="71"/>
      <c r="Y418" s="118"/>
      <c r="Z418" s="118"/>
      <c r="AA418" s="118"/>
      <c r="AB418" s="118"/>
      <c r="AC418" s="118"/>
      <c r="AD418" s="118"/>
      <c r="AE418" s="118"/>
      <c r="AF418" s="118"/>
      <c r="AG418" s="118"/>
      <c r="AH418" s="118"/>
      <c r="AI418" s="118"/>
      <c r="AJ418" s="118"/>
      <c r="AL418" s="7"/>
    </row>
    <row r="419" spans="1:38" ht="12.75" customHeight="1">
      <c r="A419" s="71"/>
      <c r="Y419" s="118"/>
      <c r="Z419" s="118"/>
      <c r="AA419" s="118"/>
      <c r="AB419" s="118"/>
      <c r="AC419" s="118"/>
      <c r="AD419" s="118"/>
      <c r="AE419" s="118"/>
      <c r="AF419" s="118"/>
      <c r="AG419" s="118"/>
      <c r="AH419" s="118"/>
      <c r="AI419" s="118"/>
      <c r="AJ419" s="118"/>
      <c r="AL419" s="7"/>
    </row>
    <row r="420" spans="1:38" ht="12.75" customHeight="1">
      <c r="A420" s="71"/>
      <c r="Y420" s="118"/>
      <c r="Z420" s="118"/>
      <c r="AA420" s="118"/>
      <c r="AB420" s="118"/>
      <c r="AC420" s="118"/>
      <c r="AD420" s="118"/>
      <c r="AE420" s="118"/>
      <c r="AF420" s="118"/>
      <c r="AG420" s="118"/>
      <c r="AH420" s="118"/>
      <c r="AI420" s="118"/>
      <c r="AJ420" s="118"/>
      <c r="AL420" s="7"/>
    </row>
    <row r="421" spans="1:38" ht="12.75" customHeight="1">
      <c r="A421" s="71"/>
      <c r="Y421" s="118"/>
      <c r="Z421" s="118"/>
      <c r="AA421" s="118"/>
      <c r="AB421" s="118"/>
      <c r="AC421" s="118"/>
      <c r="AD421" s="118"/>
      <c r="AE421" s="118"/>
      <c r="AF421" s="118"/>
      <c r="AG421" s="118"/>
      <c r="AH421" s="118"/>
      <c r="AI421" s="118"/>
      <c r="AJ421" s="118"/>
      <c r="AL421" s="7"/>
    </row>
    <row r="422" spans="1:38" ht="12.75" customHeight="1">
      <c r="A422" s="71"/>
      <c r="Y422" s="118"/>
      <c r="Z422" s="118"/>
      <c r="AA422" s="118"/>
      <c r="AB422" s="118"/>
      <c r="AC422" s="118"/>
      <c r="AD422" s="118"/>
      <c r="AE422" s="118"/>
      <c r="AF422" s="118"/>
      <c r="AG422" s="118"/>
      <c r="AH422" s="118"/>
      <c r="AI422" s="118"/>
      <c r="AJ422" s="118"/>
      <c r="AL422" s="7"/>
    </row>
    <row r="423" spans="1:38" ht="12.75" customHeight="1">
      <c r="A423" s="71"/>
      <c r="Y423" s="118"/>
      <c r="Z423" s="118"/>
      <c r="AA423" s="118"/>
      <c r="AB423" s="118"/>
      <c r="AC423" s="118"/>
      <c r="AD423" s="118"/>
      <c r="AE423" s="118"/>
      <c r="AF423" s="118"/>
      <c r="AG423" s="118"/>
      <c r="AH423" s="118"/>
      <c r="AI423" s="118"/>
      <c r="AJ423" s="118"/>
      <c r="AL423" s="7"/>
    </row>
    <row r="424" spans="1:38" ht="12.75" customHeight="1">
      <c r="A424" s="71"/>
      <c r="Y424" s="118"/>
      <c r="Z424" s="118"/>
      <c r="AA424" s="118"/>
      <c r="AB424" s="118"/>
      <c r="AC424" s="118"/>
      <c r="AD424" s="118"/>
      <c r="AE424" s="118"/>
      <c r="AF424" s="118"/>
      <c r="AG424" s="118"/>
      <c r="AH424" s="118"/>
      <c r="AI424" s="118"/>
      <c r="AJ424" s="118"/>
      <c r="AL424" s="7"/>
    </row>
    <row r="425" spans="1:38" ht="12.75" customHeight="1">
      <c r="A425" s="71"/>
      <c r="Y425" s="118"/>
      <c r="Z425" s="118"/>
      <c r="AA425" s="118"/>
      <c r="AB425" s="118"/>
      <c r="AC425" s="118"/>
      <c r="AD425" s="118"/>
      <c r="AE425" s="118"/>
      <c r="AF425" s="118"/>
      <c r="AG425" s="118"/>
      <c r="AH425" s="118"/>
      <c r="AI425" s="118"/>
      <c r="AJ425" s="118"/>
      <c r="AL425" s="7"/>
    </row>
    <row r="426" spans="1:38" ht="12.75" customHeight="1">
      <c r="A426" s="71"/>
      <c r="Y426" s="118"/>
      <c r="Z426" s="118"/>
      <c r="AA426" s="118"/>
      <c r="AB426" s="118"/>
      <c r="AC426" s="118"/>
      <c r="AD426" s="118"/>
      <c r="AE426" s="118"/>
      <c r="AF426" s="118"/>
      <c r="AG426" s="118"/>
      <c r="AH426" s="118"/>
      <c r="AI426" s="118"/>
      <c r="AJ426" s="118"/>
      <c r="AL426" s="7"/>
    </row>
    <row r="427" spans="1:38" ht="12.75" customHeight="1">
      <c r="A427" s="71"/>
      <c r="Y427" s="118"/>
      <c r="Z427" s="118"/>
      <c r="AA427" s="118"/>
      <c r="AB427" s="118"/>
      <c r="AC427" s="118"/>
      <c r="AD427" s="118"/>
      <c r="AE427" s="118"/>
      <c r="AF427" s="118"/>
      <c r="AG427" s="118"/>
      <c r="AH427" s="118"/>
      <c r="AI427" s="118"/>
      <c r="AJ427" s="118"/>
      <c r="AL427" s="7"/>
    </row>
    <row r="428" spans="1:38" ht="12.75" customHeight="1">
      <c r="A428" s="71"/>
      <c r="Y428" s="118"/>
      <c r="Z428" s="118"/>
      <c r="AA428" s="118"/>
      <c r="AB428" s="118"/>
      <c r="AC428" s="118"/>
      <c r="AD428" s="118"/>
      <c r="AE428" s="118"/>
      <c r="AF428" s="118"/>
      <c r="AG428" s="118"/>
      <c r="AH428" s="118"/>
      <c r="AI428" s="118"/>
      <c r="AJ428" s="118"/>
      <c r="AL428" s="7"/>
    </row>
    <row r="429" spans="1:38" ht="12.75" customHeight="1">
      <c r="A429" s="71"/>
      <c r="Y429" s="118"/>
      <c r="Z429" s="118"/>
      <c r="AA429" s="118"/>
      <c r="AB429" s="118"/>
      <c r="AC429" s="118"/>
      <c r="AD429" s="118"/>
      <c r="AE429" s="118"/>
      <c r="AF429" s="118"/>
      <c r="AG429" s="118"/>
      <c r="AH429" s="118"/>
      <c r="AI429" s="118"/>
      <c r="AJ429" s="118"/>
      <c r="AL429" s="7"/>
    </row>
    <row r="430" spans="1:38" ht="12.75" customHeight="1">
      <c r="A430" s="71"/>
      <c r="Y430" s="118"/>
      <c r="Z430" s="118"/>
      <c r="AA430" s="118"/>
      <c r="AB430" s="118"/>
      <c r="AC430" s="118"/>
      <c r="AD430" s="118"/>
      <c r="AE430" s="118"/>
      <c r="AF430" s="118"/>
      <c r="AG430" s="118"/>
      <c r="AH430" s="118"/>
      <c r="AI430" s="118"/>
      <c r="AJ430" s="118"/>
      <c r="AL430" s="7"/>
    </row>
    <row r="431" spans="1:38" ht="12.75" customHeight="1">
      <c r="A431" s="71"/>
      <c r="Y431" s="118"/>
      <c r="Z431" s="118"/>
      <c r="AA431" s="118"/>
      <c r="AB431" s="118"/>
      <c r="AC431" s="118"/>
      <c r="AD431" s="118"/>
      <c r="AE431" s="118"/>
      <c r="AF431" s="118"/>
      <c r="AG431" s="118"/>
      <c r="AH431" s="118"/>
      <c r="AI431" s="118"/>
      <c r="AJ431" s="118"/>
      <c r="AL431" s="7"/>
    </row>
    <row r="432" spans="1:38" ht="12.75" customHeight="1">
      <c r="A432" s="71"/>
      <c r="Y432" s="118"/>
      <c r="Z432" s="118"/>
      <c r="AA432" s="118"/>
      <c r="AB432" s="118"/>
      <c r="AC432" s="118"/>
      <c r="AD432" s="118"/>
      <c r="AE432" s="118"/>
      <c r="AF432" s="118"/>
      <c r="AG432" s="118"/>
      <c r="AH432" s="118"/>
      <c r="AI432" s="118"/>
      <c r="AJ432" s="118"/>
      <c r="AL432" s="7"/>
    </row>
    <row r="433" spans="1:38" ht="12.75" customHeight="1">
      <c r="A433" s="71"/>
      <c r="Y433" s="118"/>
      <c r="Z433" s="118"/>
      <c r="AA433" s="118"/>
      <c r="AB433" s="118"/>
      <c r="AC433" s="118"/>
      <c r="AD433" s="118"/>
      <c r="AE433" s="118"/>
      <c r="AF433" s="118"/>
      <c r="AG433" s="118"/>
      <c r="AH433" s="118"/>
      <c r="AI433" s="118"/>
      <c r="AJ433" s="118"/>
      <c r="AL433" s="7"/>
    </row>
    <row r="434" spans="1:38" ht="12.75" customHeight="1">
      <c r="A434" s="71"/>
      <c r="Y434" s="118"/>
      <c r="Z434" s="118"/>
      <c r="AA434" s="118"/>
      <c r="AB434" s="118"/>
      <c r="AC434" s="118"/>
      <c r="AD434" s="118"/>
      <c r="AE434" s="118"/>
      <c r="AF434" s="118"/>
      <c r="AG434" s="118"/>
      <c r="AH434" s="118"/>
      <c r="AI434" s="118"/>
      <c r="AJ434" s="118"/>
      <c r="AL434" s="7"/>
    </row>
    <row r="435" spans="1:38" ht="12.75" customHeight="1">
      <c r="A435" s="71"/>
      <c r="Y435" s="118"/>
      <c r="Z435" s="118"/>
      <c r="AA435" s="118"/>
      <c r="AB435" s="118"/>
      <c r="AC435" s="118"/>
      <c r="AD435" s="118"/>
      <c r="AE435" s="118"/>
      <c r="AF435" s="118"/>
      <c r="AG435" s="118"/>
      <c r="AH435" s="118"/>
      <c r="AI435" s="118"/>
      <c r="AJ435" s="118"/>
      <c r="AL435" s="7"/>
    </row>
    <row r="436" spans="1:38" ht="12.75" customHeight="1">
      <c r="A436" s="71"/>
      <c r="Y436" s="118"/>
      <c r="Z436" s="118"/>
      <c r="AA436" s="118"/>
      <c r="AB436" s="118"/>
      <c r="AC436" s="118"/>
      <c r="AD436" s="118"/>
      <c r="AE436" s="118"/>
      <c r="AF436" s="118"/>
      <c r="AG436" s="118"/>
      <c r="AH436" s="118"/>
      <c r="AI436" s="118"/>
      <c r="AJ436" s="118"/>
      <c r="AL436" s="7"/>
    </row>
    <row r="437" spans="1:38" ht="12.75" customHeight="1">
      <c r="A437" s="71"/>
      <c r="Y437" s="118"/>
      <c r="Z437" s="118"/>
      <c r="AA437" s="118"/>
      <c r="AB437" s="118"/>
      <c r="AC437" s="118"/>
      <c r="AD437" s="118"/>
      <c r="AE437" s="118"/>
      <c r="AF437" s="118"/>
      <c r="AG437" s="118"/>
      <c r="AH437" s="118"/>
      <c r="AI437" s="118"/>
      <c r="AJ437" s="118"/>
      <c r="AL437" s="7"/>
    </row>
    <row r="438" spans="1:38" ht="12.75" customHeight="1">
      <c r="A438" s="71"/>
      <c r="Y438" s="118"/>
      <c r="Z438" s="118"/>
      <c r="AA438" s="118"/>
      <c r="AB438" s="118"/>
      <c r="AC438" s="118"/>
      <c r="AD438" s="118"/>
      <c r="AE438" s="118"/>
      <c r="AF438" s="118"/>
      <c r="AG438" s="118"/>
      <c r="AH438" s="118"/>
      <c r="AI438" s="118"/>
      <c r="AJ438" s="118"/>
      <c r="AL438" s="7"/>
    </row>
    <row r="439" spans="1:38" ht="12.75" customHeight="1">
      <c r="A439" s="71"/>
      <c r="Y439" s="118"/>
      <c r="Z439" s="118"/>
      <c r="AA439" s="118"/>
      <c r="AB439" s="118"/>
      <c r="AC439" s="118"/>
      <c r="AD439" s="118"/>
      <c r="AE439" s="118"/>
      <c r="AF439" s="118"/>
      <c r="AG439" s="118"/>
      <c r="AH439" s="118"/>
      <c r="AI439" s="118"/>
      <c r="AJ439" s="118"/>
      <c r="AL439" s="7"/>
    </row>
    <row r="440" spans="1:38" ht="12.75" customHeight="1">
      <c r="A440" s="71"/>
      <c r="Y440" s="118"/>
      <c r="Z440" s="118"/>
      <c r="AA440" s="118"/>
      <c r="AB440" s="118"/>
      <c r="AC440" s="118"/>
      <c r="AD440" s="118"/>
      <c r="AE440" s="118"/>
      <c r="AF440" s="118"/>
      <c r="AG440" s="118"/>
      <c r="AH440" s="118"/>
      <c r="AI440" s="118"/>
      <c r="AJ440" s="118"/>
      <c r="AL440" s="7"/>
    </row>
    <row r="441" spans="1:38" ht="12.75" customHeight="1">
      <c r="A441" s="71"/>
      <c r="Y441" s="118"/>
      <c r="Z441" s="118"/>
      <c r="AA441" s="118"/>
      <c r="AB441" s="118"/>
      <c r="AC441" s="118"/>
      <c r="AD441" s="118"/>
      <c r="AE441" s="118"/>
      <c r="AF441" s="118"/>
      <c r="AG441" s="118"/>
      <c r="AH441" s="118"/>
      <c r="AI441" s="118"/>
      <c r="AJ441" s="118"/>
      <c r="AL441" s="7"/>
    </row>
    <row r="442" spans="1:38" ht="12.75" customHeight="1">
      <c r="A442" s="71"/>
      <c r="Y442" s="118"/>
      <c r="Z442" s="118"/>
      <c r="AA442" s="118"/>
      <c r="AB442" s="118"/>
      <c r="AC442" s="118"/>
      <c r="AD442" s="118"/>
      <c r="AE442" s="118"/>
      <c r="AF442" s="118"/>
      <c r="AG442" s="118"/>
      <c r="AH442" s="118"/>
      <c r="AI442" s="118"/>
      <c r="AJ442" s="118"/>
      <c r="AL442" s="7"/>
    </row>
    <row r="443" spans="1:38" ht="12.75" customHeight="1">
      <c r="A443" s="71"/>
      <c r="Y443" s="118"/>
      <c r="Z443" s="118"/>
      <c r="AA443" s="118"/>
      <c r="AB443" s="118"/>
      <c r="AC443" s="118"/>
      <c r="AD443" s="118"/>
      <c r="AE443" s="118"/>
      <c r="AF443" s="118"/>
      <c r="AG443" s="118"/>
      <c r="AH443" s="118"/>
      <c r="AI443" s="118"/>
      <c r="AJ443" s="118"/>
      <c r="AL443" s="7"/>
    </row>
    <row r="444" spans="1:38" ht="12.75" customHeight="1">
      <c r="A444" s="71"/>
      <c r="Y444" s="118"/>
      <c r="Z444" s="118"/>
      <c r="AA444" s="118"/>
      <c r="AB444" s="118"/>
      <c r="AC444" s="118"/>
      <c r="AD444" s="118"/>
      <c r="AE444" s="118"/>
      <c r="AF444" s="118"/>
      <c r="AG444" s="118"/>
      <c r="AH444" s="118"/>
      <c r="AI444" s="118"/>
      <c r="AJ444" s="118"/>
      <c r="AL444" s="7"/>
    </row>
    <row r="445" spans="1:38" ht="12.75" customHeight="1">
      <c r="A445" s="71"/>
      <c r="Y445" s="118"/>
      <c r="Z445" s="118"/>
      <c r="AA445" s="118"/>
      <c r="AB445" s="118"/>
      <c r="AC445" s="118"/>
      <c r="AD445" s="118"/>
      <c r="AE445" s="118"/>
      <c r="AF445" s="118"/>
      <c r="AG445" s="118"/>
      <c r="AH445" s="118"/>
      <c r="AI445" s="118"/>
      <c r="AJ445" s="118"/>
      <c r="AL445" s="7"/>
    </row>
    <row r="446" spans="1:38" ht="12.75" customHeight="1">
      <c r="A446" s="71"/>
      <c r="Y446" s="118"/>
      <c r="Z446" s="118"/>
      <c r="AA446" s="118"/>
      <c r="AB446" s="118"/>
      <c r="AC446" s="118"/>
      <c r="AD446" s="118"/>
      <c r="AE446" s="118"/>
      <c r="AF446" s="118"/>
      <c r="AG446" s="118"/>
      <c r="AH446" s="118"/>
      <c r="AI446" s="118"/>
      <c r="AJ446" s="118"/>
      <c r="AL446" s="7"/>
    </row>
    <row r="447" spans="1:38" ht="12.75" customHeight="1">
      <c r="A447" s="71"/>
      <c r="Y447" s="118"/>
      <c r="Z447" s="118"/>
      <c r="AA447" s="118"/>
      <c r="AB447" s="118"/>
      <c r="AC447" s="118"/>
      <c r="AD447" s="118"/>
      <c r="AE447" s="118"/>
      <c r="AF447" s="118"/>
      <c r="AG447" s="118"/>
      <c r="AH447" s="118"/>
      <c r="AI447" s="118"/>
      <c r="AJ447" s="118"/>
      <c r="AL447" s="7"/>
    </row>
    <row r="448" spans="1:38" ht="12.75" customHeight="1">
      <c r="A448" s="71"/>
      <c r="Y448" s="118"/>
      <c r="Z448" s="118"/>
      <c r="AA448" s="118"/>
      <c r="AB448" s="118"/>
      <c r="AC448" s="118"/>
      <c r="AD448" s="118"/>
      <c r="AE448" s="118"/>
      <c r="AF448" s="118"/>
      <c r="AG448" s="118"/>
      <c r="AH448" s="118"/>
      <c r="AI448" s="118"/>
      <c r="AJ448" s="118"/>
      <c r="AL448" s="7"/>
    </row>
    <row r="449" spans="1:38" ht="12.75" customHeight="1">
      <c r="A449" s="71"/>
      <c r="Y449" s="118"/>
      <c r="Z449" s="118"/>
      <c r="AA449" s="118"/>
      <c r="AB449" s="118"/>
      <c r="AC449" s="118"/>
      <c r="AD449" s="118"/>
      <c r="AE449" s="118"/>
      <c r="AF449" s="118"/>
      <c r="AG449" s="118"/>
      <c r="AH449" s="118"/>
      <c r="AI449" s="118"/>
      <c r="AJ449" s="118"/>
      <c r="AL449" s="7"/>
    </row>
    <row r="450" spans="1:38" ht="12.75" customHeight="1">
      <c r="A450" s="71"/>
      <c r="Y450" s="118"/>
      <c r="Z450" s="118"/>
      <c r="AA450" s="118"/>
      <c r="AB450" s="118"/>
      <c r="AC450" s="118"/>
      <c r="AD450" s="118"/>
      <c r="AE450" s="118"/>
      <c r="AF450" s="118"/>
      <c r="AG450" s="118"/>
      <c r="AH450" s="118"/>
      <c r="AI450" s="118"/>
      <c r="AJ450" s="118"/>
      <c r="AL450" s="7"/>
    </row>
    <row r="451" spans="1:38" ht="12.75" customHeight="1">
      <c r="A451" s="71"/>
      <c r="Y451" s="118"/>
      <c r="Z451" s="118"/>
      <c r="AA451" s="118"/>
      <c r="AB451" s="118"/>
      <c r="AC451" s="118"/>
      <c r="AD451" s="118"/>
      <c r="AE451" s="118"/>
      <c r="AF451" s="118"/>
      <c r="AG451" s="118"/>
      <c r="AH451" s="118"/>
      <c r="AI451" s="118"/>
      <c r="AJ451" s="118"/>
      <c r="AL451" s="7"/>
    </row>
    <row r="452" spans="1:38" ht="12.75" customHeight="1">
      <c r="A452" s="71"/>
      <c r="Y452" s="118"/>
      <c r="Z452" s="118"/>
      <c r="AA452" s="118"/>
      <c r="AB452" s="118"/>
      <c r="AC452" s="118"/>
      <c r="AD452" s="118"/>
      <c r="AE452" s="118"/>
      <c r="AF452" s="118"/>
      <c r="AG452" s="118"/>
      <c r="AH452" s="118"/>
      <c r="AI452" s="118"/>
      <c r="AJ452" s="118"/>
      <c r="AL452" s="7"/>
    </row>
    <row r="453" spans="1:38" ht="12.75" customHeight="1">
      <c r="A453" s="71"/>
      <c r="Y453" s="118"/>
      <c r="Z453" s="118"/>
      <c r="AA453" s="118"/>
      <c r="AB453" s="118"/>
      <c r="AC453" s="118"/>
      <c r="AD453" s="118"/>
      <c r="AE453" s="118"/>
      <c r="AF453" s="118"/>
      <c r="AG453" s="118"/>
      <c r="AH453" s="118"/>
      <c r="AI453" s="118"/>
      <c r="AJ453" s="118"/>
      <c r="AL453" s="7"/>
    </row>
    <row r="454" spans="1:38" ht="12.75" customHeight="1">
      <c r="A454" s="71"/>
      <c r="Y454" s="118"/>
      <c r="Z454" s="118"/>
      <c r="AA454" s="118"/>
      <c r="AB454" s="118"/>
      <c r="AC454" s="118"/>
      <c r="AD454" s="118"/>
      <c r="AE454" s="118"/>
      <c r="AF454" s="118"/>
      <c r="AG454" s="118"/>
      <c r="AH454" s="118"/>
      <c r="AI454" s="118"/>
      <c r="AJ454" s="118"/>
      <c r="AL454" s="7"/>
    </row>
    <row r="455" spans="1:38" ht="12.75" customHeight="1">
      <c r="A455" s="71"/>
      <c r="Y455" s="118"/>
      <c r="Z455" s="118"/>
      <c r="AA455" s="118"/>
      <c r="AB455" s="118"/>
      <c r="AC455" s="118"/>
      <c r="AD455" s="118"/>
      <c r="AE455" s="118"/>
      <c r="AF455" s="118"/>
      <c r="AG455" s="118"/>
      <c r="AH455" s="118"/>
      <c r="AI455" s="118"/>
      <c r="AJ455" s="118"/>
      <c r="AL455" s="7"/>
    </row>
    <row r="456" spans="1:38" ht="12.75" customHeight="1">
      <c r="A456" s="71"/>
      <c r="Y456" s="118"/>
      <c r="Z456" s="118"/>
      <c r="AA456" s="118"/>
      <c r="AB456" s="118"/>
      <c r="AC456" s="118"/>
      <c r="AD456" s="118"/>
      <c r="AE456" s="118"/>
      <c r="AF456" s="118"/>
      <c r="AG456" s="118"/>
      <c r="AH456" s="118"/>
      <c r="AI456" s="118"/>
      <c r="AJ456" s="118"/>
      <c r="AL456" s="7"/>
    </row>
    <row r="457" spans="1:38" ht="12.75" customHeight="1">
      <c r="A457" s="71"/>
      <c r="Y457" s="118"/>
      <c r="Z457" s="118"/>
      <c r="AA457" s="118"/>
      <c r="AB457" s="118"/>
      <c r="AC457" s="118"/>
      <c r="AD457" s="118"/>
      <c r="AE457" s="118"/>
      <c r="AF457" s="118"/>
      <c r="AG457" s="118"/>
      <c r="AH457" s="118"/>
      <c r="AI457" s="118"/>
      <c r="AJ457" s="118"/>
      <c r="AL457" s="7"/>
    </row>
    <row r="458" spans="1:38" ht="12.75" customHeight="1">
      <c r="A458" s="71"/>
      <c r="Y458" s="118"/>
      <c r="Z458" s="118"/>
      <c r="AA458" s="118"/>
      <c r="AB458" s="118"/>
      <c r="AC458" s="118"/>
      <c r="AD458" s="118"/>
      <c r="AE458" s="118"/>
      <c r="AF458" s="118"/>
      <c r="AG458" s="118"/>
      <c r="AH458" s="118"/>
      <c r="AI458" s="118"/>
      <c r="AJ458" s="118"/>
      <c r="AL458" s="7"/>
    </row>
    <row r="459" spans="1:38" ht="12.75" customHeight="1">
      <c r="A459" s="71"/>
      <c r="Y459" s="118"/>
      <c r="Z459" s="118"/>
      <c r="AA459" s="118"/>
      <c r="AB459" s="118"/>
      <c r="AC459" s="118"/>
      <c r="AD459" s="118"/>
      <c r="AE459" s="118"/>
      <c r="AF459" s="118"/>
      <c r="AG459" s="118"/>
      <c r="AH459" s="118"/>
      <c r="AI459" s="118"/>
      <c r="AJ459" s="118"/>
      <c r="AL459" s="7"/>
    </row>
    <row r="460" spans="1:38" ht="12.75" customHeight="1">
      <c r="A460" s="71"/>
      <c r="Y460" s="118"/>
      <c r="Z460" s="118"/>
      <c r="AA460" s="118"/>
      <c r="AB460" s="118"/>
      <c r="AC460" s="118"/>
      <c r="AD460" s="118"/>
      <c r="AE460" s="118"/>
      <c r="AF460" s="118"/>
      <c r="AG460" s="118"/>
      <c r="AH460" s="118"/>
      <c r="AI460" s="118"/>
      <c r="AJ460" s="118"/>
      <c r="AL460" s="7"/>
    </row>
    <row r="461" spans="1:38" ht="12.75" customHeight="1">
      <c r="A461" s="71"/>
      <c r="Y461" s="118"/>
      <c r="Z461" s="118"/>
      <c r="AA461" s="118"/>
      <c r="AB461" s="118"/>
      <c r="AC461" s="118"/>
      <c r="AD461" s="118"/>
      <c r="AE461" s="118"/>
      <c r="AF461" s="118"/>
      <c r="AG461" s="118"/>
      <c r="AH461" s="118"/>
      <c r="AI461" s="118"/>
      <c r="AJ461" s="118"/>
      <c r="AL461" s="7"/>
    </row>
    <row r="462" spans="1:38" ht="12.75" customHeight="1">
      <c r="A462" s="71"/>
      <c r="Y462" s="118"/>
      <c r="Z462" s="118"/>
      <c r="AA462" s="118"/>
      <c r="AB462" s="118"/>
      <c r="AC462" s="118"/>
      <c r="AD462" s="118"/>
      <c r="AE462" s="118"/>
      <c r="AF462" s="118"/>
      <c r="AG462" s="118"/>
      <c r="AH462" s="118"/>
      <c r="AI462" s="118"/>
      <c r="AJ462" s="118"/>
      <c r="AL462" s="7"/>
    </row>
    <row r="463" spans="1:38" ht="12.75" customHeight="1">
      <c r="A463" s="71"/>
      <c r="Y463" s="118"/>
      <c r="Z463" s="118"/>
      <c r="AA463" s="118"/>
      <c r="AB463" s="118"/>
      <c r="AC463" s="118"/>
      <c r="AD463" s="118"/>
      <c r="AE463" s="118"/>
      <c r="AF463" s="118"/>
      <c r="AG463" s="118"/>
      <c r="AH463" s="118"/>
      <c r="AI463" s="118"/>
      <c r="AJ463" s="118"/>
      <c r="AL463" s="7"/>
    </row>
    <row r="464" spans="1:38" ht="12.75" customHeight="1">
      <c r="A464" s="71"/>
      <c r="Y464" s="118"/>
      <c r="Z464" s="118"/>
      <c r="AA464" s="118"/>
      <c r="AB464" s="118"/>
      <c r="AC464" s="118"/>
      <c r="AD464" s="118"/>
      <c r="AE464" s="118"/>
      <c r="AF464" s="118"/>
      <c r="AG464" s="118"/>
      <c r="AH464" s="118"/>
      <c r="AI464" s="118"/>
      <c r="AJ464" s="118"/>
      <c r="AL464" s="7"/>
    </row>
    <row r="465" spans="1:38" ht="12.75" customHeight="1">
      <c r="A465" s="71"/>
      <c r="Y465" s="118"/>
      <c r="Z465" s="118"/>
      <c r="AA465" s="118"/>
      <c r="AB465" s="118"/>
      <c r="AC465" s="118"/>
      <c r="AD465" s="118"/>
      <c r="AE465" s="118"/>
      <c r="AF465" s="118"/>
      <c r="AG465" s="118"/>
      <c r="AH465" s="118"/>
      <c r="AI465" s="118"/>
      <c r="AJ465" s="118"/>
      <c r="AL465" s="7"/>
    </row>
    <row r="466" spans="1:38" ht="12.75" customHeight="1">
      <c r="A466" s="71"/>
      <c r="Y466" s="118"/>
      <c r="Z466" s="118"/>
      <c r="AA466" s="118"/>
      <c r="AB466" s="118"/>
      <c r="AC466" s="118"/>
      <c r="AD466" s="118"/>
      <c r="AE466" s="118"/>
      <c r="AF466" s="118"/>
      <c r="AG466" s="118"/>
      <c r="AH466" s="118"/>
      <c r="AI466" s="118"/>
      <c r="AJ466" s="118"/>
      <c r="AL466" s="7"/>
    </row>
    <row r="467" spans="1:38" ht="12.75" customHeight="1">
      <c r="A467" s="71"/>
      <c r="Y467" s="118"/>
      <c r="Z467" s="118"/>
      <c r="AA467" s="118"/>
      <c r="AB467" s="118"/>
      <c r="AC467" s="118"/>
      <c r="AD467" s="118"/>
      <c r="AE467" s="118"/>
      <c r="AF467" s="118"/>
      <c r="AG467" s="118"/>
      <c r="AH467" s="118"/>
      <c r="AI467" s="118"/>
      <c r="AJ467" s="118"/>
      <c r="AL467" s="7"/>
    </row>
    <row r="468" spans="1:38" ht="12.75" customHeight="1">
      <c r="A468" s="71"/>
      <c r="Y468" s="118"/>
      <c r="Z468" s="118"/>
      <c r="AA468" s="118"/>
      <c r="AB468" s="118"/>
      <c r="AC468" s="118"/>
      <c r="AD468" s="118"/>
      <c r="AE468" s="118"/>
      <c r="AF468" s="118"/>
      <c r="AG468" s="118"/>
      <c r="AH468" s="118"/>
      <c r="AI468" s="118"/>
      <c r="AJ468" s="118"/>
      <c r="AL468" s="7"/>
    </row>
    <row r="469" spans="1:38" ht="12.75" customHeight="1">
      <c r="A469" s="71"/>
      <c r="Y469" s="118"/>
      <c r="Z469" s="118"/>
      <c r="AA469" s="118"/>
      <c r="AB469" s="118"/>
      <c r="AC469" s="118"/>
      <c r="AD469" s="118"/>
      <c r="AE469" s="118"/>
      <c r="AF469" s="118"/>
      <c r="AG469" s="118"/>
      <c r="AH469" s="118"/>
      <c r="AI469" s="118"/>
      <c r="AJ469" s="118"/>
      <c r="AL469" s="7"/>
    </row>
    <row r="470" spans="1:38" ht="12.75" customHeight="1">
      <c r="A470" s="71"/>
      <c r="Y470" s="118"/>
      <c r="Z470" s="118"/>
      <c r="AA470" s="118"/>
      <c r="AB470" s="118"/>
      <c r="AC470" s="118"/>
      <c r="AD470" s="118"/>
      <c r="AE470" s="118"/>
      <c r="AF470" s="118"/>
      <c r="AG470" s="118"/>
      <c r="AH470" s="118"/>
      <c r="AI470" s="118"/>
      <c r="AJ470" s="118"/>
      <c r="AL470" s="7"/>
    </row>
    <row r="471" spans="1:38" ht="12.75" customHeight="1">
      <c r="A471" s="71"/>
      <c r="Y471" s="118"/>
      <c r="Z471" s="118"/>
      <c r="AA471" s="118"/>
      <c r="AB471" s="118"/>
      <c r="AC471" s="118"/>
      <c r="AD471" s="118"/>
      <c r="AE471" s="118"/>
      <c r="AF471" s="118"/>
      <c r="AG471" s="118"/>
      <c r="AH471" s="118"/>
      <c r="AI471" s="118"/>
      <c r="AJ471" s="118"/>
      <c r="AL471" s="7"/>
    </row>
    <row r="472" spans="1:38" ht="12.75" customHeight="1">
      <c r="A472" s="71"/>
      <c r="Y472" s="118"/>
      <c r="Z472" s="118"/>
      <c r="AA472" s="118"/>
      <c r="AB472" s="118"/>
      <c r="AC472" s="118"/>
      <c r="AD472" s="118"/>
      <c r="AE472" s="118"/>
      <c r="AF472" s="118"/>
      <c r="AG472" s="118"/>
      <c r="AH472" s="118"/>
      <c r="AI472" s="118"/>
      <c r="AJ472" s="118"/>
      <c r="AL472" s="7"/>
    </row>
    <row r="473" spans="1:38" ht="12.75" customHeight="1">
      <c r="A473" s="71"/>
      <c r="Y473" s="118"/>
      <c r="Z473" s="118"/>
      <c r="AA473" s="118"/>
      <c r="AB473" s="118"/>
      <c r="AC473" s="118"/>
      <c r="AD473" s="118"/>
      <c r="AE473" s="118"/>
      <c r="AF473" s="118"/>
      <c r="AG473" s="118"/>
      <c r="AH473" s="118"/>
      <c r="AI473" s="118"/>
      <c r="AJ473" s="118"/>
      <c r="AL473" s="7"/>
    </row>
    <row r="474" spans="1:38" ht="12.75" customHeight="1">
      <c r="A474" s="71"/>
      <c r="Y474" s="118"/>
      <c r="Z474" s="118"/>
      <c r="AA474" s="118"/>
      <c r="AB474" s="118"/>
      <c r="AC474" s="118"/>
      <c r="AD474" s="118"/>
      <c r="AE474" s="118"/>
      <c r="AF474" s="118"/>
      <c r="AG474" s="118"/>
      <c r="AH474" s="118"/>
      <c r="AI474" s="118"/>
      <c r="AJ474" s="118"/>
      <c r="AL474" s="7"/>
    </row>
    <row r="475" spans="1:38" ht="12.75" customHeight="1">
      <c r="A475" s="71"/>
      <c r="Y475" s="118"/>
      <c r="Z475" s="118"/>
      <c r="AA475" s="118"/>
      <c r="AB475" s="118"/>
      <c r="AC475" s="118"/>
      <c r="AD475" s="118"/>
      <c r="AE475" s="118"/>
      <c r="AF475" s="118"/>
      <c r="AG475" s="118"/>
      <c r="AH475" s="118"/>
      <c r="AI475" s="118"/>
      <c r="AJ475" s="118"/>
      <c r="AL475" s="7"/>
    </row>
    <row r="476" spans="1:38" ht="12.75" customHeight="1">
      <c r="A476" s="71"/>
      <c r="Y476" s="118"/>
      <c r="Z476" s="118"/>
      <c r="AA476" s="118"/>
      <c r="AB476" s="118"/>
      <c r="AC476" s="118"/>
      <c r="AD476" s="118"/>
      <c r="AE476" s="118"/>
      <c r="AF476" s="118"/>
      <c r="AG476" s="118"/>
      <c r="AH476" s="118"/>
      <c r="AI476" s="118"/>
      <c r="AJ476" s="118"/>
      <c r="AL476" s="7"/>
    </row>
    <row r="477" spans="1:38" ht="12.75" customHeight="1">
      <c r="A477" s="71"/>
      <c r="Y477" s="118"/>
      <c r="Z477" s="118"/>
      <c r="AA477" s="118"/>
      <c r="AB477" s="118"/>
      <c r="AC477" s="118"/>
      <c r="AD477" s="118"/>
      <c r="AE477" s="118"/>
      <c r="AF477" s="118"/>
      <c r="AG477" s="118"/>
      <c r="AH477" s="118"/>
      <c r="AI477" s="118"/>
      <c r="AJ477" s="118"/>
      <c r="AL477" s="7"/>
    </row>
    <row r="478" spans="1:38" ht="12.75" customHeight="1">
      <c r="A478" s="71"/>
      <c r="Y478" s="118"/>
      <c r="Z478" s="118"/>
      <c r="AA478" s="118"/>
      <c r="AB478" s="118"/>
      <c r="AC478" s="118"/>
      <c r="AD478" s="118"/>
      <c r="AE478" s="118"/>
      <c r="AF478" s="118"/>
      <c r="AG478" s="118"/>
      <c r="AH478" s="118"/>
      <c r="AI478" s="118"/>
      <c r="AJ478" s="118"/>
      <c r="AL478" s="7"/>
    </row>
    <row r="479" spans="1:38" ht="12.75" customHeight="1">
      <c r="A479" s="71"/>
      <c r="Y479" s="118"/>
      <c r="Z479" s="118"/>
      <c r="AA479" s="118"/>
      <c r="AB479" s="118"/>
      <c r="AC479" s="118"/>
      <c r="AD479" s="118"/>
      <c r="AE479" s="118"/>
      <c r="AF479" s="118"/>
      <c r="AG479" s="118"/>
      <c r="AH479" s="118"/>
      <c r="AI479" s="118"/>
      <c r="AJ479" s="118"/>
      <c r="AL479" s="7"/>
    </row>
    <row r="480" spans="1:38" ht="12.75" customHeight="1">
      <c r="A480" s="71"/>
      <c r="Y480" s="118"/>
      <c r="Z480" s="118"/>
      <c r="AA480" s="118"/>
      <c r="AB480" s="118"/>
      <c r="AC480" s="118"/>
      <c r="AD480" s="118"/>
      <c r="AE480" s="118"/>
      <c r="AF480" s="118"/>
      <c r="AG480" s="118"/>
      <c r="AH480" s="118"/>
      <c r="AI480" s="118"/>
      <c r="AJ480" s="118"/>
      <c r="AL480" s="7"/>
    </row>
    <row r="481" spans="1:38" ht="12.75" customHeight="1">
      <c r="A481" s="71"/>
      <c r="Y481" s="118"/>
      <c r="Z481" s="118"/>
      <c r="AA481" s="118"/>
      <c r="AB481" s="118"/>
      <c r="AC481" s="118"/>
      <c r="AD481" s="118"/>
      <c r="AE481" s="118"/>
      <c r="AF481" s="118"/>
      <c r="AG481" s="118"/>
      <c r="AH481" s="118"/>
      <c r="AI481" s="118"/>
      <c r="AJ481" s="118"/>
      <c r="AL481" s="7"/>
    </row>
    <row r="482" spans="1:38" ht="12.75" customHeight="1">
      <c r="A482" s="71"/>
      <c r="Y482" s="118"/>
      <c r="Z482" s="118"/>
      <c r="AA482" s="118"/>
      <c r="AB482" s="118"/>
      <c r="AC482" s="118"/>
      <c r="AD482" s="118"/>
      <c r="AE482" s="118"/>
      <c r="AF482" s="118"/>
      <c r="AG482" s="118"/>
      <c r="AH482" s="118"/>
      <c r="AI482" s="118"/>
      <c r="AJ482" s="118"/>
      <c r="AL482" s="7"/>
    </row>
    <row r="483" spans="1:38" ht="12.75" customHeight="1">
      <c r="A483" s="71"/>
      <c r="Y483" s="118"/>
      <c r="Z483" s="118"/>
      <c r="AA483" s="118"/>
      <c r="AB483" s="118"/>
      <c r="AC483" s="118"/>
      <c r="AD483" s="118"/>
      <c r="AE483" s="118"/>
      <c r="AF483" s="118"/>
      <c r="AG483" s="118"/>
      <c r="AH483" s="118"/>
      <c r="AI483" s="118"/>
      <c r="AJ483" s="118"/>
      <c r="AL483" s="7"/>
    </row>
    <row r="484" spans="1:38" ht="12.75" customHeight="1">
      <c r="A484" s="71"/>
      <c r="Y484" s="118"/>
      <c r="Z484" s="118"/>
      <c r="AA484" s="118"/>
      <c r="AB484" s="118"/>
      <c r="AC484" s="118"/>
      <c r="AD484" s="118"/>
      <c r="AE484" s="118"/>
      <c r="AF484" s="118"/>
      <c r="AG484" s="118"/>
      <c r="AH484" s="118"/>
      <c r="AI484" s="118"/>
      <c r="AJ484" s="118"/>
      <c r="AL484" s="7"/>
    </row>
    <row r="485" spans="1:38" ht="12.75" customHeight="1">
      <c r="A485" s="71"/>
      <c r="Y485" s="118"/>
      <c r="Z485" s="118"/>
      <c r="AA485" s="118"/>
      <c r="AB485" s="118"/>
      <c r="AC485" s="118"/>
      <c r="AD485" s="118"/>
      <c r="AE485" s="118"/>
      <c r="AF485" s="118"/>
      <c r="AG485" s="118"/>
      <c r="AH485" s="118"/>
      <c r="AI485" s="118"/>
      <c r="AJ485" s="118"/>
      <c r="AL485" s="7"/>
    </row>
    <row r="486" spans="1:38" ht="12.75" customHeight="1">
      <c r="A486" s="71"/>
      <c r="Y486" s="118"/>
      <c r="Z486" s="118"/>
      <c r="AA486" s="118"/>
      <c r="AB486" s="118"/>
      <c r="AC486" s="118"/>
      <c r="AD486" s="118"/>
      <c r="AE486" s="118"/>
      <c r="AF486" s="118"/>
      <c r="AG486" s="118"/>
      <c r="AH486" s="118"/>
      <c r="AI486" s="118"/>
      <c r="AJ486" s="118"/>
      <c r="AL486" s="7"/>
    </row>
    <row r="487" spans="1:38" ht="12.75" customHeight="1">
      <c r="A487" s="71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L487" s="7"/>
    </row>
    <row r="488" spans="1:38" ht="12.75" customHeight="1">
      <c r="A488" s="71"/>
      <c r="Y488" s="118"/>
      <c r="Z488" s="118"/>
      <c r="AA488" s="118"/>
      <c r="AB488" s="118"/>
      <c r="AC488" s="118"/>
      <c r="AD488" s="118"/>
      <c r="AE488" s="118"/>
      <c r="AF488" s="118"/>
      <c r="AG488" s="118"/>
      <c r="AH488" s="118"/>
      <c r="AI488" s="118"/>
      <c r="AJ488" s="118"/>
      <c r="AL488" s="7"/>
    </row>
    <row r="489" spans="1:38" ht="12.75" customHeight="1">
      <c r="A489" s="71"/>
      <c r="Y489" s="118"/>
      <c r="Z489" s="118"/>
      <c r="AA489" s="118"/>
      <c r="AB489" s="118"/>
      <c r="AC489" s="118"/>
      <c r="AD489" s="118"/>
      <c r="AE489" s="118"/>
      <c r="AF489" s="118"/>
      <c r="AG489" s="118"/>
      <c r="AH489" s="118"/>
      <c r="AI489" s="118"/>
      <c r="AJ489" s="118"/>
      <c r="AL489" s="7"/>
    </row>
    <row r="490" spans="1:38" ht="12.75" customHeight="1">
      <c r="A490" s="71"/>
      <c r="Y490" s="118"/>
      <c r="Z490" s="118"/>
      <c r="AA490" s="118"/>
      <c r="AB490" s="118"/>
      <c r="AC490" s="118"/>
      <c r="AD490" s="118"/>
      <c r="AE490" s="118"/>
      <c r="AF490" s="118"/>
      <c r="AG490" s="118"/>
      <c r="AH490" s="118"/>
      <c r="AI490" s="118"/>
      <c r="AJ490" s="118"/>
      <c r="AL490" s="7"/>
    </row>
    <row r="491" spans="1:38" ht="12.75" customHeight="1">
      <c r="A491" s="71"/>
      <c r="Y491" s="118"/>
      <c r="Z491" s="118"/>
      <c r="AA491" s="118"/>
      <c r="AB491" s="118"/>
      <c r="AC491" s="118"/>
      <c r="AD491" s="118"/>
      <c r="AE491" s="118"/>
      <c r="AF491" s="118"/>
      <c r="AG491" s="118"/>
      <c r="AH491" s="118"/>
      <c r="AI491" s="118"/>
      <c r="AJ491" s="118"/>
      <c r="AL491" s="7"/>
    </row>
    <row r="492" spans="1:38" ht="12.75" customHeight="1">
      <c r="A492" s="71"/>
      <c r="Y492" s="118"/>
      <c r="Z492" s="118"/>
      <c r="AA492" s="118"/>
      <c r="AB492" s="118"/>
      <c r="AC492" s="118"/>
      <c r="AD492" s="118"/>
      <c r="AE492" s="118"/>
      <c r="AF492" s="118"/>
      <c r="AG492" s="118"/>
      <c r="AH492" s="118"/>
      <c r="AI492" s="118"/>
      <c r="AJ492" s="118"/>
      <c r="AL492" s="7"/>
    </row>
    <row r="493" spans="1:38" ht="12.75" customHeight="1">
      <c r="A493" s="71"/>
      <c r="Y493" s="118"/>
      <c r="Z493" s="118"/>
      <c r="AA493" s="118"/>
      <c r="AB493" s="118"/>
      <c r="AC493" s="118"/>
      <c r="AD493" s="118"/>
      <c r="AE493" s="118"/>
      <c r="AF493" s="118"/>
      <c r="AG493" s="118"/>
      <c r="AH493" s="118"/>
      <c r="AI493" s="118"/>
      <c r="AJ493" s="118"/>
      <c r="AL493" s="7"/>
    </row>
    <row r="494" spans="1:38" ht="12.75" customHeight="1">
      <c r="A494" s="71"/>
      <c r="Y494" s="118"/>
      <c r="Z494" s="118"/>
      <c r="AA494" s="118"/>
      <c r="AB494" s="118"/>
      <c r="AC494" s="118"/>
      <c r="AD494" s="118"/>
      <c r="AE494" s="118"/>
      <c r="AF494" s="118"/>
      <c r="AG494" s="118"/>
      <c r="AH494" s="118"/>
      <c r="AI494" s="118"/>
      <c r="AJ494" s="118"/>
      <c r="AL494" s="7"/>
    </row>
    <row r="495" spans="1:38" ht="12.75" customHeight="1">
      <c r="A495" s="71"/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  <c r="AI495" s="118"/>
      <c r="AJ495" s="118"/>
      <c r="AL495" s="7"/>
    </row>
    <row r="496" spans="1:38" ht="12.75" customHeight="1">
      <c r="A496" s="71"/>
      <c r="Y496" s="118"/>
      <c r="Z496" s="118"/>
      <c r="AA496" s="118"/>
      <c r="AB496" s="118"/>
      <c r="AC496" s="118"/>
      <c r="AD496" s="118"/>
      <c r="AE496" s="118"/>
      <c r="AF496" s="118"/>
      <c r="AG496" s="118"/>
      <c r="AH496" s="118"/>
      <c r="AI496" s="118"/>
      <c r="AJ496" s="118"/>
      <c r="AL496" s="7"/>
    </row>
    <row r="497" spans="1:38" ht="12.75" customHeight="1">
      <c r="A497" s="71"/>
      <c r="Y497" s="118"/>
      <c r="Z497" s="118"/>
      <c r="AA497" s="118"/>
      <c r="AB497" s="118"/>
      <c r="AC497" s="118"/>
      <c r="AD497" s="118"/>
      <c r="AE497" s="118"/>
      <c r="AF497" s="118"/>
      <c r="AG497" s="118"/>
      <c r="AH497" s="118"/>
      <c r="AI497" s="118"/>
      <c r="AJ497" s="118"/>
      <c r="AL497" s="7"/>
    </row>
    <row r="498" spans="1:38" ht="12.75" customHeight="1">
      <c r="A498" s="71"/>
      <c r="Y498" s="118"/>
      <c r="Z498" s="118"/>
      <c r="AA498" s="118"/>
      <c r="AB498" s="118"/>
      <c r="AC498" s="118"/>
      <c r="AD498" s="118"/>
      <c r="AE498" s="118"/>
      <c r="AF498" s="118"/>
      <c r="AG498" s="118"/>
      <c r="AH498" s="118"/>
      <c r="AI498" s="118"/>
      <c r="AJ498" s="118"/>
      <c r="AL498" s="7"/>
    </row>
    <row r="499" spans="1:38" ht="12.75" customHeight="1">
      <c r="A499" s="71"/>
      <c r="Y499" s="118"/>
      <c r="Z499" s="118"/>
      <c r="AA499" s="118"/>
      <c r="AB499" s="118"/>
      <c r="AC499" s="118"/>
      <c r="AD499" s="118"/>
      <c r="AE499" s="118"/>
      <c r="AF499" s="118"/>
      <c r="AG499" s="118"/>
      <c r="AH499" s="118"/>
      <c r="AI499" s="118"/>
      <c r="AJ499" s="118"/>
      <c r="AL499" s="7"/>
    </row>
    <row r="500" spans="1:38" ht="12.75" customHeight="1">
      <c r="A500" s="71"/>
      <c r="Y500" s="118"/>
      <c r="Z500" s="118"/>
      <c r="AA500" s="118"/>
      <c r="AB500" s="118"/>
      <c r="AC500" s="118"/>
      <c r="AD500" s="118"/>
      <c r="AE500" s="118"/>
      <c r="AF500" s="118"/>
      <c r="AG500" s="118"/>
      <c r="AH500" s="118"/>
      <c r="AI500" s="118"/>
      <c r="AJ500" s="118"/>
      <c r="AL500" s="7"/>
    </row>
    <row r="501" spans="1:38" ht="12.75" customHeight="1">
      <c r="A501" s="71"/>
      <c r="Y501" s="118"/>
      <c r="Z501" s="118"/>
      <c r="AA501" s="118"/>
      <c r="AB501" s="118"/>
      <c r="AC501" s="118"/>
      <c r="AD501" s="118"/>
      <c r="AE501" s="118"/>
      <c r="AF501" s="118"/>
      <c r="AG501" s="118"/>
      <c r="AH501" s="118"/>
      <c r="AI501" s="118"/>
      <c r="AJ501" s="118"/>
      <c r="AL501" s="7"/>
    </row>
    <row r="502" spans="1:38" ht="12.75" customHeight="1">
      <c r="A502" s="71"/>
      <c r="Y502" s="118"/>
      <c r="Z502" s="118"/>
      <c r="AA502" s="118"/>
      <c r="AB502" s="118"/>
      <c r="AC502" s="118"/>
      <c r="AD502" s="118"/>
      <c r="AE502" s="118"/>
      <c r="AF502" s="118"/>
      <c r="AG502" s="118"/>
      <c r="AH502" s="118"/>
      <c r="AI502" s="118"/>
      <c r="AJ502" s="118"/>
      <c r="AL502" s="7"/>
    </row>
    <row r="503" spans="1:38" ht="12.75" customHeight="1">
      <c r="A503" s="71"/>
      <c r="Y503" s="118"/>
      <c r="Z503" s="118"/>
      <c r="AA503" s="118"/>
      <c r="AB503" s="118"/>
      <c r="AC503" s="118"/>
      <c r="AD503" s="118"/>
      <c r="AE503" s="118"/>
      <c r="AF503" s="118"/>
      <c r="AG503" s="118"/>
      <c r="AH503" s="118"/>
      <c r="AI503" s="118"/>
      <c r="AJ503" s="118"/>
      <c r="AL503" s="7"/>
    </row>
    <row r="504" spans="1:38" ht="12.75" customHeight="1">
      <c r="A504" s="71"/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  <c r="AI504" s="118"/>
      <c r="AJ504" s="118"/>
      <c r="AL504" s="7"/>
    </row>
    <row r="505" spans="1:38" ht="12.75" customHeight="1">
      <c r="A505" s="71"/>
      <c r="Y505" s="118"/>
      <c r="Z505" s="118"/>
      <c r="AA505" s="118"/>
      <c r="AB505" s="118"/>
      <c r="AC505" s="118"/>
      <c r="AD505" s="118"/>
      <c r="AE505" s="118"/>
      <c r="AF505" s="118"/>
      <c r="AG505" s="118"/>
      <c r="AH505" s="118"/>
      <c r="AI505" s="118"/>
      <c r="AJ505" s="118"/>
      <c r="AL505" s="7"/>
    </row>
    <row r="506" spans="1:38" ht="12.75" customHeight="1">
      <c r="A506" s="71"/>
      <c r="Y506" s="118"/>
      <c r="Z506" s="118"/>
      <c r="AA506" s="118"/>
      <c r="AB506" s="118"/>
      <c r="AC506" s="118"/>
      <c r="AD506" s="118"/>
      <c r="AE506" s="118"/>
      <c r="AF506" s="118"/>
      <c r="AG506" s="118"/>
      <c r="AH506" s="118"/>
      <c r="AI506" s="118"/>
      <c r="AJ506" s="118"/>
      <c r="AL506" s="7"/>
    </row>
    <row r="507" spans="1:38" ht="12.75" customHeight="1">
      <c r="A507" s="71"/>
      <c r="Y507" s="118"/>
      <c r="Z507" s="118"/>
      <c r="AA507" s="118"/>
      <c r="AB507" s="118"/>
      <c r="AC507" s="118"/>
      <c r="AD507" s="118"/>
      <c r="AE507" s="118"/>
      <c r="AF507" s="118"/>
      <c r="AG507" s="118"/>
      <c r="AH507" s="118"/>
      <c r="AI507" s="118"/>
      <c r="AJ507" s="118"/>
      <c r="AL507" s="7"/>
    </row>
    <row r="508" spans="1:38" ht="12.75" customHeight="1">
      <c r="A508" s="71"/>
      <c r="Y508" s="118"/>
      <c r="Z508" s="118"/>
      <c r="AA508" s="118"/>
      <c r="AB508" s="118"/>
      <c r="AC508" s="118"/>
      <c r="AD508" s="118"/>
      <c r="AE508" s="118"/>
      <c r="AF508" s="118"/>
      <c r="AG508" s="118"/>
      <c r="AH508" s="118"/>
      <c r="AI508" s="118"/>
      <c r="AJ508" s="118"/>
      <c r="AL508" s="7"/>
    </row>
    <row r="509" spans="1:38" ht="12.75" customHeight="1">
      <c r="A509" s="71"/>
      <c r="Y509" s="118"/>
      <c r="Z509" s="118"/>
      <c r="AA509" s="118"/>
      <c r="AB509" s="118"/>
      <c r="AC509" s="118"/>
      <c r="AD509" s="118"/>
      <c r="AE509" s="118"/>
      <c r="AF509" s="118"/>
      <c r="AG509" s="118"/>
      <c r="AH509" s="118"/>
      <c r="AI509" s="118"/>
      <c r="AJ509" s="118"/>
      <c r="AL509" s="7"/>
    </row>
    <row r="510" spans="1:38" ht="12.75" customHeight="1">
      <c r="A510" s="71"/>
      <c r="Y510" s="118"/>
      <c r="Z510" s="118"/>
      <c r="AA510" s="118"/>
      <c r="AB510" s="118"/>
      <c r="AC510" s="118"/>
      <c r="AD510" s="118"/>
      <c r="AE510" s="118"/>
      <c r="AF510" s="118"/>
      <c r="AG510" s="118"/>
      <c r="AH510" s="118"/>
      <c r="AI510" s="118"/>
      <c r="AJ510" s="118"/>
      <c r="AL510" s="7"/>
    </row>
    <row r="511" spans="1:38" ht="12.75" customHeight="1">
      <c r="A511" s="71"/>
      <c r="Y511" s="118"/>
      <c r="Z511" s="118"/>
      <c r="AA511" s="118"/>
      <c r="AB511" s="118"/>
      <c r="AC511" s="118"/>
      <c r="AD511" s="118"/>
      <c r="AE511" s="118"/>
      <c r="AF511" s="118"/>
      <c r="AG511" s="118"/>
      <c r="AH511" s="118"/>
      <c r="AI511" s="118"/>
      <c r="AJ511" s="118"/>
      <c r="AL511" s="7"/>
    </row>
    <row r="512" spans="1:38" ht="12.75" customHeight="1">
      <c r="A512" s="71"/>
      <c r="Y512" s="118"/>
      <c r="Z512" s="118"/>
      <c r="AA512" s="118"/>
      <c r="AB512" s="118"/>
      <c r="AC512" s="118"/>
      <c r="AD512" s="118"/>
      <c r="AE512" s="118"/>
      <c r="AF512" s="118"/>
      <c r="AG512" s="118"/>
      <c r="AH512" s="118"/>
      <c r="AI512" s="118"/>
      <c r="AJ512" s="118"/>
      <c r="AL512" s="7"/>
    </row>
    <row r="513" spans="1:38" ht="12.75" customHeight="1">
      <c r="A513" s="71"/>
      <c r="Y513" s="118"/>
      <c r="Z513" s="118"/>
      <c r="AA513" s="118"/>
      <c r="AB513" s="118"/>
      <c r="AC513" s="118"/>
      <c r="AD513" s="118"/>
      <c r="AE513" s="118"/>
      <c r="AF513" s="118"/>
      <c r="AG513" s="118"/>
      <c r="AH513" s="118"/>
      <c r="AI513" s="118"/>
      <c r="AJ513" s="118"/>
      <c r="AL513" s="7"/>
    </row>
    <row r="514" spans="1:38" ht="12.75" customHeight="1">
      <c r="A514" s="71"/>
      <c r="Y514" s="118"/>
      <c r="Z514" s="118"/>
      <c r="AA514" s="118"/>
      <c r="AB514" s="118"/>
      <c r="AC514" s="118"/>
      <c r="AD514" s="118"/>
      <c r="AE514" s="118"/>
      <c r="AF514" s="118"/>
      <c r="AG514" s="118"/>
      <c r="AH514" s="118"/>
      <c r="AI514" s="118"/>
      <c r="AJ514" s="118"/>
      <c r="AL514" s="7"/>
    </row>
    <row r="515" spans="1:38" ht="12.75" customHeight="1">
      <c r="A515" s="71"/>
      <c r="Y515" s="118"/>
      <c r="Z515" s="118"/>
      <c r="AA515" s="118"/>
      <c r="AB515" s="118"/>
      <c r="AC515" s="118"/>
      <c r="AD515" s="118"/>
      <c r="AE515" s="118"/>
      <c r="AF515" s="118"/>
      <c r="AG515" s="118"/>
      <c r="AH515" s="118"/>
      <c r="AI515" s="118"/>
      <c r="AJ515" s="118"/>
      <c r="AL515" s="7"/>
    </row>
    <row r="516" spans="1:38" ht="12.75" customHeight="1">
      <c r="A516" s="71"/>
      <c r="Y516" s="118"/>
      <c r="Z516" s="118"/>
      <c r="AA516" s="118"/>
      <c r="AB516" s="118"/>
      <c r="AC516" s="118"/>
      <c r="AD516" s="118"/>
      <c r="AE516" s="118"/>
      <c r="AF516" s="118"/>
      <c r="AG516" s="118"/>
      <c r="AH516" s="118"/>
      <c r="AI516" s="118"/>
      <c r="AJ516" s="118"/>
      <c r="AL516" s="7"/>
    </row>
    <row r="517" spans="1:38" ht="12.75" customHeight="1">
      <c r="A517" s="71"/>
      <c r="Y517" s="118"/>
      <c r="Z517" s="118"/>
      <c r="AA517" s="118"/>
      <c r="AB517" s="118"/>
      <c r="AC517" s="118"/>
      <c r="AD517" s="118"/>
      <c r="AE517" s="118"/>
      <c r="AF517" s="118"/>
      <c r="AG517" s="118"/>
      <c r="AH517" s="118"/>
      <c r="AI517" s="118"/>
      <c r="AJ517" s="118"/>
      <c r="AL517" s="7"/>
    </row>
    <row r="518" spans="1:38" ht="12.75" customHeight="1">
      <c r="A518" s="71"/>
      <c r="Y518" s="118"/>
      <c r="Z518" s="118"/>
      <c r="AA518" s="118"/>
      <c r="AB518" s="118"/>
      <c r="AC518" s="118"/>
      <c r="AD518" s="118"/>
      <c r="AE518" s="118"/>
      <c r="AF518" s="118"/>
      <c r="AG518" s="118"/>
      <c r="AH518" s="118"/>
      <c r="AI518" s="118"/>
      <c r="AJ518" s="118"/>
      <c r="AL518" s="7"/>
    </row>
    <row r="519" spans="1:38" ht="12.75" customHeight="1">
      <c r="A519" s="71"/>
      <c r="Y519" s="118"/>
      <c r="Z519" s="118"/>
      <c r="AA519" s="118"/>
      <c r="AB519" s="118"/>
      <c r="AC519" s="118"/>
      <c r="AD519" s="118"/>
      <c r="AE519" s="118"/>
      <c r="AF519" s="118"/>
      <c r="AG519" s="118"/>
      <c r="AH519" s="118"/>
      <c r="AI519" s="118"/>
      <c r="AJ519" s="118"/>
      <c r="AL519" s="7"/>
    </row>
    <row r="520" spans="1:38" ht="12.75" customHeight="1">
      <c r="A520" s="71"/>
      <c r="Y520" s="118"/>
      <c r="Z520" s="118"/>
      <c r="AA520" s="118"/>
      <c r="AB520" s="118"/>
      <c r="AC520" s="118"/>
      <c r="AD520" s="118"/>
      <c r="AE520" s="118"/>
      <c r="AF520" s="118"/>
      <c r="AG520" s="118"/>
      <c r="AH520" s="118"/>
      <c r="AI520" s="118"/>
      <c r="AJ520" s="118"/>
      <c r="AL520" s="7"/>
    </row>
    <row r="521" spans="1:38" ht="12.75" customHeight="1">
      <c r="A521" s="71"/>
      <c r="Y521" s="118"/>
      <c r="Z521" s="118"/>
      <c r="AA521" s="118"/>
      <c r="AB521" s="118"/>
      <c r="AC521" s="118"/>
      <c r="AD521" s="118"/>
      <c r="AE521" s="118"/>
      <c r="AF521" s="118"/>
      <c r="AG521" s="118"/>
      <c r="AH521" s="118"/>
      <c r="AI521" s="118"/>
      <c r="AJ521" s="118"/>
      <c r="AL521" s="7"/>
    </row>
    <row r="522" spans="1:38" ht="12.75" customHeight="1">
      <c r="A522" s="71"/>
      <c r="Y522" s="118"/>
      <c r="Z522" s="118"/>
      <c r="AA522" s="118"/>
      <c r="AB522" s="118"/>
      <c r="AC522" s="118"/>
      <c r="AD522" s="118"/>
      <c r="AE522" s="118"/>
      <c r="AF522" s="118"/>
      <c r="AG522" s="118"/>
      <c r="AH522" s="118"/>
      <c r="AI522" s="118"/>
      <c r="AJ522" s="118"/>
      <c r="AL522" s="7"/>
    </row>
    <row r="523" spans="1:38" ht="12.75" customHeight="1">
      <c r="A523" s="71"/>
      <c r="Y523" s="118"/>
      <c r="Z523" s="118"/>
      <c r="AA523" s="118"/>
      <c r="AB523" s="118"/>
      <c r="AC523" s="118"/>
      <c r="AD523" s="118"/>
      <c r="AE523" s="118"/>
      <c r="AF523" s="118"/>
      <c r="AG523" s="118"/>
      <c r="AH523" s="118"/>
      <c r="AI523" s="118"/>
      <c r="AJ523" s="118"/>
      <c r="AL523" s="7"/>
    </row>
    <row r="524" spans="1:38" ht="12.75" customHeight="1">
      <c r="A524" s="71"/>
      <c r="Y524" s="118"/>
      <c r="Z524" s="118"/>
      <c r="AA524" s="118"/>
      <c r="AB524" s="118"/>
      <c r="AC524" s="118"/>
      <c r="AD524" s="118"/>
      <c r="AE524" s="118"/>
      <c r="AF524" s="118"/>
      <c r="AG524" s="118"/>
      <c r="AH524" s="118"/>
      <c r="AI524" s="118"/>
      <c r="AJ524" s="118"/>
      <c r="AL524" s="7"/>
    </row>
    <row r="525" spans="1:38" ht="12.75" customHeight="1">
      <c r="A525" s="71"/>
      <c r="Y525" s="118"/>
      <c r="Z525" s="118"/>
      <c r="AA525" s="118"/>
      <c r="AB525" s="118"/>
      <c r="AC525" s="118"/>
      <c r="AD525" s="118"/>
      <c r="AE525" s="118"/>
      <c r="AF525" s="118"/>
      <c r="AG525" s="118"/>
      <c r="AH525" s="118"/>
      <c r="AI525" s="118"/>
      <c r="AJ525" s="118"/>
      <c r="AL525" s="7"/>
    </row>
    <row r="526" spans="1:38" ht="12.75" customHeight="1">
      <c r="A526" s="71"/>
      <c r="Y526" s="118"/>
      <c r="Z526" s="118"/>
      <c r="AA526" s="118"/>
      <c r="AB526" s="118"/>
      <c r="AC526" s="118"/>
      <c r="AD526" s="118"/>
      <c r="AE526" s="118"/>
      <c r="AF526" s="118"/>
      <c r="AG526" s="118"/>
      <c r="AH526" s="118"/>
      <c r="AI526" s="118"/>
      <c r="AJ526" s="118"/>
      <c r="AL526" s="7"/>
    </row>
    <row r="527" spans="1:38" ht="12.75" customHeight="1">
      <c r="A527" s="71"/>
      <c r="Y527" s="118"/>
      <c r="Z527" s="118"/>
      <c r="AA527" s="118"/>
      <c r="AB527" s="118"/>
      <c r="AC527" s="118"/>
      <c r="AD527" s="118"/>
      <c r="AE527" s="118"/>
      <c r="AF527" s="118"/>
      <c r="AG527" s="118"/>
      <c r="AH527" s="118"/>
      <c r="AI527" s="118"/>
      <c r="AJ527" s="118"/>
      <c r="AL527" s="7"/>
    </row>
    <row r="528" spans="1:38" ht="12.75" customHeight="1">
      <c r="A528" s="71"/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  <c r="AI528" s="118"/>
      <c r="AJ528" s="118"/>
      <c r="AL528" s="7"/>
    </row>
    <row r="529" spans="1:38" ht="12.75" customHeight="1">
      <c r="A529" s="71"/>
      <c r="Y529" s="118"/>
      <c r="Z529" s="118"/>
      <c r="AA529" s="118"/>
      <c r="AB529" s="118"/>
      <c r="AC529" s="118"/>
      <c r="AD529" s="118"/>
      <c r="AE529" s="118"/>
      <c r="AF529" s="118"/>
      <c r="AG529" s="118"/>
      <c r="AH529" s="118"/>
      <c r="AI529" s="118"/>
      <c r="AJ529" s="118"/>
      <c r="AL529" s="7"/>
    </row>
    <row r="530" spans="1:38" ht="12.75" customHeight="1">
      <c r="A530" s="71"/>
      <c r="Y530" s="118"/>
      <c r="Z530" s="118"/>
      <c r="AA530" s="118"/>
      <c r="AB530" s="118"/>
      <c r="AC530" s="118"/>
      <c r="AD530" s="118"/>
      <c r="AE530" s="118"/>
      <c r="AF530" s="118"/>
      <c r="AG530" s="118"/>
      <c r="AH530" s="118"/>
      <c r="AI530" s="118"/>
      <c r="AJ530" s="118"/>
      <c r="AL530" s="7"/>
    </row>
    <row r="531" spans="1:38" ht="12.75" customHeight="1">
      <c r="A531" s="71"/>
      <c r="Y531" s="118"/>
      <c r="Z531" s="118"/>
      <c r="AA531" s="118"/>
      <c r="AB531" s="118"/>
      <c r="AC531" s="118"/>
      <c r="AD531" s="118"/>
      <c r="AE531" s="118"/>
      <c r="AF531" s="118"/>
      <c r="AG531" s="118"/>
      <c r="AH531" s="118"/>
      <c r="AI531" s="118"/>
      <c r="AJ531" s="118"/>
      <c r="AL531" s="7"/>
    </row>
    <row r="532" spans="1:38" ht="12.75" customHeight="1">
      <c r="A532" s="71"/>
      <c r="Y532" s="118"/>
      <c r="Z532" s="118"/>
      <c r="AA532" s="118"/>
      <c r="AB532" s="118"/>
      <c r="AC532" s="118"/>
      <c r="AD532" s="118"/>
      <c r="AE532" s="118"/>
      <c r="AF532" s="118"/>
      <c r="AG532" s="118"/>
      <c r="AH532" s="118"/>
      <c r="AI532" s="118"/>
      <c r="AJ532" s="118"/>
      <c r="AL532" s="7"/>
    </row>
    <row r="533" spans="1:38" ht="12.75" customHeight="1">
      <c r="A533" s="71"/>
      <c r="Y533" s="118"/>
      <c r="Z533" s="118"/>
      <c r="AA533" s="118"/>
      <c r="AB533" s="118"/>
      <c r="AC533" s="118"/>
      <c r="AD533" s="118"/>
      <c r="AE533" s="118"/>
      <c r="AF533" s="118"/>
      <c r="AG533" s="118"/>
      <c r="AH533" s="118"/>
      <c r="AI533" s="118"/>
      <c r="AJ533" s="118"/>
      <c r="AL533" s="7"/>
    </row>
    <row r="534" spans="1:38" ht="12.75" customHeight="1">
      <c r="A534" s="71"/>
      <c r="Y534" s="118"/>
      <c r="Z534" s="118"/>
      <c r="AA534" s="118"/>
      <c r="AB534" s="118"/>
      <c r="AC534" s="118"/>
      <c r="AD534" s="118"/>
      <c r="AE534" s="118"/>
      <c r="AF534" s="118"/>
      <c r="AG534" s="118"/>
      <c r="AH534" s="118"/>
      <c r="AI534" s="118"/>
      <c r="AJ534" s="118"/>
      <c r="AL534" s="7"/>
    </row>
    <row r="535" spans="1:38" ht="12.75" customHeight="1">
      <c r="A535" s="71"/>
      <c r="Y535" s="118"/>
      <c r="Z535" s="118"/>
      <c r="AA535" s="118"/>
      <c r="AB535" s="118"/>
      <c r="AC535" s="118"/>
      <c r="AD535" s="118"/>
      <c r="AE535" s="118"/>
      <c r="AF535" s="118"/>
      <c r="AG535" s="118"/>
      <c r="AH535" s="118"/>
      <c r="AI535" s="118"/>
      <c r="AJ535" s="118"/>
      <c r="AL535" s="7"/>
    </row>
    <row r="536" spans="1:38" ht="12.75" customHeight="1">
      <c r="A536" s="71"/>
      <c r="Y536" s="118"/>
      <c r="Z536" s="118"/>
      <c r="AA536" s="118"/>
      <c r="AB536" s="118"/>
      <c r="AC536" s="118"/>
      <c r="AD536" s="118"/>
      <c r="AE536" s="118"/>
      <c r="AF536" s="118"/>
      <c r="AG536" s="118"/>
      <c r="AH536" s="118"/>
      <c r="AI536" s="118"/>
      <c r="AJ536" s="118"/>
      <c r="AL536" s="7"/>
    </row>
    <row r="537" spans="1:38" ht="12.75" customHeight="1">
      <c r="A537" s="71"/>
      <c r="Y537" s="118"/>
      <c r="Z537" s="118"/>
      <c r="AA537" s="118"/>
      <c r="AB537" s="118"/>
      <c r="AC537" s="118"/>
      <c r="AD537" s="118"/>
      <c r="AE537" s="118"/>
      <c r="AF537" s="118"/>
      <c r="AG537" s="118"/>
      <c r="AH537" s="118"/>
      <c r="AI537" s="118"/>
      <c r="AJ537" s="118"/>
      <c r="AL537" s="7"/>
    </row>
    <row r="538" spans="1:38" ht="12.75" customHeight="1">
      <c r="A538" s="71"/>
      <c r="Y538" s="118"/>
      <c r="Z538" s="118"/>
      <c r="AA538" s="118"/>
      <c r="AB538" s="118"/>
      <c r="AC538" s="118"/>
      <c r="AD538" s="118"/>
      <c r="AE538" s="118"/>
      <c r="AF538" s="118"/>
      <c r="AG538" s="118"/>
      <c r="AH538" s="118"/>
      <c r="AI538" s="118"/>
      <c r="AJ538" s="118"/>
      <c r="AL538" s="7"/>
    </row>
    <row r="539" spans="1:38" ht="12.75" customHeight="1">
      <c r="A539" s="71"/>
      <c r="Y539" s="118"/>
      <c r="Z539" s="118"/>
      <c r="AA539" s="118"/>
      <c r="AB539" s="118"/>
      <c r="AC539" s="118"/>
      <c r="AD539" s="118"/>
      <c r="AE539" s="118"/>
      <c r="AF539" s="118"/>
      <c r="AG539" s="118"/>
      <c r="AH539" s="118"/>
      <c r="AI539" s="118"/>
      <c r="AJ539" s="118"/>
      <c r="AL539" s="7"/>
    </row>
    <row r="540" spans="1:38" ht="12.75" customHeight="1">
      <c r="A540" s="71"/>
      <c r="Y540" s="118"/>
      <c r="Z540" s="118"/>
      <c r="AA540" s="118"/>
      <c r="AB540" s="118"/>
      <c r="AC540" s="118"/>
      <c r="AD540" s="118"/>
      <c r="AE540" s="118"/>
      <c r="AF540" s="118"/>
      <c r="AG540" s="118"/>
      <c r="AH540" s="118"/>
      <c r="AI540" s="118"/>
      <c r="AJ540" s="118"/>
      <c r="AL540" s="7"/>
    </row>
    <row r="541" spans="1:38" ht="12.75" customHeight="1">
      <c r="A541" s="71"/>
      <c r="Y541" s="118"/>
      <c r="Z541" s="118"/>
      <c r="AA541" s="118"/>
      <c r="AB541" s="118"/>
      <c r="AC541" s="118"/>
      <c r="AD541" s="118"/>
      <c r="AE541" s="118"/>
      <c r="AF541" s="118"/>
      <c r="AG541" s="118"/>
      <c r="AH541" s="118"/>
      <c r="AI541" s="118"/>
      <c r="AJ541" s="118"/>
      <c r="AL541" s="7"/>
    </row>
    <row r="542" spans="1:38" ht="12.75" customHeight="1">
      <c r="A542" s="71"/>
      <c r="Y542" s="118"/>
      <c r="Z542" s="118"/>
      <c r="AA542" s="118"/>
      <c r="AB542" s="118"/>
      <c r="AC542" s="118"/>
      <c r="AD542" s="118"/>
      <c r="AE542" s="118"/>
      <c r="AF542" s="118"/>
      <c r="AG542" s="118"/>
      <c r="AH542" s="118"/>
      <c r="AI542" s="118"/>
      <c r="AJ542" s="118"/>
      <c r="AL542" s="7"/>
    </row>
    <row r="543" spans="1:38" ht="12.75" customHeight="1">
      <c r="A543" s="71"/>
      <c r="Y543" s="118"/>
      <c r="Z543" s="118"/>
      <c r="AA543" s="118"/>
      <c r="AB543" s="118"/>
      <c r="AC543" s="118"/>
      <c r="AD543" s="118"/>
      <c r="AE543" s="118"/>
      <c r="AF543" s="118"/>
      <c r="AG543" s="118"/>
      <c r="AH543" s="118"/>
      <c r="AI543" s="118"/>
      <c r="AJ543" s="118"/>
      <c r="AL543" s="7"/>
    </row>
    <row r="544" spans="1:38" ht="12.75" customHeight="1">
      <c r="A544" s="71"/>
      <c r="Y544" s="118"/>
      <c r="Z544" s="118"/>
      <c r="AA544" s="118"/>
      <c r="AB544" s="118"/>
      <c r="AC544" s="118"/>
      <c r="AD544" s="118"/>
      <c r="AE544" s="118"/>
      <c r="AF544" s="118"/>
      <c r="AG544" s="118"/>
      <c r="AH544" s="118"/>
      <c r="AI544" s="118"/>
      <c r="AJ544" s="118"/>
      <c r="AL544" s="7"/>
    </row>
    <row r="545" spans="1:38" ht="12.75" customHeight="1">
      <c r="A545" s="71"/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  <c r="AI545" s="118"/>
      <c r="AJ545" s="118"/>
      <c r="AL545" s="7"/>
    </row>
    <row r="546" spans="1:38" ht="12.75" customHeight="1">
      <c r="A546" s="71"/>
      <c r="Y546" s="118"/>
      <c r="Z546" s="118"/>
      <c r="AA546" s="118"/>
      <c r="AB546" s="118"/>
      <c r="AC546" s="118"/>
      <c r="AD546" s="118"/>
      <c r="AE546" s="118"/>
      <c r="AF546" s="118"/>
      <c r="AG546" s="118"/>
      <c r="AH546" s="118"/>
      <c r="AI546" s="118"/>
      <c r="AJ546" s="118"/>
      <c r="AL546" s="7"/>
    </row>
    <row r="547" spans="1:38" ht="12.75" customHeight="1">
      <c r="A547" s="71"/>
      <c r="Y547" s="118"/>
      <c r="Z547" s="118"/>
      <c r="AA547" s="118"/>
      <c r="AB547" s="118"/>
      <c r="AC547" s="118"/>
      <c r="AD547" s="118"/>
      <c r="AE547" s="118"/>
      <c r="AF547" s="118"/>
      <c r="AG547" s="118"/>
      <c r="AH547" s="118"/>
      <c r="AI547" s="118"/>
      <c r="AJ547" s="118"/>
      <c r="AL547" s="7"/>
    </row>
    <row r="548" spans="1:38" ht="12.75" customHeight="1">
      <c r="A548" s="71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L548" s="7"/>
    </row>
    <row r="549" spans="1:38" ht="12.75" customHeight="1">
      <c r="A549" s="71"/>
      <c r="Y549" s="118"/>
      <c r="Z549" s="118"/>
      <c r="AA549" s="118"/>
      <c r="AB549" s="118"/>
      <c r="AC549" s="118"/>
      <c r="AD549" s="118"/>
      <c r="AE549" s="118"/>
      <c r="AF549" s="118"/>
      <c r="AG549" s="118"/>
      <c r="AH549" s="118"/>
      <c r="AI549" s="118"/>
      <c r="AJ549" s="118"/>
      <c r="AL549" s="7"/>
    </row>
    <row r="550" spans="1:38" ht="12.75" customHeight="1">
      <c r="A550" s="71"/>
      <c r="Y550" s="118"/>
      <c r="Z550" s="118"/>
      <c r="AA550" s="118"/>
      <c r="AB550" s="118"/>
      <c r="AC550" s="118"/>
      <c r="AD550" s="118"/>
      <c r="AE550" s="118"/>
      <c r="AF550" s="118"/>
      <c r="AG550" s="118"/>
      <c r="AH550" s="118"/>
      <c r="AI550" s="118"/>
      <c r="AJ550" s="118"/>
      <c r="AL550" s="7"/>
    </row>
    <row r="551" spans="1:38" ht="12.75" customHeight="1">
      <c r="A551" s="71"/>
      <c r="Y551" s="118"/>
      <c r="Z551" s="118"/>
      <c r="AA551" s="118"/>
      <c r="AB551" s="118"/>
      <c r="AC551" s="118"/>
      <c r="AD551" s="118"/>
      <c r="AE551" s="118"/>
      <c r="AF551" s="118"/>
      <c r="AG551" s="118"/>
      <c r="AH551" s="118"/>
      <c r="AI551" s="118"/>
      <c r="AJ551" s="118"/>
      <c r="AL551" s="7"/>
    </row>
    <row r="552" spans="1:38" ht="12.75" customHeight="1">
      <c r="A552" s="71"/>
      <c r="Y552" s="118"/>
      <c r="Z552" s="118"/>
      <c r="AA552" s="118"/>
      <c r="AB552" s="118"/>
      <c r="AC552" s="118"/>
      <c r="AD552" s="118"/>
      <c r="AE552" s="118"/>
      <c r="AF552" s="118"/>
      <c r="AG552" s="118"/>
      <c r="AH552" s="118"/>
      <c r="AI552" s="118"/>
      <c r="AJ552" s="118"/>
      <c r="AL552" s="7"/>
    </row>
    <row r="553" spans="1:38" ht="12.75" customHeight="1">
      <c r="A553" s="71"/>
      <c r="Y553" s="118"/>
      <c r="Z553" s="118"/>
      <c r="AA553" s="118"/>
      <c r="AB553" s="118"/>
      <c r="AC553" s="118"/>
      <c r="AD553" s="118"/>
      <c r="AE553" s="118"/>
      <c r="AF553" s="118"/>
      <c r="AG553" s="118"/>
      <c r="AH553" s="118"/>
      <c r="AI553" s="118"/>
      <c r="AJ553" s="118"/>
      <c r="AL553" s="7"/>
    </row>
    <row r="554" spans="1:38" ht="12.75" customHeight="1">
      <c r="A554" s="71"/>
      <c r="Y554" s="118"/>
      <c r="Z554" s="118"/>
      <c r="AA554" s="118"/>
      <c r="AB554" s="118"/>
      <c r="AC554" s="118"/>
      <c r="AD554" s="118"/>
      <c r="AE554" s="118"/>
      <c r="AF554" s="118"/>
      <c r="AG554" s="118"/>
      <c r="AH554" s="118"/>
      <c r="AI554" s="118"/>
      <c r="AJ554" s="118"/>
      <c r="AL554" s="7"/>
    </row>
    <row r="555" spans="1:38" ht="12.75" customHeight="1">
      <c r="A555" s="71"/>
      <c r="Y555" s="118"/>
      <c r="Z555" s="118"/>
      <c r="AA555" s="118"/>
      <c r="AB555" s="118"/>
      <c r="AC555" s="118"/>
      <c r="AD555" s="118"/>
      <c r="AE555" s="118"/>
      <c r="AF555" s="118"/>
      <c r="AG555" s="118"/>
      <c r="AH555" s="118"/>
      <c r="AI555" s="118"/>
      <c r="AJ555" s="118"/>
      <c r="AL555" s="7"/>
    </row>
    <row r="556" spans="1:38" ht="12.75" customHeight="1">
      <c r="A556" s="71"/>
      <c r="Y556" s="118"/>
      <c r="Z556" s="118"/>
      <c r="AA556" s="118"/>
      <c r="AB556" s="118"/>
      <c r="AC556" s="118"/>
      <c r="AD556" s="118"/>
      <c r="AE556" s="118"/>
      <c r="AF556" s="118"/>
      <c r="AG556" s="118"/>
      <c r="AH556" s="118"/>
      <c r="AI556" s="118"/>
      <c r="AJ556" s="118"/>
      <c r="AL556" s="7"/>
    </row>
    <row r="557" spans="1:38" ht="12.75" customHeight="1">
      <c r="A557" s="71"/>
      <c r="Y557" s="118"/>
      <c r="Z557" s="118"/>
      <c r="AA557" s="118"/>
      <c r="AB557" s="118"/>
      <c r="AC557" s="118"/>
      <c r="AD557" s="118"/>
      <c r="AE557" s="118"/>
      <c r="AF557" s="118"/>
      <c r="AG557" s="118"/>
      <c r="AH557" s="118"/>
      <c r="AI557" s="118"/>
      <c r="AJ557" s="118"/>
      <c r="AL557" s="7"/>
    </row>
    <row r="558" spans="1:38" ht="12.75" customHeight="1">
      <c r="A558" s="71"/>
      <c r="Y558" s="118"/>
      <c r="Z558" s="118"/>
      <c r="AA558" s="118"/>
      <c r="AB558" s="118"/>
      <c r="AC558" s="118"/>
      <c r="AD558" s="118"/>
      <c r="AE558" s="118"/>
      <c r="AF558" s="118"/>
      <c r="AG558" s="118"/>
      <c r="AH558" s="118"/>
      <c r="AI558" s="118"/>
      <c r="AJ558" s="118"/>
      <c r="AL558" s="7"/>
    </row>
    <row r="559" spans="1:38" ht="12.75" customHeight="1">
      <c r="A559" s="71"/>
      <c r="Y559" s="118"/>
      <c r="Z559" s="118"/>
      <c r="AA559" s="118"/>
      <c r="AB559" s="118"/>
      <c r="AC559" s="118"/>
      <c r="AD559" s="118"/>
      <c r="AE559" s="118"/>
      <c r="AF559" s="118"/>
      <c r="AG559" s="118"/>
      <c r="AH559" s="118"/>
      <c r="AI559" s="118"/>
      <c r="AJ559" s="118"/>
      <c r="AL559" s="7"/>
    </row>
    <row r="560" spans="1:38" ht="12.75" customHeight="1">
      <c r="A560" s="71"/>
      <c r="Y560" s="118"/>
      <c r="Z560" s="118"/>
      <c r="AA560" s="118"/>
      <c r="AB560" s="118"/>
      <c r="AC560" s="118"/>
      <c r="AD560" s="118"/>
      <c r="AE560" s="118"/>
      <c r="AF560" s="118"/>
      <c r="AG560" s="118"/>
      <c r="AH560" s="118"/>
      <c r="AI560" s="118"/>
      <c r="AJ560" s="118"/>
      <c r="AL560" s="7"/>
    </row>
    <row r="561" spans="1:38" ht="12.75" customHeight="1">
      <c r="A561" s="71"/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  <c r="AI561" s="118"/>
      <c r="AJ561" s="118"/>
      <c r="AL561" s="7"/>
    </row>
    <row r="562" spans="1:38" ht="12.75" customHeight="1">
      <c r="A562" s="71"/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  <c r="AI562" s="118"/>
      <c r="AJ562" s="118"/>
      <c r="AL562" s="7"/>
    </row>
    <row r="563" spans="1:38" ht="12.75" customHeight="1">
      <c r="A563" s="71"/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  <c r="AI563" s="118"/>
      <c r="AJ563" s="118"/>
      <c r="AL563" s="7"/>
    </row>
    <row r="564" spans="1:38" ht="12.75" customHeight="1">
      <c r="A564" s="71"/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  <c r="AI564" s="118"/>
      <c r="AJ564" s="118"/>
      <c r="AL564" s="7"/>
    </row>
    <row r="565" spans="1:38" ht="12.75" customHeight="1">
      <c r="A565" s="71"/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  <c r="AI565" s="118"/>
      <c r="AJ565" s="118"/>
      <c r="AL565" s="7"/>
    </row>
    <row r="566" spans="1:38" ht="12.75" customHeight="1">
      <c r="A566" s="71"/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  <c r="AI566" s="118"/>
      <c r="AJ566" s="118"/>
      <c r="AL566" s="7"/>
    </row>
    <row r="567" spans="1:38" ht="12.75" customHeight="1">
      <c r="A567" s="71"/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  <c r="AI567" s="118"/>
      <c r="AJ567" s="118"/>
      <c r="AL567" s="7"/>
    </row>
    <row r="568" spans="1:38" ht="12.75" customHeight="1">
      <c r="A568" s="71"/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  <c r="AI568" s="118"/>
      <c r="AJ568" s="118"/>
      <c r="AL568" s="7"/>
    </row>
    <row r="569" spans="1:38" ht="12.75" customHeight="1">
      <c r="A569" s="71"/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  <c r="AI569" s="118"/>
      <c r="AJ569" s="118"/>
      <c r="AL569" s="7"/>
    </row>
    <row r="570" spans="1:38" ht="12.75" customHeight="1">
      <c r="A570" s="71"/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  <c r="AI570" s="118"/>
      <c r="AJ570" s="118"/>
      <c r="AL570" s="7"/>
    </row>
    <row r="571" spans="1:38" ht="12.75" customHeight="1">
      <c r="A571" s="71"/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  <c r="AI571" s="118"/>
      <c r="AJ571" s="118"/>
      <c r="AL571" s="7"/>
    </row>
    <row r="572" spans="1:38" ht="12.75" customHeight="1">
      <c r="A572" s="71"/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  <c r="AI572" s="118"/>
      <c r="AJ572" s="118"/>
      <c r="AL572" s="7"/>
    </row>
    <row r="573" spans="1:38" ht="12.75" customHeight="1">
      <c r="A573" s="71"/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  <c r="AI573" s="118"/>
      <c r="AJ573" s="118"/>
      <c r="AL573" s="7"/>
    </row>
    <row r="574" spans="1:38" ht="12.75" customHeight="1">
      <c r="A574" s="71"/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  <c r="AI574" s="118"/>
      <c r="AJ574" s="118"/>
      <c r="AL574" s="7"/>
    </row>
    <row r="575" spans="1:38" ht="12.75" customHeight="1">
      <c r="A575" s="71"/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  <c r="AI575" s="118"/>
      <c r="AJ575" s="118"/>
      <c r="AL575" s="7"/>
    </row>
    <row r="576" spans="1:38" ht="12.75" customHeight="1">
      <c r="A576" s="71"/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  <c r="AI576" s="118"/>
      <c r="AJ576" s="118"/>
      <c r="AL576" s="7"/>
    </row>
    <row r="577" spans="1:38" ht="12.75" customHeight="1">
      <c r="A577" s="71"/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  <c r="AI577" s="118"/>
      <c r="AJ577" s="118"/>
      <c r="AL577" s="7"/>
    </row>
    <row r="578" spans="1:38" ht="12.75" customHeight="1">
      <c r="A578" s="71"/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  <c r="AI578" s="118"/>
      <c r="AJ578" s="118"/>
      <c r="AL578" s="7"/>
    </row>
    <row r="579" spans="1:38" ht="12.75" customHeight="1">
      <c r="A579" s="71"/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  <c r="AI579" s="118"/>
      <c r="AJ579" s="118"/>
      <c r="AL579" s="7"/>
    </row>
    <row r="580" spans="1:38" ht="12.75" customHeight="1">
      <c r="A580" s="71"/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  <c r="AI580" s="118"/>
      <c r="AJ580" s="118"/>
      <c r="AL580" s="7"/>
    </row>
    <row r="581" spans="1:38" ht="12.75" customHeight="1">
      <c r="A581" s="71"/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  <c r="AI581" s="118"/>
      <c r="AJ581" s="118"/>
      <c r="AL581" s="7"/>
    </row>
    <row r="582" spans="1:38" ht="12.75" customHeight="1">
      <c r="A582" s="71"/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  <c r="AI582" s="118"/>
      <c r="AJ582" s="118"/>
      <c r="AL582" s="7"/>
    </row>
    <row r="583" spans="1:38" ht="12.75" customHeight="1">
      <c r="A583" s="71"/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  <c r="AI583" s="118"/>
      <c r="AJ583" s="118"/>
      <c r="AL583" s="7"/>
    </row>
    <row r="584" spans="1:38" ht="12.75" customHeight="1">
      <c r="A584" s="71"/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  <c r="AI584" s="118"/>
      <c r="AJ584" s="118"/>
      <c r="AL584" s="7"/>
    </row>
    <row r="585" spans="1:38" ht="12.75" customHeight="1">
      <c r="A585" s="71"/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  <c r="AI585" s="118"/>
      <c r="AJ585" s="118"/>
      <c r="AL585" s="7"/>
    </row>
    <row r="586" spans="1:38" ht="12.75" customHeight="1">
      <c r="A586" s="71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L586" s="7"/>
    </row>
    <row r="587" spans="1:38" ht="12.75" customHeight="1">
      <c r="A587" s="71"/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  <c r="AI587" s="118"/>
      <c r="AJ587" s="118"/>
      <c r="AL587" s="7"/>
    </row>
    <row r="588" spans="1:38" ht="12.75" customHeight="1">
      <c r="A588" s="71"/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  <c r="AI588" s="118"/>
      <c r="AJ588" s="118"/>
      <c r="AL588" s="7"/>
    </row>
    <row r="589" spans="1:38" ht="12.75" customHeight="1">
      <c r="A589" s="71"/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  <c r="AI589" s="118"/>
      <c r="AJ589" s="118"/>
      <c r="AL589" s="7"/>
    </row>
    <row r="590" spans="1:38" ht="12.75" customHeight="1">
      <c r="A590" s="71"/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  <c r="AI590" s="118"/>
      <c r="AJ590" s="118"/>
      <c r="AL590" s="7"/>
    </row>
    <row r="591" spans="1:38" ht="12.75" customHeight="1">
      <c r="A591" s="71"/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  <c r="AI591" s="118"/>
      <c r="AJ591" s="118"/>
      <c r="AL591" s="7"/>
    </row>
    <row r="592" spans="1:38" ht="12.75" customHeight="1">
      <c r="A592" s="71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  <c r="AI592" s="118"/>
      <c r="AJ592" s="118"/>
      <c r="AL592" s="7"/>
    </row>
    <row r="593" spans="1:38" ht="12.75" customHeight="1">
      <c r="A593" s="71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  <c r="AI593" s="118"/>
      <c r="AJ593" s="118"/>
      <c r="AL593" s="7"/>
    </row>
    <row r="594" spans="1:38" ht="12.75" customHeight="1">
      <c r="A594" s="71"/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  <c r="AI594" s="118"/>
      <c r="AJ594" s="118"/>
      <c r="AL594" s="7"/>
    </row>
    <row r="595" spans="1:38" ht="12.75" customHeight="1">
      <c r="A595" s="71"/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  <c r="AI595" s="118"/>
      <c r="AJ595" s="118"/>
      <c r="AL595" s="7"/>
    </row>
    <row r="596" spans="1:38" ht="12.75" customHeight="1">
      <c r="A596" s="71"/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  <c r="AI596" s="118"/>
      <c r="AJ596" s="118"/>
      <c r="AL596" s="7"/>
    </row>
    <row r="597" spans="1:38" ht="12.75" customHeight="1">
      <c r="A597" s="71"/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  <c r="AI597" s="118"/>
      <c r="AJ597" s="118"/>
      <c r="AL597" s="7"/>
    </row>
    <row r="598" spans="1:38" ht="12.75" customHeight="1">
      <c r="A598" s="71"/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  <c r="AI598" s="118"/>
      <c r="AJ598" s="118"/>
      <c r="AL598" s="7"/>
    </row>
    <row r="599" spans="1:38" ht="12.75" customHeight="1">
      <c r="A599" s="71"/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  <c r="AI599" s="118"/>
      <c r="AJ599" s="118"/>
      <c r="AL599" s="7"/>
    </row>
    <row r="600" spans="1:38" ht="12.75" customHeight="1">
      <c r="A600" s="71"/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  <c r="AI600" s="118"/>
      <c r="AJ600" s="118"/>
      <c r="AL600" s="7"/>
    </row>
    <row r="601" spans="1:38" ht="12.75" customHeight="1">
      <c r="A601" s="71"/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  <c r="AI601" s="118"/>
      <c r="AJ601" s="118"/>
      <c r="AL601" s="7"/>
    </row>
    <row r="602" spans="1:38" ht="12.75" customHeight="1">
      <c r="A602" s="71"/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  <c r="AI602" s="118"/>
      <c r="AJ602" s="118"/>
      <c r="AL602" s="7"/>
    </row>
    <row r="603" spans="1:38" ht="12.75" customHeight="1">
      <c r="A603" s="71"/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  <c r="AI603" s="118"/>
      <c r="AJ603" s="118"/>
      <c r="AL603" s="7"/>
    </row>
    <row r="604" spans="1:38" ht="12.75" customHeight="1">
      <c r="A604" s="71"/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  <c r="AI604" s="118"/>
      <c r="AJ604" s="118"/>
      <c r="AL604" s="7"/>
    </row>
    <row r="605" spans="1:38" ht="12.75" customHeight="1">
      <c r="A605" s="71"/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  <c r="AI605" s="118"/>
      <c r="AJ605" s="118"/>
      <c r="AL605" s="7"/>
    </row>
    <row r="606" spans="1:38" ht="12.75" customHeight="1">
      <c r="A606" s="71"/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  <c r="AI606" s="118"/>
      <c r="AJ606" s="118"/>
      <c r="AL606" s="7"/>
    </row>
    <row r="607" spans="1:38" ht="12.75" customHeight="1">
      <c r="A607" s="71"/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  <c r="AI607" s="118"/>
      <c r="AJ607" s="118"/>
      <c r="AL607" s="7"/>
    </row>
    <row r="608" spans="1:38" ht="12.75" customHeight="1">
      <c r="A608" s="71"/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  <c r="AI608" s="118"/>
      <c r="AJ608" s="118"/>
      <c r="AL608" s="7"/>
    </row>
    <row r="609" spans="1:38" ht="12.75" customHeight="1">
      <c r="A609" s="71"/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  <c r="AI609" s="118"/>
      <c r="AJ609" s="118"/>
      <c r="AL609" s="7"/>
    </row>
    <row r="610" spans="1:38" ht="12.75" customHeight="1">
      <c r="A610" s="71"/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  <c r="AI610" s="118"/>
      <c r="AJ610" s="118"/>
      <c r="AL610" s="7"/>
    </row>
    <row r="611" spans="1:38" ht="12.75" customHeight="1">
      <c r="A611" s="71"/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  <c r="AI611" s="118"/>
      <c r="AJ611" s="118"/>
      <c r="AL611" s="7"/>
    </row>
    <row r="612" spans="1:38" ht="12.75" customHeight="1">
      <c r="A612" s="71"/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  <c r="AI612" s="118"/>
      <c r="AJ612" s="118"/>
      <c r="AL612" s="7"/>
    </row>
    <row r="613" spans="1:38" ht="12.75" customHeight="1">
      <c r="A613" s="71"/>
      <c r="Y613" s="118"/>
      <c r="Z613" s="118"/>
      <c r="AA613" s="118"/>
      <c r="AB613" s="118"/>
      <c r="AC613" s="118"/>
      <c r="AD613" s="118"/>
      <c r="AE613" s="118"/>
      <c r="AF613" s="118"/>
      <c r="AG613" s="118"/>
      <c r="AH613" s="118"/>
      <c r="AI613" s="118"/>
      <c r="AJ613" s="118"/>
      <c r="AL613" s="7"/>
    </row>
    <row r="614" spans="1:38" ht="12.75" customHeight="1">
      <c r="A614" s="71"/>
      <c r="Y614" s="118"/>
      <c r="Z614" s="118"/>
      <c r="AA614" s="118"/>
      <c r="AB614" s="118"/>
      <c r="AC614" s="118"/>
      <c r="AD614" s="118"/>
      <c r="AE614" s="118"/>
      <c r="AF614" s="118"/>
      <c r="AG614" s="118"/>
      <c r="AH614" s="118"/>
      <c r="AI614" s="118"/>
      <c r="AJ614" s="118"/>
      <c r="AL614" s="7"/>
    </row>
    <row r="615" spans="1:38" ht="12.75" customHeight="1">
      <c r="A615" s="71"/>
      <c r="Y615" s="118"/>
      <c r="Z615" s="118"/>
      <c r="AA615" s="118"/>
      <c r="AB615" s="118"/>
      <c r="AC615" s="118"/>
      <c r="AD615" s="118"/>
      <c r="AE615" s="118"/>
      <c r="AF615" s="118"/>
      <c r="AG615" s="118"/>
      <c r="AH615" s="118"/>
      <c r="AI615" s="118"/>
      <c r="AJ615" s="118"/>
      <c r="AL615" s="7"/>
    </row>
    <row r="616" spans="1:38" ht="12.75" customHeight="1">
      <c r="A616" s="71"/>
      <c r="Y616" s="118"/>
      <c r="Z616" s="118"/>
      <c r="AA616" s="118"/>
      <c r="AB616" s="118"/>
      <c r="AC616" s="118"/>
      <c r="AD616" s="118"/>
      <c r="AE616" s="118"/>
      <c r="AF616" s="118"/>
      <c r="AG616" s="118"/>
      <c r="AH616" s="118"/>
      <c r="AI616" s="118"/>
      <c r="AJ616" s="118"/>
      <c r="AL616" s="7"/>
    </row>
    <row r="617" spans="1:38" ht="12.75" customHeight="1">
      <c r="A617" s="71"/>
      <c r="Y617" s="118"/>
      <c r="Z617" s="118"/>
      <c r="AA617" s="118"/>
      <c r="AB617" s="118"/>
      <c r="AC617" s="118"/>
      <c r="AD617" s="118"/>
      <c r="AE617" s="118"/>
      <c r="AF617" s="118"/>
      <c r="AG617" s="118"/>
      <c r="AH617" s="118"/>
      <c r="AI617" s="118"/>
      <c r="AJ617" s="118"/>
      <c r="AL617" s="7"/>
    </row>
    <row r="618" spans="1:38" ht="12.75" customHeight="1">
      <c r="A618" s="71"/>
      <c r="Y618" s="118"/>
      <c r="Z618" s="118"/>
      <c r="AA618" s="118"/>
      <c r="AB618" s="118"/>
      <c r="AC618" s="118"/>
      <c r="AD618" s="118"/>
      <c r="AE618" s="118"/>
      <c r="AF618" s="118"/>
      <c r="AG618" s="118"/>
      <c r="AH618" s="118"/>
      <c r="AI618" s="118"/>
      <c r="AJ618" s="118"/>
      <c r="AL618" s="7"/>
    </row>
    <row r="619" spans="1:38" ht="12.75" customHeight="1">
      <c r="A619" s="71"/>
      <c r="Y619" s="118"/>
      <c r="Z619" s="118"/>
      <c r="AA619" s="118"/>
      <c r="AB619" s="118"/>
      <c r="AC619" s="118"/>
      <c r="AD619" s="118"/>
      <c r="AE619" s="118"/>
      <c r="AF619" s="118"/>
      <c r="AG619" s="118"/>
      <c r="AH619" s="118"/>
      <c r="AI619" s="118"/>
      <c r="AJ619" s="118"/>
      <c r="AL619" s="7"/>
    </row>
    <row r="620" spans="1:38" ht="12.75" customHeight="1">
      <c r="A620" s="71"/>
      <c r="Y620" s="118"/>
      <c r="Z620" s="118"/>
      <c r="AA620" s="118"/>
      <c r="AB620" s="118"/>
      <c r="AC620" s="118"/>
      <c r="AD620" s="118"/>
      <c r="AE620" s="118"/>
      <c r="AF620" s="118"/>
      <c r="AG620" s="118"/>
      <c r="AH620" s="118"/>
      <c r="AI620" s="118"/>
      <c r="AJ620" s="118"/>
      <c r="AL620" s="7"/>
    </row>
    <row r="621" spans="1:38" ht="12.75" customHeight="1">
      <c r="A621" s="71"/>
      <c r="Y621" s="118"/>
      <c r="Z621" s="118"/>
      <c r="AA621" s="118"/>
      <c r="AB621" s="118"/>
      <c r="AC621" s="118"/>
      <c r="AD621" s="118"/>
      <c r="AE621" s="118"/>
      <c r="AF621" s="118"/>
      <c r="AG621" s="118"/>
      <c r="AH621" s="118"/>
      <c r="AI621" s="118"/>
      <c r="AJ621" s="118"/>
      <c r="AL621" s="7"/>
    </row>
    <row r="622" spans="1:38" ht="12.75" customHeight="1">
      <c r="A622" s="71"/>
      <c r="Y622" s="118"/>
      <c r="Z622" s="118"/>
      <c r="AA622" s="118"/>
      <c r="AB622" s="118"/>
      <c r="AC622" s="118"/>
      <c r="AD622" s="118"/>
      <c r="AE622" s="118"/>
      <c r="AF622" s="118"/>
      <c r="AG622" s="118"/>
      <c r="AH622" s="118"/>
      <c r="AI622" s="118"/>
      <c r="AJ622" s="118"/>
      <c r="AL622" s="7"/>
    </row>
    <row r="623" spans="1:38" ht="12.75" customHeight="1">
      <c r="A623" s="71"/>
      <c r="Y623" s="118"/>
      <c r="Z623" s="118"/>
      <c r="AA623" s="118"/>
      <c r="AB623" s="118"/>
      <c r="AC623" s="118"/>
      <c r="AD623" s="118"/>
      <c r="AE623" s="118"/>
      <c r="AF623" s="118"/>
      <c r="AG623" s="118"/>
      <c r="AH623" s="118"/>
      <c r="AI623" s="118"/>
      <c r="AJ623" s="118"/>
      <c r="AL623" s="7"/>
    </row>
    <row r="624" spans="1:38" ht="12.75" customHeight="1">
      <c r="A624" s="71"/>
      <c r="Y624" s="118"/>
      <c r="Z624" s="118"/>
      <c r="AA624" s="118"/>
      <c r="AB624" s="118"/>
      <c r="AC624" s="118"/>
      <c r="AD624" s="118"/>
      <c r="AE624" s="118"/>
      <c r="AF624" s="118"/>
      <c r="AG624" s="118"/>
      <c r="AH624" s="118"/>
      <c r="AI624" s="118"/>
      <c r="AJ624" s="118"/>
      <c r="AL624" s="7"/>
    </row>
    <row r="625" spans="1:38" ht="12.75" customHeight="1">
      <c r="A625" s="71"/>
      <c r="Y625" s="118"/>
      <c r="Z625" s="118"/>
      <c r="AA625" s="118"/>
      <c r="AB625" s="118"/>
      <c r="AC625" s="118"/>
      <c r="AD625" s="118"/>
      <c r="AE625" s="118"/>
      <c r="AF625" s="118"/>
      <c r="AG625" s="118"/>
      <c r="AH625" s="118"/>
      <c r="AI625" s="118"/>
      <c r="AJ625" s="118"/>
      <c r="AL625" s="7"/>
    </row>
    <row r="626" spans="1:38" ht="12.75" customHeight="1">
      <c r="A626" s="71"/>
      <c r="Y626" s="118"/>
      <c r="Z626" s="118"/>
      <c r="AA626" s="118"/>
      <c r="AB626" s="118"/>
      <c r="AC626" s="118"/>
      <c r="AD626" s="118"/>
      <c r="AE626" s="118"/>
      <c r="AF626" s="118"/>
      <c r="AG626" s="118"/>
      <c r="AH626" s="118"/>
      <c r="AI626" s="118"/>
      <c r="AJ626" s="118"/>
      <c r="AL626" s="7"/>
    </row>
    <row r="627" spans="1:38" ht="12.75" customHeight="1">
      <c r="A627" s="71"/>
      <c r="Y627" s="118"/>
      <c r="Z627" s="118"/>
      <c r="AA627" s="118"/>
      <c r="AB627" s="118"/>
      <c r="AC627" s="118"/>
      <c r="AD627" s="118"/>
      <c r="AE627" s="118"/>
      <c r="AF627" s="118"/>
      <c r="AG627" s="118"/>
      <c r="AH627" s="118"/>
      <c r="AI627" s="118"/>
      <c r="AJ627" s="118"/>
      <c r="AL627" s="7"/>
    </row>
    <row r="628" spans="1:38" ht="12.75" customHeight="1">
      <c r="A628" s="71"/>
      <c r="Y628" s="118"/>
      <c r="Z628" s="118"/>
      <c r="AA628" s="118"/>
      <c r="AB628" s="118"/>
      <c r="AC628" s="118"/>
      <c r="AD628" s="118"/>
      <c r="AE628" s="118"/>
      <c r="AF628" s="118"/>
      <c r="AG628" s="118"/>
      <c r="AH628" s="118"/>
      <c r="AI628" s="118"/>
      <c r="AJ628" s="118"/>
      <c r="AL628" s="7"/>
    </row>
    <row r="629" spans="1:38" ht="12.75" customHeight="1">
      <c r="A629" s="71"/>
      <c r="Y629" s="118"/>
      <c r="Z629" s="118"/>
      <c r="AA629" s="118"/>
      <c r="AB629" s="118"/>
      <c r="AC629" s="118"/>
      <c r="AD629" s="118"/>
      <c r="AE629" s="118"/>
      <c r="AF629" s="118"/>
      <c r="AG629" s="118"/>
      <c r="AH629" s="118"/>
      <c r="AI629" s="118"/>
      <c r="AJ629" s="118"/>
      <c r="AL629" s="7"/>
    </row>
    <row r="630" spans="1:38" ht="12.75" customHeight="1">
      <c r="A630" s="71"/>
      <c r="Y630" s="118"/>
      <c r="Z630" s="118"/>
      <c r="AA630" s="118"/>
      <c r="AB630" s="118"/>
      <c r="AC630" s="118"/>
      <c r="AD630" s="118"/>
      <c r="AE630" s="118"/>
      <c r="AF630" s="118"/>
      <c r="AG630" s="118"/>
      <c r="AH630" s="118"/>
      <c r="AI630" s="118"/>
      <c r="AJ630" s="118"/>
      <c r="AL630" s="7"/>
    </row>
    <row r="631" spans="1:38" ht="12.75" customHeight="1">
      <c r="A631" s="71"/>
      <c r="Y631" s="118"/>
      <c r="Z631" s="118"/>
      <c r="AA631" s="118"/>
      <c r="AB631" s="118"/>
      <c r="AC631" s="118"/>
      <c r="AD631" s="118"/>
      <c r="AE631" s="118"/>
      <c r="AF631" s="118"/>
      <c r="AG631" s="118"/>
      <c r="AH631" s="118"/>
      <c r="AI631" s="118"/>
      <c r="AJ631" s="118"/>
      <c r="AL631" s="7"/>
    </row>
    <row r="632" spans="1:38" ht="12.75" customHeight="1">
      <c r="A632" s="71"/>
      <c r="Y632" s="118"/>
      <c r="Z632" s="118"/>
      <c r="AA632" s="118"/>
      <c r="AB632" s="118"/>
      <c r="AC632" s="118"/>
      <c r="AD632" s="118"/>
      <c r="AE632" s="118"/>
      <c r="AF632" s="118"/>
      <c r="AG632" s="118"/>
      <c r="AH632" s="118"/>
      <c r="AI632" s="118"/>
      <c r="AJ632" s="118"/>
      <c r="AL632" s="7"/>
    </row>
    <row r="633" spans="1:38" ht="12.75" customHeight="1">
      <c r="A633" s="71"/>
      <c r="Y633" s="118"/>
      <c r="Z633" s="118"/>
      <c r="AA633" s="118"/>
      <c r="AB633" s="118"/>
      <c r="AC633" s="118"/>
      <c r="AD633" s="118"/>
      <c r="AE633" s="118"/>
      <c r="AF633" s="118"/>
      <c r="AG633" s="118"/>
      <c r="AH633" s="118"/>
      <c r="AI633" s="118"/>
      <c r="AJ633" s="118"/>
      <c r="AL633" s="7"/>
    </row>
    <row r="634" spans="1:38" ht="12.75" customHeight="1">
      <c r="A634" s="71"/>
      <c r="Y634" s="118"/>
      <c r="Z634" s="118"/>
      <c r="AA634" s="118"/>
      <c r="AB634" s="118"/>
      <c r="AC634" s="118"/>
      <c r="AD634" s="118"/>
      <c r="AE634" s="118"/>
      <c r="AF634" s="118"/>
      <c r="AG634" s="118"/>
      <c r="AH634" s="118"/>
      <c r="AI634" s="118"/>
      <c r="AJ634" s="118"/>
      <c r="AL634" s="7"/>
    </row>
    <row r="635" spans="1:38" ht="12.75" customHeight="1">
      <c r="A635" s="71"/>
      <c r="Y635" s="118"/>
      <c r="Z635" s="118"/>
      <c r="AA635" s="118"/>
      <c r="AB635" s="118"/>
      <c r="AC635" s="118"/>
      <c r="AD635" s="118"/>
      <c r="AE635" s="118"/>
      <c r="AF635" s="118"/>
      <c r="AG635" s="118"/>
      <c r="AH635" s="118"/>
      <c r="AI635" s="118"/>
      <c r="AJ635" s="118"/>
      <c r="AL635" s="7"/>
    </row>
    <row r="636" spans="1:38" ht="12.75" customHeight="1">
      <c r="A636" s="71"/>
      <c r="Y636" s="118"/>
      <c r="Z636" s="118"/>
      <c r="AA636" s="118"/>
      <c r="AB636" s="118"/>
      <c r="AC636" s="118"/>
      <c r="AD636" s="118"/>
      <c r="AE636" s="118"/>
      <c r="AF636" s="118"/>
      <c r="AG636" s="118"/>
      <c r="AH636" s="118"/>
      <c r="AI636" s="118"/>
      <c r="AJ636" s="118"/>
      <c r="AL636" s="7"/>
    </row>
    <row r="637" spans="1:38" ht="12.75" customHeight="1">
      <c r="A637" s="71"/>
      <c r="Y637" s="118"/>
      <c r="Z637" s="118"/>
      <c r="AA637" s="118"/>
      <c r="AB637" s="118"/>
      <c r="AC637" s="118"/>
      <c r="AD637" s="118"/>
      <c r="AE637" s="118"/>
      <c r="AF637" s="118"/>
      <c r="AG637" s="118"/>
      <c r="AH637" s="118"/>
      <c r="AI637" s="118"/>
      <c r="AJ637" s="118"/>
      <c r="AL637" s="7"/>
    </row>
    <row r="638" spans="1:38" ht="12.75" customHeight="1">
      <c r="A638" s="71"/>
      <c r="Y638" s="118"/>
      <c r="Z638" s="118"/>
      <c r="AA638" s="118"/>
      <c r="AB638" s="118"/>
      <c r="AC638" s="118"/>
      <c r="AD638" s="118"/>
      <c r="AE638" s="118"/>
      <c r="AF638" s="118"/>
      <c r="AG638" s="118"/>
      <c r="AH638" s="118"/>
      <c r="AI638" s="118"/>
      <c r="AJ638" s="118"/>
      <c r="AL638" s="7"/>
    </row>
    <row r="639" spans="1:38" ht="12.75" customHeight="1">
      <c r="A639" s="71"/>
      <c r="Y639" s="118"/>
      <c r="Z639" s="118"/>
      <c r="AA639" s="118"/>
      <c r="AB639" s="118"/>
      <c r="AC639" s="118"/>
      <c r="AD639" s="118"/>
      <c r="AE639" s="118"/>
      <c r="AF639" s="118"/>
      <c r="AG639" s="118"/>
      <c r="AH639" s="118"/>
      <c r="AI639" s="118"/>
      <c r="AJ639" s="118"/>
      <c r="AL639" s="7"/>
    </row>
    <row r="640" spans="1:38" ht="12.75" customHeight="1">
      <c r="A640" s="71"/>
      <c r="Y640" s="118"/>
      <c r="Z640" s="118"/>
      <c r="AA640" s="118"/>
      <c r="AB640" s="118"/>
      <c r="AC640" s="118"/>
      <c r="AD640" s="118"/>
      <c r="AE640" s="118"/>
      <c r="AF640" s="118"/>
      <c r="AG640" s="118"/>
      <c r="AH640" s="118"/>
      <c r="AI640" s="118"/>
      <c r="AJ640" s="118"/>
      <c r="AL640" s="7"/>
    </row>
    <row r="641" spans="1:38" ht="12.75" customHeight="1">
      <c r="A641" s="71"/>
      <c r="Y641" s="118"/>
      <c r="Z641" s="118"/>
      <c r="AA641" s="118"/>
      <c r="AB641" s="118"/>
      <c r="AC641" s="118"/>
      <c r="AD641" s="118"/>
      <c r="AE641" s="118"/>
      <c r="AF641" s="118"/>
      <c r="AG641" s="118"/>
      <c r="AH641" s="118"/>
      <c r="AI641" s="118"/>
      <c r="AJ641" s="118"/>
      <c r="AL641" s="7"/>
    </row>
    <row r="642" spans="1:38" ht="12.75" customHeight="1">
      <c r="A642" s="71"/>
      <c r="Y642" s="118"/>
      <c r="Z642" s="118"/>
      <c r="AA642" s="118"/>
      <c r="AB642" s="118"/>
      <c r="AC642" s="118"/>
      <c r="AD642" s="118"/>
      <c r="AE642" s="118"/>
      <c r="AF642" s="118"/>
      <c r="AG642" s="118"/>
      <c r="AH642" s="118"/>
      <c r="AI642" s="118"/>
      <c r="AJ642" s="118"/>
      <c r="AL642" s="7"/>
    </row>
    <row r="643" spans="1:38" ht="12.75" customHeight="1">
      <c r="A643" s="71"/>
      <c r="Y643" s="118"/>
      <c r="Z643" s="118"/>
      <c r="AA643" s="118"/>
      <c r="AB643" s="118"/>
      <c r="AC643" s="118"/>
      <c r="AD643" s="118"/>
      <c r="AE643" s="118"/>
      <c r="AF643" s="118"/>
      <c r="AG643" s="118"/>
      <c r="AH643" s="118"/>
      <c r="AI643" s="118"/>
      <c r="AJ643" s="118"/>
      <c r="AL643" s="7"/>
    </row>
    <row r="644" spans="1:38" ht="12.75" customHeight="1">
      <c r="A644" s="71"/>
      <c r="Y644" s="118"/>
      <c r="Z644" s="118"/>
      <c r="AA644" s="118"/>
      <c r="AB644" s="118"/>
      <c r="AC644" s="118"/>
      <c r="AD644" s="118"/>
      <c r="AE644" s="118"/>
      <c r="AF644" s="118"/>
      <c r="AG644" s="118"/>
      <c r="AH644" s="118"/>
      <c r="AI644" s="118"/>
      <c r="AJ644" s="118"/>
      <c r="AL644" s="7"/>
    </row>
    <row r="645" spans="1:38" ht="12.75" customHeight="1">
      <c r="A645" s="71"/>
      <c r="Y645" s="118"/>
      <c r="Z645" s="118"/>
      <c r="AA645" s="118"/>
      <c r="AB645" s="118"/>
      <c r="AC645" s="118"/>
      <c r="AD645" s="118"/>
      <c r="AE645" s="118"/>
      <c r="AF645" s="118"/>
      <c r="AG645" s="118"/>
      <c r="AH645" s="118"/>
      <c r="AI645" s="118"/>
      <c r="AJ645" s="118"/>
      <c r="AL645" s="7"/>
    </row>
    <row r="646" spans="1:38" ht="12.75" customHeight="1">
      <c r="A646" s="71"/>
      <c r="Y646" s="118"/>
      <c r="Z646" s="118"/>
      <c r="AA646" s="118"/>
      <c r="AB646" s="118"/>
      <c r="AC646" s="118"/>
      <c r="AD646" s="118"/>
      <c r="AE646" s="118"/>
      <c r="AF646" s="118"/>
      <c r="AG646" s="118"/>
      <c r="AH646" s="118"/>
      <c r="AI646" s="118"/>
      <c r="AJ646" s="118"/>
      <c r="AL646" s="7"/>
    </row>
    <row r="647" spans="1:38" ht="12.75" customHeight="1">
      <c r="A647" s="71"/>
      <c r="Y647" s="118"/>
      <c r="Z647" s="118"/>
      <c r="AA647" s="118"/>
      <c r="AB647" s="118"/>
      <c r="AC647" s="118"/>
      <c r="AD647" s="118"/>
      <c r="AE647" s="118"/>
      <c r="AF647" s="118"/>
      <c r="AG647" s="118"/>
      <c r="AH647" s="118"/>
      <c r="AI647" s="118"/>
      <c r="AJ647" s="118"/>
      <c r="AL647" s="7"/>
    </row>
    <row r="648" spans="1:38" ht="12.75" customHeight="1">
      <c r="A648" s="71"/>
      <c r="Y648" s="118"/>
      <c r="Z648" s="118"/>
      <c r="AA648" s="118"/>
      <c r="AB648" s="118"/>
      <c r="AC648" s="118"/>
      <c r="AD648" s="118"/>
      <c r="AE648" s="118"/>
      <c r="AF648" s="118"/>
      <c r="AG648" s="118"/>
      <c r="AH648" s="118"/>
      <c r="AI648" s="118"/>
      <c r="AJ648" s="118"/>
      <c r="AL648" s="7"/>
    </row>
    <row r="649" spans="1:38" ht="12.75" customHeight="1">
      <c r="A649" s="71"/>
      <c r="Y649" s="118"/>
      <c r="Z649" s="118"/>
      <c r="AA649" s="118"/>
      <c r="AB649" s="118"/>
      <c r="AC649" s="118"/>
      <c r="AD649" s="118"/>
      <c r="AE649" s="118"/>
      <c r="AF649" s="118"/>
      <c r="AG649" s="118"/>
      <c r="AH649" s="118"/>
      <c r="AI649" s="118"/>
      <c r="AJ649" s="118"/>
      <c r="AL649" s="7"/>
    </row>
    <row r="650" spans="1:38" ht="12.75" customHeight="1">
      <c r="A650" s="71"/>
      <c r="Y650" s="118"/>
      <c r="Z650" s="118"/>
      <c r="AA650" s="118"/>
      <c r="AB650" s="118"/>
      <c r="AC650" s="118"/>
      <c r="AD650" s="118"/>
      <c r="AE650" s="118"/>
      <c r="AF650" s="118"/>
      <c r="AG650" s="118"/>
      <c r="AH650" s="118"/>
      <c r="AI650" s="118"/>
      <c r="AJ650" s="118"/>
      <c r="AL650" s="7"/>
    </row>
    <row r="651" spans="1:38" ht="12.75" customHeight="1">
      <c r="A651" s="71"/>
      <c r="Y651" s="118"/>
      <c r="Z651" s="118"/>
      <c r="AA651" s="118"/>
      <c r="AB651" s="118"/>
      <c r="AC651" s="118"/>
      <c r="AD651" s="118"/>
      <c r="AE651" s="118"/>
      <c r="AF651" s="118"/>
      <c r="AG651" s="118"/>
      <c r="AH651" s="118"/>
      <c r="AI651" s="118"/>
      <c r="AJ651" s="118"/>
      <c r="AL651" s="7"/>
    </row>
    <row r="652" spans="1:38" ht="12.75" customHeight="1">
      <c r="A652" s="71"/>
      <c r="Y652" s="118"/>
      <c r="Z652" s="118"/>
      <c r="AA652" s="118"/>
      <c r="AB652" s="118"/>
      <c r="AC652" s="118"/>
      <c r="AD652" s="118"/>
      <c r="AE652" s="118"/>
      <c r="AF652" s="118"/>
      <c r="AG652" s="118"/>
      <c r="AH652" s="118"/>
      <c r="AI652" s="118"/>
      <c r="AJ652" s="118"/>
      <c r="AL652" s="7"/>
    </row>
    <row r="653" spans="1:38" ht="12.75" customHeight="1">
      <c r="A653" s="71"/>
      <c r="Y653" s="118"/>
      <c r="Z653" s="118"/>
      <c r="AA653" s="118"/>
      <c r="AB653" s="118"/>
      <c r="AC653" s="118"/>
      <c r="AD653" s="118"/>
      <c r="AE653" s="118"/>
      <c r="AF653" s="118"/>
      <c r="AG653" s="118"/>
      <c r="AH653" s="118"/>
      <c r="AI653" s="118"/>
      <c r="AJ653" s="118"/>
      <c r="AL653" s="7"/>
    </row>
    <row r="654" spans="1:38" ht="12.75" customHeight="1">
      <c r="A654" s="71"/>
      <c r="Y654" s="118"/>
      <c r="Z654" s="118"/>
      <c r="AA654" s="118"/>
      <c r="AB654" s="118"/>
      <c r="AC654" s="118"/>
      <c r="AD654" s="118"/>
      <c r="AE654" s="118"/>
      <c r="AF654" s="118"/>
      <c r="AG654" s="118"/>
      <c r="AH654" s="118"/>
      <c r="AI654" s="118"/>
      <c r="AJ654" s="118"/>
      <c r="AL654" s="7"/>
    </row>
    <row r="655" spans="1:38" ht="12.75" customHeight="1">
      <c r="A655" s="71"/>
      <c r="Y655" s="118"/>
      <c r="Z655" s="118"/>
      <c r="AA655" s="118"/>
      <c r="AB655" s="118"/>
      <c r="AC655" s="118"/>
      <c r="AD655" s="118"/>
      <c r="AE655" s="118"/>
      <c r="AF655" s="118"/>
      <c r="AG655" s="118"/>
      <c r="AH655" s="118"/>
      <c r="AI655" s="118"/>
      <c r="AJ655" s="118"/>
      <c r="AL655" s="7"/>
    </row>
    <row r="656" spans="1:38" ht="12.75" customHeight="1">
      <c r="A656" s="71"/>
      <c r="Y656" s="118"/>
      <c r="Z656" s="118"/>
      <c r="AA656" s="118"/>
      <c r="AB656" s="118"/>
      <c r="AC656" s="118"/>
      <c r="AD656" s="118"/>
      <c r="AE656" s="118"/>
      <c r="AF656" s="118"/>
      <c r="AG656" s="118"/>
      <c r="AH656" s="118"/>
      <c r="AI656" s="118"/>
      <c r="AJ656" s="118"/>
      <c r="AL656" s="7"/>
    </row>
    <row r="657" spans="1:38" ht="12.75" customHeight="1">
      <c r="A657" s="71"/>
      <c r="Y657" s="118"/>
      <c r="Z657" s="118"/>
      <c r="AA657" s="118"/>
      <c r="AB657" s="118"/>
      <c r="AC657" s="118"/>
      <c r="AD657" s="118"/>
      <c r="AE657" s="118"/>
      <c r="AF657" s="118"/>
      <c r="AG657" s="118"/>
      <c r="AH657" s="118"/>
      <c r="AI657" s="118"/>
      <c r="AJ657" s="118"/>
      <c r="AL657" s="7"/>
    </row>
    <row r="658" spans="1:38" ht="12.75" customHeight="1">
      <c r="A658" s="71"/>
      <c r="Y658" s="118"/>
      <c r="Z658" s="118"/>
      <c r="AA658" s="118"/>
      <c r="AB658" s="118"/>
      <c r="AC658" s="118"/>
      <c r="AD658" s="118"/>
      <c r="AE658" s="118"/>
      <c r="AF658" s="118"/>
      <c r="AG658" s="118"/>
      <c r="AH658" s="118"/>
      <c r="AI658" s="118"/>
      <c r="AJ658" s="118"/>
      <c r="AL658" s="7"/>
    </row>
    <row r="659" spans="1:38" ht="12.75" customHeight="1">
      <c r="A659" s="71"/>
      <c r="Y659" s="118"/>
      <c r="Z659" s="118"/>
      <c r="AA659" s="118"/>
      <c r="AB659" s="118"/>
      <c r="AC659" s="118"/>
      <c r="AD659" s="118"/>
      <c r="AE659" s="118"/>
      <c r="AF659" s="118"/>
      <c r="AG659" s="118"/>
      <c r="AH659" s="118"/>
      <c r="AI659" s="118"/>
      <c r="AJ659" s="118"/>
      <c r="AL659" s="7"/>
    </row>
    <row r="660" spans="1:38" ht="12.75" customHeight="1">
      <c r="A660" s="71"/>
      <c r="Y660" s="118"/>
      <c r="Z660" s="118"/>
      <c r="AA660" s="118"/>
      <c r="AB660" s="118"/>
      <c r="AC660" s="118"/>
      <c r="AD660" s="118"/>
      <c r="AE660" s="118"/>
      <c r="AF660" s="118"/>
      <c r="AG660" s="118"/>
      <c r="AH660" s="118"/>
      <c r="AI660" s="118"/>
      <c r="AJ660" s="118"/>
      <c r="AL660" s="7"/>
    </row>
    <row r="661" spans="1:38" ht="12.75" customHeight="1">
      <c r="A661" s="71"/>
      <c r="Y661" s="118"/>
      <c r="Z661" s="118"/>
      <c r="AA661" s="118"/>
      <c r="AB661" s="118"/>
      <c r="AC661" s="118"/>
      <c r="AD661" s="118"/>
      <c r="AE661" s="118"/>
      <c r="AF661" s="118"/>
      <c r="AG661" s="118"/>
      <c r="AH661" s="118"/>
      <c r="AI661" s="118"/>
      <c r="AJ661" s="118"/>
      <c r="AL661" s="7"/>
    </row>
    <row r="662" spans="1:38" ht="12.75" customHeight="1">
      <c r="A662" s="71"/>
      <c r="Y662" s="118"/>
      <c r="Z662" s="118"/>
      <c r="AA662" s="118"/>
      <c r="AB662" s="118"/>
      <c r="AC662" s="118"/>
      <c r="AD662" s="118"/>
      <c r="AE662" s="118"/>
      <c r="AF662" s="118"/>
      <c r="AG662" s="118"/>
      <c r="AH662" s="118"/>
      <c r="AI662" s="118"/>
      <c r="AJ662" s="118"/>
      <c r="AL662" s="7"/>
    </row>
    <row r="663" spans="1:38" ht="12.75" customHeight="1">
      <c r="A663" s="71"/>
      <c r="Y663" s="118"/>
      <c r="Z663" s="118"/>
      <c r="AA663" s="118"/>
      <c r="AB663" s="118"/>
      <c r="AC663" s="118"/>
      <c r="AD663" s="118"/>
      <c r="AE663" s="118"/>
      <c r="AF663" s="118"/>
      <c r="AG663" s="118"/>
      <c r="AH663" s="118"/>
      <c r="AI663" s="118"/>
      <c r="AJ663" s="118"/>
      <c r="AL663" s="7"/>
    </row>
    <row r="664" spans="1:38" ht="12.75" customHeight="1">
      <c r="A664" s="71"/>
      <c r="Y664" s="118"/>
      <c r="Z664" s="118"/>
      <c r="AA664" s="118"/>
      <c r="AB664" s="118"/>
      <c r="AC664" s="118"/>
      <c r="AD664" s="118"/>
      <c r="AE664" s="118"/>
      <c r="AF664" s="118"/>
      <c r="AG664" s="118"/>
      <c r="AH664" s="118"/>
      <c r="AI664" s="118"/>
      <c r="AJ664" s="118"/>
      <c r="AL664" s="7"/>
    </row>
    <row r="665" spans="1:38" ht="12.75" customHeight="1">
      <c r="A665" s="71"/>
      <c r="Y665" s="118"/>
      <c r="Z665" s="118"/>
      <c r="AA665" s="118"/>
      <c r="AB665" s="118"/>
      <c r="AC665" s="118"/>
      <c r="AD665" s="118"/>
      <c r="AE665" s="118"/>
      <c r="AF665" s="118"/>
      <c r="AG665" s="118"/>
      <c r="AH665" s="118"/>
      <c r="AI665" s="118"/>
      <c r="AJ665" s="118"/>
      <c r="AL665" s="7"/>
    </row>
    <row r="666" spans="1:38" ht="12.75" customHeight="1">
      <c r="A666" s="71"/>
      <c r="Y666" s="118"/>
      <c r="Z666" s="118"/>
      <c r="AA666" s="118"/>
      <c r="AB666" s="118"/>
      <c r="AC666" s="118"/>
      <c r="AD666" s="118"/>
      <c r="AE666" s="118"/>
      <c r="AF666" s="118"/>
      <c r="AG666" s="118"/>
      <c r="AH666" s="118"/>
      <c r="AI666" s="118"/>
      <c r="AJ666" s="118"/>
      <c r="AL666" s="7"/>
    </row>
    <row r="667" spans="1:38" ht="12.75" customHeight="1">
      <c r="A667" s="71"/>
      <c r="Y667" s="118"/>
      <c r="Z667" s="118"/>
      <c r="AA667" s="118"/>
      <c r="AB667" s="118"/>
      <c r="AC667" s="118"/>
      <c r="AD667" s="118"/>
      <c r="AE667" s="118"/>
      <c r="AF667" s="118"/>
      <c r="AG667" s="118"/>
      <c r="AH667" s="118"/>
      <c r="AI667" s="118"/>
      <c r="AJ667" s="118"/>
      <c r="AL667" s="7"/>
    </row>
    <row r="668" spans="1:38" ht="12.75" customHeight="1">
      <c r="A668" s="71"/>
      <c r="Y668" s="118"/>
      <c r="Z668" s="118"/>
      <c r="AA668" s="118"/>
      <c r="AB668" s="118"/>
      <c r="AC668" s="118"/>
      <c r="AD668" s="118"/>
      <c r="AE668" s="118"/>
      <c r="AF668" s="118"/>
      <c r="AG668" s="118"/>
      <c r="AH668" s="118"/>
      <c r="AI668" s="118"/>
      <c r="AJ668" s="118"/>
      <c r="AL668" s="7"/>
    </row>
    <row r="669" spans="1:38" ht="12.75" customHeight="1">
      <c r="A669" s="71"/>
      <c r="Y669" s="118"/>
      <c r="Z669" s="118"/>
      <c r="AA669" s="118"/>
      <c r="AB669" s="118"/>
      <c r="AC669" s="118"/>
      <c r="AD669" s="118"/>
      <c r="AE669" s="118"/>
      <c r="AF669" s="118"/>
      <c r="AG669" s="118"/>
      <c r="AH669" s="118"/>
      <c r="AI669" s="118"/>
      <c r="AJ669" s="118"/>
      <c r="AL669" s="7"/>
    </row>
    <row r="670" spans="1:38" ht="12.75" customHeight="1">
      <c r="A670" s="71"/>
      <c r="Y670" s="118"/>
      <c r="Z670" s="118"/>
      <c r="AA670" s="118"/>
      <c r="AB670" s="118"/>
      <c r="AC670" s="118"/>
      <c r="AD670" s="118"/>
      <c r="AE670" s="118"/>
      <c r="AF670" s="118"/>
      <c r="AG670" s="118"/>
      <c r="AH670" s="118"/>
      <c r="AI670" s="118"/>
      <c r="AJ670" s="118"/>
      <c r="AL670" s="7"/>
    </row>
    <row r="671" spans="1:38" ht="12.75" customHeight="1">
      <c r="A671" s="71"/>
      <c r="Y671" s="118"/>
      <c r="Z671" s="118"/>
      <c r="AA671" s="118"/>
      <c r="AB671" s="118"/>
      <c r="AC671" s="118"/>
      <c r="AD671" s="118"/>
      <c r="AE671" s="118"/>
      <c r="AF671" s="118"/>
      <c r="AG671" s="118"/>
      <c r="AH671" s="118"/>
      <c r="AI671" s="118"/>
      <c r="AJ671" s="118"/>
      <c r="AL671" s="7"/>
    </row>
    <row r="672" spans="1:38" ht="12.75" customHeight="1">
      <c r="A672" s="71"/>
      <c r="Y672" s="118"/>
      <c r="Z672" s="118"/>
      <c r="AA672" s="118"/>
      <c r="AB672" s="118"/>
      <c r="AC672" s="118"/>
      <c r="AD672" s="118"/>
      <c r="AE672" s="118"/>
      <c r="AF672" s="118"/>
      <c r="AG672" s="118"/>
      <c r="AH672" s="118"/>
      <c r="AI672" s="118"/>
      <c r="AJ672" s="118"/>
      <c r="AL672" s="7"/>
    </row>
    <row r="673" spans="1:38" ht="12.75" customHeight="1">
      <c r="A673" s="71"/>
      <c r="Y673" s="118"/>
      <c r="Z673" s="118"/>
      <c r="AA673" s="118"/>
      <c r="AB673" s="118"/>
      <c r="AC673" s="118"/>
      <c r="AD673" s="118"/>
      <c r="AE673" s="118"/>
      <c r="AF673" s="118"/>
      <c r="AG673" s="118"/>
      <c r="AH673" s="118"/>
      <c r="AI673" s="118"/>
      <c r="AJ673" s="118"/>
      <c r="AL673" s="7"/>
    </row>
    <row r="674" spans="1:38" ht="12.75" customHeight="1">
      <c r="A674" s="71"/>
      <c r="Y674" s="118"/>
      <c r="Z674" s="118"/>
      <c r="AA674" s="118"/>
      <c r="AB674" s="118"/>
      <c r="AC674" s="118"/>
      <c r="AD674" s="118"/>
      <c r="AE674" s="118"/>
      <c r="AF674" s="118"/>
      <c r="AG674" s="118"/>
      <c r="AH674" s="118"/>
      <c r="AI674" s="118"/>
      <c r="AJ674" s="118"/>
      <c r="AL674" s="7"/>
    </row>
    <row r="675" spans="1:38" ht="12.75" customHeight="1">
      <c r="A675" s="71"/>
      <c r="Y675" s="118"/>
      <c r="Z675" s="118"/>
      <c r="AA675" s="118"/>
      <c r="AB675" s="118"/>
      <c r="AC675" s="118"/>
      <c r="AD675" s="118"/>
      <c r="AE675" s="118"/>
      <c r="AF675" s="118"/>
      <c r="AG675" s="118"/>
      <c r="AH675" s="118"/>
      <c r="AI675" s="118"/>
      <c r="AJ675" s="118"/>
      <c r="AL675" s="7"/>
    </row>
    <row r="676" spans="1:38" ht="12.75" customHeight="1">
      <c r="A676" s="71"/>
      <c r="Y676" s="118"/>
      <c r="Z676" s="118"/>
      <c r="AA676" s="118"/>
      <c r="AB676" s="118"/>
      <c r="AC676" s="118"/>
      <c r="AD676" s="118"/>
      <c r="AE676" s="118"/>
      <c r="AF676" s="118"/>
      <c r="AG676" s="118"/>
      <c r="AH676" s="118"/>
      <c r="AI676" s="118"/>
      <c r="AJ676" s="118"/>
      <c r="AL676" s="7"/>
    </row>
    <row r="677" spans="1:38" ht="12.75" customHeight="1">
      <c r="A677" s="71"/>
      <c r="Y677" s="118"/>
      <c r="Z677" s="118"/>
      <c r="AA677" s="118"/>
      <c r="AB677" s="118"/>
      <c r="AC677" s="118"/>
      <c r="AD677" s="118"/>
      <c r="AE677" s="118"/>
      <c r="AF677" s="118"/>
      <c r="AG677" s="118"/>
      <c r="AH677" s="118"/>
      <c r="AI677" s="118"/>
      <c r="AJ677" s="118"/>
      <c r="AL677" s="7"/>
    </row>
    <row r="678" spans="1:38" ht="12.75" customHeight="1">
      <c r="A678" s="71"/>
      <c r="Y678" s="118"/>
      <c r="Z678" s="118"/>
      <c r="AA678" s="118"/>
      <c r="AB678" s="118"/>
      <c r="AC678" s="118"/>
      <c r="AD678" s="118"/>
      <c r="AE678" s="118"/>
      <c r="AF678" s="118"/>
      <c r="AG678" s="118"/>
      <c r="AH678" s="118"/>
      <c r="AI678" s="118"/>
      <c r="AJ678" s="118"/>
      <c r="AL678" s="7"/>
    </row>
    <row r="679" spans="1:38" ht="12.75" customHeight="1">
      <c r="A679" s="71"/>
      <c r="Y679" s="118"/>
      <c r="Z679" s="118"/>
      <c r="AA679" s="118"/>
      <c r="AB679" s="118"/>
      <c r="AC679" s="118"/>
      <c r="AD679" s="118"/>
      <c r="AE679" s="118"/>
      <c r="AF679" s="118"/>
      <c r="AG679" s="118"/>
      <c r="AH679" s="118"/>
      <c r="AI679" s="118"/>
      <c r="AJ679" s="118"/>
      <c r="AL679" s="7"/>
    </row>
    <row r="680" spans="1:38" ht="12.75" customHeight="1">
      <c r="A680" s="71"/>
      <c r="Y680" s="118"/>
      <c r="Z680" s="118"/>
      <c r="AA680" s="118"/>
      <c r="AB680" s="118"/>
      <c r="AC680" s="118"/>
      <c r="AD680" s="118"/>
      <c r="AE680" s="118"/>
      <c r="AF680" s="118"/>
      <c r="AG680" s="118"/>
      <c r="AH680" s="118"/>
      <c r="AI680" s="118"/>
      <c r="AJ680" s="118"/>
      <c r="AL680" s="7"/>
    </row>
    <row r="681" spans="1:38" ht="12.75" customHeight="1">
      <c r="A681" s="71"/>
      <c r="Y681" s="118"/>
      <c r="Z681" s="118"/>
      <c r="AA681" s="118"/>
      <c r="AB681" s="118"/>
      <c r="AC681" s="118"/>
      <c r="AD681" s="118"/>
      <c r="AE681" s="118"/>
      <c r="AF681" s="118"/>
      <c r="AG681" s="118"/>
      <c r="AH681" s="118"/>
      <c r="AI681" s="118"/>
      <c r="AJ681" s="118"/>
      <c r="AL681" s="7"/>
    </row>
    <row r="682" spans="1:38" ht="12.75" customHeight="1">
      <c r="A682" s="71"/>
      <c r="Y682" s="118"/>
      <c r="Z682" s="118"/>
      <c r="AA682" s="118"/>
      <c r="AB682" s="118"/>
      <c r="AC682" s="118"/>
      <c r="AD682" s="118"/>
      <c r="AE682" s="118"/>
      <c r="AF682" s="118"/>
      <c r="AG682" s="118"/>
      <c r="AH682" s="118"/>
      <c r="AI682" s="118"/>
      <c r="AJ682" s="118"/>
      <c r="AL682" s="7"/>
    </row>
    <row r="683" spans="1:38" ht="12.75" customHeight="1">
      <c r="A683" s="71"/>
      <c r="Y683" s="118"/>
      <c r="Z683" s="118"/>
      <c r="AA683" s="118"/>
      <c r="AB683" s="118"/>
      <c r="AC683" s="118"/>
      <c r="AD683" s="118"/>
      <c r="AE683" s="118"/>
      <c r="AF683" s="118"/>
      <c r="AG683" s="118"/>
      <c r="AH683" s="118"/>
      <c r="AI683" s="118"/>
      <c r="AJ683" s="118"/>
      <c r="AL683" s="7"/>
    </row>
    <row r="684" spans="1:38" ht="12.75" customHeight="1">
      <c r="A684" s="71"/>
      <c r="Y684" s="118"/>
      <c r="Z684" s="118"/>
      <c r="AA684" s="118"/>
      <c r="AB684" s="118"/>
      <c r="AC684" s="118"/>
      <c r="AD684" s="118"/>
      <c r="AE684" s="118"/>
      <c r="AF684" s="118"/>
      <c r="AG684" s="118"/>
      <c r="AH684" s="118"/>
      <c r="AI684" s="118"/>
      <c r="AJ684" s="118"/>
      <c r="AL684" s="7"/>
    </row>
    <row r="685" spans="1:38" ht="12.75" customHeight="1">
      <c r="A685" s="71"/>
      <c r="Y685" s="118"/>
      <c r="Z685" s="118"/>
      <c r="AA685" s="118"/>
      <c r="AB685" s="118"/>
      <c r="AC685" s="118"/>
      <c r="AD685" s="118"/>
      <c r="AE685" s="118"/>
      <c r="AF685" s="118"/>
      <c r="AG685" s="118"/>
      <c r="AH685" s="118"/>
      <c r="AI685" s="118"/>
      <c r="AJ685" s="118"/>
      <c r="AL685" s="7"/>
    </row>
    <row r="686" spans="1:38" ht="12.75" customHeight="1">
      <c r="A686" s="71"/>
      <c r="Y686" s="118"/>
      <c r="Z686" s="118"/>
      <c r="AA686" s="118"/>
      <c r="AB686" s="118"/>
      <c r="AC686" s="118"/>
      <c r="AD686" s="118"/>
      <c r="AE686" s="118"/>
      <c r="AF686" s="118"/>
      <c r="AG686" s="118"/>
      <c r="AH686" s="118"/>
      <c r="AI686" s="118"/>
      <c r="AJ686" s="118"/>
      <c r="AL686" s="7"/>
    </row>
    <row r="687" spans="1:38" ht="12.75" customHeight="1">
      <c r="A687" s="71"/>
      <c r="Y687" s="118"/>
      <c r="Z687" s="118"/>
      <c r="AA687" s="118"/>
      <c r="AB687" s="118"/>
      <c r="AC687" s="118"/>
      <c r="AD687" s="118"/>
      <c r="AE687" s="118"/>
      <c r="AF687" s="118"/>
      <c r="AG687" s="118"/>
      <c r="AH687" s="118"/>
      <c r="AI687" s="118"/>
      <c r="AJ687" s="118"/>
      <c r="AL687" s="7"/>
    </row>
    <row r="688" spans="1:38" ht="12.75" customHeight="1">
      <c r="A688" s="71"/>
      <c r="Y688" s="118"/>
      <c r="Z688" s="118"/>
      <c r="AA688" s="118"/>
      <c r="AB688" s="118"/>
      <c r="AC688" s="118"/>
      <c r="AD688" s="118"/>
      <c r="AE688" s="118"/>
      <c r="AF688" s="118"/>
      <c r="AG688" s="118"/>
      <c r="AH688" s="118"/>
      <c r="AI688" s="118"/>
      <c r="AJ688" s="118"/>
      <c r="AL688" s="7"/>
    </row>
    <row r="689" spans="1:38" ht="12.75" customHeight="1">
      <c r="A689" s="71"/>
      <c r="Y689" s="118"/>
      <c r="Z689" s="118"/>
      <c r="AA689" s="118"/>
      <c r="AB689" s="118"/>
      <c r="AC689" s="118"/>
      <c r="AD689" s="118"/>
      <c r="AE689" s="118"/>
      <c r="AF689" s="118"/>
      <c r="AG689" s="118"/>
      <c r="AH689" s="118"/>
      <c r="AI689" s="118"/>
      <c r="AJ689" s="118"/>
      <c r="AL689" s="7"/>
    </row>
    <row r="690" spans="1:38" ht="12.75" customHeight="1">
      <c r="A690" s="71"/>
      <c r="Y690" s="118"/>
      <c r="Z690" s="118"/>
      <c r="AA690" s="118"/>
      <c r="AB690" s="118"/>
      <c r="AC690" s="118"/>
      <c r="AD690" s="118"/>
      <c r="AE690" s="118"/>
      <c r="AF690" s="118"/>
      <c r="AG690" s="118"/>
      <c r="AH690" s="118"/>
      <c r="AI690" s="118"/>
      <c r="AJ690" s="118"/>
      <c r="AL690" s="7"/>
    </row>
    <row r="691" spans="1:38" ht="12.75" customHeight="1">
      <c r="A691" s="71"/>
      <c r="Y691" s="118"/>
      <c r="Z691" s="118"/>
      <c r="AA691" s="118"/>
      <c r="AB691" s="118"/>
      <c r="AC691" s="118"/>
      <c r="AD691" s="118"/>
      <c r="AE691" s="118"/>
      <c r="AF691" s="118"/>
      <c r="AG691" s="118"/>
      <c r="AH691" s="118"/>
      <c r="AI691" s="118"/>
      <c r="AJ691" s="118"/>
      <c r="AL691" s="7"/>
    </row>
    <row r="692" spans="1:38" ht="12.75" customHeight="1">
      <c r="A692" s="71"/>
      <c r="Y692" s="118"/>
      <c r="Z692" s="118"/>
      <c r="AA692" s="118"/>
      <c r="AB692" s="118"/>
      <c r="AC692" s="118"/>
      <c r="AD692" s="118"/>
      <c r="AE692" s="118"/>
      <c r="AF692" s="118"/>
      <c r="AG692" s="118"/>
      <c r="AH692" s="118"/>
      <c r="AI692" s="118"/>
      <c r="AJ692" s="118"/>
      <c r="AL692" s="7"/>
    </row>
    <row r="693" spans="1:38" ht="12.75" customHeight="1">
      <c r="A693" s="71"/>
      <c r="Y693" s="118"/>
      <c r="Z693" s="118"/>
      <c r="AA693" s="118"/>
      <c r="AB693" s="118"/>
      <c r="AC693" s="118"/>
      <c r="AD693" s="118"/>
      <c r="AE693" s="118"/>
      <c r="AF693" s="118"/>
      <c r="AG693" s="118"/>
      <c r="AH693" s="118"/>
      <c r="AI693" s="118"/>
      <c r="AJ693" s="118"/>
      <c r="AL693" s="7"/>
    </row>
    <row r="694" spans="1:38" ht="12.75" customHeight="1">
      <c r="A694" s="71"/>
      <c r="Y694" s="118"/>
      <c r="Z694" s="118"/>
      <c r="AA694" s="118"/>
      <c r="AB694" s="118"/>
      <c r="AC694" s="118"/>
      <c r="AD694" s="118"/>
      <c r="AE694" s="118"/>
      <c r="AF694" s="118"/>
      <c r="AG694" s="118"/>
      <c r="AH694" s="118"/>
      <c r="AI694" s="118"/>
      <c r="AJ694" s="118"/>
      <c r="AL694" s="7"/>
    </row>
    <row r="695" spans="1:38" ht="12.75" customHeight="1">
      <c r="A695" s="71"/>
      <c r="Y695" s="118"/>
      <c r="Z695" s="118"/>
      <c r="AA695" s="118"/>
      <c r="AB695" s="118"/>
      <c r="AC695" s="118"/>
      <c r="AD695" s="118"/>
      <c r="AE695" s="118"/>
      <c r="AF695" s="118"/>
      <c r="AG695" s="118"/>
      <c r="AH695" s="118"/>
      <c r="AI695" s="118"/>
      <c r="AJ695" s="118"/>
      <c r="AL695" s="7"/>
    </row>
    <row r="696" spans="1:38" ht="12.75" customHeight="1">
      <c r="A696" s="71"/>
      <c r="Y696" s="118"/>
      <c r="Z696" s="118"/>
      <c r="AA696" s="118"/>
      <c r="AB696" s="118"/>
      <c r="AC696" s="118"/>
      <c r="AD696" s="118"/>
      <c r="AE696" s="118"/>
      <c r="AF696" s="118"/>
      <c r="AG696" s="118"/>
      <c r="AH696" s="118"/>
      <c r="AI696" s="118"/>
      <c r="AJ696" s="118"/>
      <c r="AL696" s="7"/>
    </row>
    <row r="697" spans="1:38" ht="12.75" customHeight="1">
      <c r="A697" s="71"/>
      <c r="Y697" s="118"/>
      <c r="Z697" s="118"/>
      <c r="AA697" s="118"/>
      <c r="AB697" s="118"/>
      <c r="AC697" s="118"/>
      <c r="AD697" s="118"/>
      <c r="AE697" s="118"/>
      <c r="AF697" s="118"/>
      <c r="AG697" s="118"/>
      <c r="AH697" s="118"/>
      <c r="AI697" s="118"/>
      <c r="AJ697" s="118"/>
      <c r="AL697" s="7"/>
    </row>
    <row r="698" spans="1:38" ht="12.75" customHeight="1">
      <c r="A698" s="71"/>
      <c r="Y698" s="118"/>
      <c r="Z698" s="118"/>
      <c r="AA698" s="118"/>
      <c r="AB698" s="118"/>
      <c r="AC698" s="118"/>
      <c r="AD698" s="118"/>
      <c r="AE698" s="118"/>
      <c r="AF698" s="118"/>
      <c r="AG698" s="118"/>
      <c r="AH698" s="118"/>
      <c r="AI698" s="118"/>
      <c r="AJ698" s="118"/>
      <c r="AL698" s="7"/>
    </row>
    <row r="699" spans="1:38" ht="12.75" customHeight="1">
      <c r="A699" s="71"/>
      <c r="Y699" s="118"/>
      <c r="Z699" s="118"/>
      <c r="AA699" s="118"/>
      <c r="AB699" s="118"/>
      <c r="AC699" s="118"/>
      <c r="AD699" s="118"/>
      <c r="AE699" s="118"/>
      <c r="AF699" s="118"/>
      <c r="AG699" s="118"/>
      <c r="AH699" s="118"/>
      <c r="AI699" s="118"/>
      <c r="AJ699" s="118"/>
      <c r="AL699" s="7"/>
    </row>
    <row r="700" spans="1:38" ht="12.75" customHeight="1">
      <c r="A700" s="71"/>
      <c r="Y700" s="118"/>
      <c r="Z700" s="118"/>
      <c r="AA700" s="118"/>
      <c r="AB700" s="118"/>
      <c r="AC700" s="118"/>
      <c r="AD700" s="118"/>
      <c r="AE700" s="118"/>
      <c r="AF700" s="118"/>
      <c r="AG700" s="118"/>
      <c r="AH700" s="118"/>
      <c r="AI700" s="118"/>
      <c r="AJ700" s="118"/>
      <c r="AL700" s="7"/>
    </row>
    <row r="701" spans="1:38" ht="12.75" customHeight="1">
      <c r="A701" s="71"/>
      <c r="Y701" s="118"/>
      <c r="Z701" s="118"/>
      <c r="AA701" s="118"/>
      <c r="AB701" s="118"/>
      <c r="AC701" s="118"/>
      <c r="AD701" s="118"/>
      <c r="AE701" s="118"/>
      <c r="AF701" s="118"/>
      <c r="AG701" s="118"/>
      <c r="AH701" s="118"/>
      <c r="AI701" s="118"/>
      <c r="AJ701" s="118"/>
      <c r="AL701" s="7"/>
    </row>
    <row r="702" spans="1:38" ht="12.75" customHeight="1">
      <c r="A702" s="71"/>
      <c r="Y702" s="118"/>
      <c r="Z702" s="118"/>
      <c r="AA702" s="118"/>
      <c r="AB702" s="118"/>
      <c r="AC702" s="118"/>
      <c r="AD702" s="118"/>
      <c r="AE702" s="118"/>
      <c r="AF702" s="118"/>
      <c r="AG702" s="118"/>
      <c r="AH702" s="118"/>
      <c r="AI702" s="118"/>
      <c r="AJ702" s="118"/>
      <c r="AL702" s="7"/>
    </row>
    <row r="703" spans="1:38" ht="12.75" customHeight="1">
      <c r="A703" s="71"/>
      <c r="Y703" s="118"/>
      <c r="Z703" s="118"/>
      <c r="AA703" s="118"/>
      <c r="AB703" s="118"/>
      <c r="AC703" s="118"/>
      <c r="AD703" s="118"/>
      <c r="AE703" s="118"/>
      <c r="AF703" s="118"/>
      <c r="AG703" s="118"/>
      <c r="AH703" s="118"/>
      <c r="AI703" s="118"/>
      <c r="AJ703" s="118"/>
      <c r="AL703" s="7"/>
    </row>
    <row r="704" spans="1:38" ht="12.75" customHeight="1">
      <c r="A704" s="71"/>
      <c r="Y704" s="118"/>
      <c r="Z704" s="118"/>
      <c r="AA704" s="118"/>
      <c r="AB704" s="118"/>
      <c r="AC704" s="118"/>
      <c r="AD704" s="118"/>
      <c r="AE704" s="118"/>
      <c r="AF704" s="118"/>
      <c r="AG704" s="118"/>
      <c r="AH704" s="118"/>
      <c r="AI704" s="118"/>
      <c r="AJ704" s="118"/>
      <c r="AL704" s="7"/>
    </row>
    <row r="705" spans="1:38" ht="12.75" customHeight="1">
      <c r="A705" s="71"/>
      <c r="Y705" s="118"/>
      <c r="Z705" s="118"/>
      <c r="AA705" s="118"/>
      <c r="AB705" s="118"/>
      <c r="AC705" s="118"/>
      <c r="AD705" s="118"/>
      <c r="AE705" s="118"/>
      <c r="AF705" s="118"/>
      <c r="AG705" s="118"/>
      <c r="AH705" s="118"/>
      <c r="AI705" s="118"/>
      <c r="AJ705" s="118"/>
      <c r="AL705" s="7"/>
    </row>
    <row r="706" spans="1:38" ht="12.75" customHeight="1">
      <c r="A706" s="71"/>
      <c r="Y706" s="118"/>
      <c r="Z706" s="118"/>
      <c r="AA706" s="118"/>
      <c r="AB706" s="118"/>
      <c r="AC706" s="118"/>
      <c r="AD706" s="118"/>
      <c r="AE706" s="118"/>
      <c r="AF706" s="118"/>
      <c r="AG706" s="118"/>
      <c r="AH706" s="118"/>
      <c r="AI706" s="118"/>
      <c r="AJ706" s="118"/>
      <c r="AL706" s="7"/>
    </row>
    <row r="707" spans="1:38" ht="12.75" customHeight="1">
      <c r="A707" s="71"/>
      <c r="Y707" s="118"/>
      <c r="Z707" s="118"/>
      <c r="AA707" s="118"/>
      <c r="AB707" s="118"/>
      <c r="AC707" s="118"/>
      <c r="AD707" s="118"/>
      <c r="AE707" s="118"/>
      <c r="AF707" s="118"/>
      <c r="AG707" s="118"/>
      <c r="AH707" s="118"/>
      <c r="AI707" s="118"/>
      <c r="AJ707" s="118"/>
      <c r="AL707" s="7"/>
    </row>
    <row r="708" spans="1:38" ht="12.75" customHeight="1">
      <c r="A708" s="71"/>
      <c r="Y708" s="118"/>
      <c r="Z708" s="118"/>
      <c r="AA708" s="118"/>
      <c r="AB708" s="118"/>
      <c r="AC708" s="118"/>
      <c r="AD708" s="118"/>
      <c r="AE708" s="118"/>
      <c r="AF708" s="118"/>
      <c r="AG708" s="118"/>
      <c r="AH708" s="118"/>
      <c r="AI708" s="118"/>
      <c r="AJ708" s="118"/>
      <c r="AL708" s="7"/>
    </row>
    <row r="709" spans="1:38" ht="12.75" customHeight="1">
      <c r="A709" s="71"/>
      <c r="Y709" s="118"/>
      <c r="Z709" s="118"/>
      <c r="AA709" s="118"/>
      <c r="AB709" s="118"/>
      <c r="AC709" s="118"/>
      <c r="AD709" s="118"/>
      <c r="AE709" s="118"/>
      <c r="AF709" s="118"/>
      <c r="AG709" s="118"/>
      <c r="AH709" s="118"/>
      <c r="AI709" s="118"/>
      <c r="AJ709" s="118"/>
      <c r="AL709" s="7"/>
    </row>
    <row r="710" spans="1:38" ht="12.75" customHeight="1">
      <c r="A710" s="71"/>
      <c r="Y710" s="118"/>
      <c r="Z710" s="118"/>
      <c r="AA710" s="118"/>
      <c r="AB710" s="118"/>
      <c r="AC710" s="118"/>
      <c r="AD710" s="118"/>
      <c r="AE710" s="118"/>
      <c r="AF710" s="118"/>
      <c r="AG710" s="118"/>
      <c r="AH710" s="118"/>
      <c r="AI710" s="118"/>
      <c r="AJ710" s="118"/>
      <c r="AL710" s="7"/>
    </row>
    <row r="711" spans="1:38" ht="12.75" customHeight="1">
      <c r="A711" s="71"/>
      <c r="Y711" s="118"/>
      <c r="Z711" s="118"/>
      <c r="AA711" s="118"/>
      <c r="AB711" s="118"/>
      <c r="AC711" s="118"/>
      <c r="AD711" s="118"/>
      <c r="AE711" s="118"/>
      <c r="AF711" s="118"/>
      <c r="AG711" s="118"/>
      <c r="AH711" s="118"/>
      <c r="AI711" s="118"/>
      <c r="AJ711" s="118"/>
      <c r="AL711" s="7"/>
    </row>
    <row r="712" spans="1:38" ht="12.75" customHeight="1">
      <c r="A712" s="71"/>
      <c r="Y712" s="118"/>
      <c r="Z712" s="118"/>
      <c r="AA712" s="118"/>
      <c r="AB712" s="118"/>
      <c r="AC712" s="118"/>
      <c r="AD712" s="118"/>
      <c r="AE712" s="118"/>
      <c r="AF712" s="118"/>
      <c r="AG712" s="118"/>
      <c r="AH712" s="118"/>
      <c r="AI712" s="118"/>
      <c r="AJ712" s="118"/>
      <c r="AL712" s="7"/>
    </row>
    <row r="713" spans="1:38" ht="12.75" customHeight="1">
      <c r="A713" s="71"/>
      <c r="Y713" s="118"/>
      <c r="Z713" s="118"/>
      <c r="AA713" s="118"/>
      <c r="AB713" s="118"/>
      <c r="AC713" s="118"/>
      <c r="AD713" s="118"/>
      <c r="AE713" s="118"/>
      <c r="AF713" s="118"/>
      <c r="AG713" s="118"/>
      <c r="AH713" s="118"/>
      <c r="AI713" s="118"/>
      <c r="AJ713" s="118"/>
      <c r="AL713" s="7"/>
    </row>
    <row r="714" spans="1:38" ht="12.75" customHeight="1">
      <c r="A714" s="71"/>
      <c r="Y714" s="118"/>
      <c r="Z714" s="118"/>
      <c r="AA714" s="118"/>
      <c r="AB714" s="118"/>
      <c r="AC714" s="118"/>
      <c r="AD714" s="118"/>
      <c r="AE714" s="118"/>
      <c r="AF714" s="118"/>
      <c r="AG714" s="118"/>
      <c r="AH714" s="118"/>
      <c r="AI714" s="118"/>
      <c r="AJ714" s="118"/>
      <c r="AL714" s="7"/>
    </row>
    <row r="715" spans="1:38" ht="12.75" customHeight="1">
      <c r="A715" s="71"/>
      <c r="Y715" s="118"/>
      <c r="Z715" s="118"/>
      <c r="AA715" s="118"/>
      <c r="AB715" s="118"/>
      <c r="AC715" s="118"/>
      <c r="AD715" s="118"/>
      <c r="AE715" s="118"/>
      <c r="AF715" s="118"/>
      <c r="AG715" s="118"/>
      <c r="AH715" s="118"/>
      <c r="AI715" s="118"/>
      <c r="AJ715" s="118"/>
      <c r="AL715" s="7"/>
    </row>
    <row r="716" spans="1:38" ht="12.75" customHeight="1">
      <c r="A716" s="71"/>
      <c r="Y716" s="118"/>
      <c r="Z716" s="118"/>
      <c r="AA716" s="118"/>
      <c r="AB716" s="118"/>
      <c r="AC716" s="118"/>
      <c r="AD716" s="118"/>
      <c r="AE716" s="118"/>
      <c r="AF716" s="118"/>
      <c r="AG716" s="118"/>
      <c r="AH716" s="118"/>
      <c r="AI716" s="118"/>
      <c r="AJ716" s="118"/>
      <c r="AL716" s="7"/>
    </row>
    <row r="717" spans="1:38" ht="12.75" customHeight="1">
      <c r="A717" s="71"/>
      <c r="Y717" s="118"/>
      <c r="Z717" s="118"/>
      <c r="AA717" s="118"/>
      <c r="AB717" s="118"/>
      <c r="AC717" s="118"/>
      <c r="AD717" s="118"/>
      <c r="AE717" s="118"/>
      <c r="AF717" s="118"/>
      <c r="AG717" s="118"/>
      <c r="AH717" s="118"/>
      <c r="AI717" s="118"/>
      <c r="AJ717" s="118"/>
      <c r="AL717" s="7"/>
    </row>
    <row r="718" spans="1:38" ht="12.75" customHeight="1">
      <c r="A718" s="71"/>
      <c r="Y718" s="118"/>
      <c r="Z718" s="118"/>
      <c r="AA718" s="118"/>
      <c r="AB718" s="118"/>
      <c r="AC718" s="118"/>
      <c r="AD718" s="118"/>
      <c r="AE718" s="118"/>
      <c r="AF718" s="118"/>
      <c r="AG718" s="118"/>
      <c r="AH718" s="118"/>
      <c r="AI718" s="118"/>
      <c r="AJ718" s="118"/>
      <c r="AL718" s="7"/>
    </row>
    <row r="719" spans="1:38" ht="12.75" customHeight="1">
      <c r="A719" s="71"/>
      <c r="Y719" s="118"/>
      <c r="Z719" s="118"/>
      <c r="AA719" s="118"/>
      <c r="AB719" s="118"/>
      <c r="AC719" s="118"/>
      <c r="AD719" s="118"/>
      <c r="AE719" s="118"/>
      <c r="AF719" s="118"/>
      <c r="AG719" s="118"/>
      <c r="AH719" s="118"/>
      <c r="AI719" s="118"/>
      <c r="AJ719" s="118"/>
      <c r="AL719" s="7"/>
    </row>
    <row r="720" spans="1:38" ht="12.75" customHeight="1">
      <c r="A720" s="71"/>
      <c r="Y720" s="118"/>
      <c r="Z720" s="118"/>
      <c r="AA720" s="118"/>
      <c r="AB720" s="118"/>
      <c r="AC720" s="118"/>
      <c r="AD720" s="118"/>
      <c r="AE720" s="118"/>
      <c r="AF720" s="118"/>
      <c r="AG720" s="118"/>
      <c r="AH720" s="118"/>
      <c r="AI720" s="118"/>
      <c r="AJ720" s="118"/>
      <c r="AL720" s="7"/>
    </row>
    <row r="721" spans="1:38" ht="12.75" customHeight="1">
      <c r="A721" s="71"/>
      <c r="Y721" s="118"/>
      <c r="Z721" s="118"/>
      <c r="AA721" s="118"/>
      <c r="AB721" s="118"/>
      <c r="AC721" s="118"/>
      <c r="AD721" s="118"/>
      <c r="AE721" s="118"/>
      <c r="AF721" s="118"/>
      <c r="AG721" s="118"/>
      <c r="AH721" s="118"/>
      <c r="AI721" s="118"/>
      <c r="AJ721" s="118"/>
      <c r="AL721" s="7"/>
    </row>
    <row r="722" spans="1:38" ht="12.75" customHeight="1">
      <c r="A722" s="71"/>
      <c r="Y722" s="118"/>
      <c r="Z722" s="118"/>
      <c r="AA722" s="118"/>
      <c r="AB722" s="118"/>
      <c r="AC722" s="118"/>
      <c r="AD722" s="118"/>
      <c r="AE722" s="118"/>
      <c r="AF722" s="118"/>
      <c r="AG722" s="118"/>
      <c r="AH722" s="118"/>
      <c r="AI722" s="118"/>
      <c r="AJ722" s="118"/>
      <c r="AL722" s="7"/>
    </row>
    <row r="723" spans="1:38" ht="12.75" customHeight="1">
      <c r="A723" s="71"/>
      <c r="Y723" s="118"/>
      <c r="Z723" s="118"/>
      <c r="AA723" s="118"/>
      <c r="AB723" s="118"/>
      <c r="AC723" s="118"/>
      <c r="AD723" s="118"/>
      <c r="AE723" s="118"/>
      <c r="AF723" s="118"/>
      <c r="AG723" s="118"/>
      <c r="AH723" s="118"/>
      <c r="AI723" s="118"/>
      <c r="AJ723" s="118"/>
      <c r="AL723" s="7"/>
    </row>
    <row r="724" spans="1:38" ht="12.75" customHeight="1">
      <c r="A724" s="71"/>
      <c r="Y724" s="118"/>
      <c r="Z724" s="118"/>
      <c r="AA724" s="118"/>
      <c r="AB724" s="118"/>
      <c r="AC724" s="118"/>
      <c r="AD724" s="118"/>
      <c r="AE724" s="118"/>
      <c r="AF724" s="118"/>
      <c r="AG724" s="118"/>
      <c r="AH724" s="118"/>
      <c r="AI724" s="118"/>
      <c r="AJ724" s="118"/>
      <c r="AL724" s="7"/>
    </row>
    <row r="725" spans="1:38" ht="12.75" customHeight="1">
      <c r="A725" s="71"/>
      <c r="Y725" s="118"/>
      <c r="Z725" s="118"/>
      <c r="AA725" s="118"/>
      <c r="AB725" s="118"/>
      <c r="AC725" s="118"/>
      <c r="AD725" s="118"/>
      <c r="AE725" s="118"/>
      <c r="AF725" s="118"/>
      <c r="AG725" s="118"/>
      <c r="AH725" s="118"/>
      <c r="AI725" s="118"/>
      <c r="AJ725" s="118"/>
      <c r="AL725" s="7"/>
    </row>
    <row r="726" spans="1:38" ht="12.75" customHeight="1">
      <c r="A726" s="71"/>
      <c r="Y726" s="118"/>
      <c r="Z726" s="118"/>
      <c r="AA726" s="118"/>
      <c r="AB726" s="118"/>
      <c r="AC726" s="118"/>
      <c r="AD726" s="118"/>
      <c r="AE726" s="118"/>
      <c r="AF726" s="118"/>
      <c r="AG726" s="118"/>
      <c r="AH726" s="118"/>
      <c r="AI726" s="118"/>
      <c r="AJ726" s="118"/>
      <c r="AL726" s="7"/>
    </row>
    <row r="727" spans="1:38" ht="12.75" customHeight="1">
      <c r="A727" s="71"/>
      <c r="Y727" s="118"/>
      <c r="Z727" s="118"/>
      <c r="AA727" s="118"/>
      <c r="AB727" s="118"/>
      <c r="AC727" s="118"/>
      <c r="AD727" s="118"/>
      <c r="AE727" s="118"/>
      <c r="AF727" s="118"/>
      <c r="AG727" s="118"/>
      <c r="AH727" s="118"/>
      <c r="AI727" s="118"/>
      <c r="AJ727" s="118"/>
      <c r="AL727" s="7"/>
    </row>
    <row r="728" spans="1:38" ht="12.75" customHeight="1">
      <c r="A728" s="71"/>
      <c r="Y728" s="118"/>
      <c r="Z728" s="118"/>
      <c r="AA728" s="118"/>
      <c r="AB728" s="118"/>
      <c r="AC728" s="118"/>
      <c r="AD728" s="118"/>
      <c r="AE728" s="118"/>
      <c r="AF728" s="118"/>
      <c r="AG728" s="118"/>
      <c r="AH728" s="118"/>
      <c r="AI728" s="118"/>
      <c r="AJ728" s="118"/>
      <c r="AL728" s="7"/>
    </row>
    <row r="729" spans="1:38" ht="12.75" customHeight="1">
      <c r="A729" s="71"/>
      <c r="Y729" s="118"/>
      <c r="Z729" s="118"/>
      <c r="AA729" s="118"/>
      <c r="AB729" s="118"/>
      <c r="AC729" s="118"/>
      <c r="AD729" s="118"/>
      <c r="AE729" s="118"/>
      <c r="AF729" s="118"/>
      <c r="AG729" s="118"/>
      <c r="AH729" s="118"/>
      <c r="AI729" s="118"/>
      <c r="AJ729" s="118"/>
      <c r="AL729" s="7"/>
    </row>
    <row r="730" spans="1:38" ht="12.75" customHeight="1">
      <c r="A730" s="71"/>
      <c r="Y730" s="118"/>
      <c r="Z730" s="118"/>
      <c r="AA730" s="118"/>
      <c r="AB730" s="118"/>
      <c r="AC730" s="118"/>
      <c r="AD730" s="118"/>
      <c r="AE730" s="118"/>
      <c r="AF730" s="118"/>
      <c r="AG730" s="118"/>
      <c r="AH730" s="118"/>
      <c r="AI730" s="118"/>
      <c r="AJ730" s="118"/>
      <c r="AL730" s="7"/>
    </row>
    <row r="731" spans="1:38" ht="12.75" customHeight="1">
      <c r="A731" s="71"/>
      <c r="Y731" s="118"/>
      <c r="Z731" s="118"/>
      <c r="AA731" s="118"/>
      <c r="AB731" s="118"/>
      <c r="AC731" s="118"/>
      <c r="AD731" s="118"/>
      <c r="AE731" s="118"/>
      <c r="AF731" s="118"/>
      <c r="AG731" s="118"/>
      <c r="AH731" s="118"/>
      <c r="AI731" s="118"/>
      <c r="AJ731" s="118"/>
      <c r="AL731" s="7"/>
    </row>
    <row r="732" spans="1:38" ht="12.75" customHeight="1">
      <c r="A732" s="71"/>
      <c r="Y732" s="118"/>
      <c r="Z732" s="118"/>
      <c r="AA732" s="118"/>
      <c r="AB732" s="118"/>
      <c r="AC732" s="118"/>
      <c r="AD732" s="118"/>
      <c r="AE732" s="118"/>
      <c r="AF732" s="118"/>
      <c r="AG732" s="118"/>
      <c r="AH732" s="118"/>
      <c r="AI732" s="118"/>
      <c r="AJ732" s="118"/>
      <c r="AL732" s="7"/>
    </row>
    <row r="733" spans="1:38" ht="12.75" customHeight="1">
      <c r="A733" s="71"/>
      <c r="Y733" s="118"/>
      <c r="Z733" s="118"/>
      <c r="AA733" s="118"/>
      <c r="AB733" s="118"/>
      <c r="AC733" s="118"/>
      <c r="AD733" s="118"/>
      <c r="AE733" s="118"/>
      <c r="AF733" s="118"/>
      <c r="AG733" s="118"/>
      <c r="AH733" s="118"/>
      <c r="AI733" s="118"/>
      <c r="AJ733" s="118"/>
      <c r="AL733" s="7"/>
    </row>
    <row r="734" spans="1:38" ht="12.75" customHeight="1">
      <c r="A734" s="71"/>
      <c r="Y734" s="118"/>
      <c r="Z734" s="118"/>
      <c r="AA734" s="118"/>
      <c r="AB734" s="118"/>
      <c r="AC734" s="118"/>
      <c r="AD734" s="118"/>
      <c r="AE734" s="118"/>
      <c r="AF734" s="118"/>
      <c r="AG734" s="118"/>
      <c r="AH734" s="118"/>
      <c r="AI734" s="118"/>
      <c r="AJ734" s="118"/>
      <c r="AL734" s="7"/>
    </row>
    <row r="735" spans="1:38" ht="12.75" customHeight="1">
      <c r="A735" s="71"/>
      <c r="Y735" s="118"/>
      <c r="Z735" s="118"/>
      <c r="AA735" s="118"/>
      <c r="AB735" s="118"/>
      <c r="AC735" s="118"/>
      <c r="AD735" s="118"/>
      <c r="AE735" s="118"/>
      <c r="AF735" s="118"/>
      <c r="AG735" s="118"/>
      <c r="AH735" s="118"/>
      <c r="AI735" s="118"/>
      <c r="AJ735" s="118"/>
      <c r="AL735" s="7"/>
    </row>
    <row r="736" spans="1:38" ht="12.75" customHeight="1">
      <c r="A736" s="71"/>
      <c r="Y736" s="118"/>
      <c r="Z736" s="118"/>
      <c r="AA736" s="118"/>
      <c r="AB736" s="118"/>
      <c r="AC736" s="118"/>
      <c r="AD736" s="118"/>
      <c r="AE736" s="118"/>
      <c r="AF736" s="118"/>
      <c r="AG736" s="118"/>
      <c r="AH736" s="118"/>
      <c r="AI736" s="118"/>
      <c r="AJ736" s="118"/>
      <c r="AL736" s="7"/>
    </row>
    <row r="737" spans="1:38" ht="12.75" customHeight="1">
      <c r="A737" s="71"/>
      <c r="Y737" s="118"/>
      <c r="Z737" s="118"/>
      <c r="AA737" s="118"/>
      <c r="AB737" s="118"/>
      <c r="AC737" s="118"/>
      <c r="AD737" s="118"/>
      <c r="AE737" s="118"/>
      <c r="AF737" s="118"/>
      <c r="AG737" s="118"/>
      <c r="AH737" s="118"/>
      <c r="AI737" s="118"/>
      <c r="AJ737" s="118"/>
      <c r="AL737" s="7"/>
    </row>
    <row r="738" spans="1:38" ht="12.75" customHeight="1">
      <c r="A738" s="71"/>
      <c r="Y738" s="118"/>
      <c r="Z738" s="118"/>
      <c r="AA738" s="118"/>
      <c r="AB738" s="118"/>
      <c r="AC738" s="118"/>
      <c r="AD738" s="118"/>
      <c r="AE738" s="118"/>
      <c r="AF738" s="118"/>
      <c r="AG738" s="118"/>
      <c r="AH738" s="118"/>
      <c r="AI738" s="118"/>
      <c r="AJ738" s="118"/>
      <c r="AL738" s="7"/>
    </row>
    <row r="739" spans="1:38" ht="12.75" customHeight="1">
      <c r="A739" s="71"/>
      <c r="Y739" s="118"/>
      <c r="Z739" s="118"/>
      <c r="AA739" s="118"/>
      <c r="AB739" s="118"/>
      <c r="AC739" s="118"/>
      <c r="AD739" s="118"/>
      <c r="AE739" s="118"/>
      <c r="AF739" s="118"/>
      <c r="AG739" s="118"/>
      <c r="AH739" s="118"/>
      <c r="AI739" s="118"/>
      <c r="AJ739" s="118"/>
      <c r="AL739" s="7"/>
    </row>
    <row r="740" spans="1:38" ht="12.75" customHeight="1">
      <c r="A740" s="71"/>
      <c r="Y740" s="118"/>
      <c r="Z740" s="118"/>
      <c r="AA740" s="118"/>
      <c r="AB740" s="118"/>
      <c r="AC740" s="118"/>
      <c r="AD740" s="118"/>
      <c r="AE740" s="118"/>
      <c r="AF740" s="118"/>
      <c r="AG740" s="118"/>
      <c r="AH740" s="118"/>
      <c r="AI740" s="118"/>
      <c r="AJ740" s="118"/>
      <c r="AL740" s="7"/>
    </row>
    <row r="741" spans="1:38" ht="12.75" customHeight="1">
      <c r="A741" s="71"/>
      <c r="Y741" s="118"/>
      <c r="Z741" s="118"/>
      <c r="AA741" s="118"/>
      <c r="AB741" s="118"/>
      <c r="AC741" s="118"/>
      <c r="AD741" s="118"/>
      <c r="AE741" s="118"/>
      <c r="AF741" s="118"/>
      <c r="AG741" s="118"/>
      <c r="AH741" s="118"/>
      <c r="AI741" s="118"/>
      <c r="AJ741" s="118"/>
      <c r="AL741" s="7"/>
    </row>
    <row r="742" spans="1:38" ht="12.75" customHeight="1">
      <c r="A742" s="71"/>
      <c r="Y742" s="118"/>
      <c r="Z742" s="118"/>
      <c r="AA742" s="118"/>
      <c r="AB742" s="118"/>
      <c r="AC742" s="118"/>
      <c r="AD742" s="118"/>
      <c r="AE742" s="118"/>
      <c r="AF742" s="118"/>
      <c r="AG742" s="118"/>
      <c r="AH742" s="118"/>
      <c r="AI742" s="118"/>
      <c r="AJ742" s="118"/>
      <c r="AL742" s="7"/>
    </row>
    <row r="743" spans="1:38" ht="12.75" customHeight="1">
      <c r="A743" s="71"/>
      <c r="Y743" s="118"/>
      <c r="Z743" s="118"/>
      <c r="AA743" s="118"/>
      <c r="AB743" s="118"/>
      <c r="AC743" s="118"/>
      <c r="AD743" s="118"/>
      <c r="AE743" s="118"/>
      <c r="AF743" s="118"/>
      <c r="AG743" s="118"/>
      <c r="AH743" s="118"/>
      <c r="AI743" s="118"/>
      <c r="AJ743" s="118"/>
      <c r="AL743" s="7"/>
    </row>
    <row r="744" spans="1:38" ht="12.75" customHeight="1">
      <c r="A744" s="71"/>
      <c r="Y744" s="118"/>
      <c r="Z744" s="118"/>
      <c r="AA744" s="118"/>
      <c r="AB744" s="118"/>
      <c r="AC744" s="118"/>
      <c r="AD744" s="118"/>
      <c r="AE744" s="118"/>
      <c r="AF744" s="118"/>
      <c r="AG744" s="118"/>
      <c r="AH744" s="118"/>
      <c r="AI744" s="118"/>
      <c r="AJ744" s="118"/>
      <c r="AL744" s="7"/>
    </row>
    <row r="745" spans="1:38" ht="12.75" customHeight="1">
      <c r="A745" s="71"/>
      <c r="Y745" s="118"/>
      <c r="Z745" s="118"/>
      <c r="AA745" s="118"/>
      <c r="AB745" s="118"/>
      <c r="AC745" s="118"/>
      <c r="AD745" s="118"/>
      <c r="AE745" s="118"/>
      <c r="AF745" s="118"/>
      <c r="AG745" s="118"/>
      <c r="AH745" s="118"/>
      <c r="AI745" s="118"/>
      <c r="AJ745" s="118"/>
      <c r="AL745" s="7"/>
    </row>
    <row r="746" spans="1:38" ht="12.75" customHeight="1">
      <c r="A746" s="71"/>
      <c r="Y746" s="118"/>
      <c r="Z746" s="118"/>
      <c r="AA746" s="118"/>
      <c r="AB746" s="118"/>
      <c r="AC746" s="118"/>
      <c r="AD746" s="118"/>
      <c r="AE746" s="118"/>
      <c r="AF746" s="118"/>
      <c r="AG746" s="118"/>
      <c r="AH746" s="118"/>
      <c r="AI746" s="118"/>
      <c r="AJ746" s="118"/>
      <c r="AL746" s="7"/>
    </row>
    <row r="747" spans="1:38" ht="12.75" customHeight="1">
      <c r="A747" s="71"/>
      <c r="Y747" s="118"/>
      <c r="Z747" s="118"/>
      <c r="AA747" s="118"/>
      <c r="AB747" s="118"/>
      <c r="AC747" s="118"/>
      <c r="AD747" s="118"/>
      <c r="AE747" s="118"/>
      <c r="AF747" s="118"/>
      <c r="AG747" s="118"/>
      <c r="AH747" s="118"/>
      <c r="AI747" s="118"/>
      <c r="AJ747" s="118"/>
      <c r="AL747" s="7"/>
    </row>
    <row r="748" spans="1:38" ht="12.75" customHeight="1">
      <c r="A748" s="71"/>
      <c r="Y748" s="118"/>
      <c r="Z748" s="118"/>
      <c r="AA748" s="118"/>
      <c r="AB748" s="118"/>
      <c r="AC748" s="118"/>
      <c r="AD748" s="118"/>
      <c r="AE748" s="118"/>
      <c r="AF748" s="118"/>
      <c r="AG748" s="118"/>
      <c r="AH748" s="118"/>
      <c r="AI748" s="118"/>
      <c r="AJ748" s="118"/>
      <c r="AL748" s="7"/>
    </row>
    <row r="749" spans="1:38" ht="12.75" customHeight="1">
      <c r="A749" s="71"/>
      <c r="Y749" s="118"/>
      <c r="Z749" s="118"/>
      <c r="AA749" s="118"/>
      <c r="AB749" s="118"/>
      <c r="AC749" s="118"/>
      <c r="AD749" s="118"/>
      <c r="AE749" s="118"/>
      <c r="AF749" s="118"/>
      <c r="AG749" s="118"/>
      <c r="AH749" s="118"/>
      <c r="AI749" s="118"/>
      <c r="AJ749" s="118"/>
      <c r="AL749" s="7"/>
    </row>
    <row r="750" spans="1:38" ht="12.75" customHeight="1">
      <c r="A750" s="71"/>
      <c r="Y750" s="118"/>
      <c r="Z750" s="118"/>
      <c r="AA750" s="118"/>
      <c r="AB750" s="118"/>
      <c r="AC750" s="118"/>
      <c r="AD750" s="118"/>
      <c r="AE750" s="118"/>
      <c r="AF750" s="118"/>
      <c r="AG750" s="118"/>
      <c r="AH750" s="118"/>
      <c r="AI750" s="118"/>
      <c r="AJ750" s="118"/>
      <c r="AL750" s="7"/>
    </row>
    <row r="751" spans="1:38" ht="12.75" customHeight="1">
      <c r="A751" s="71"/>
      <c r="Y751" s="118"/>
      <c r="Z751" s="118"/>
      <c r="AA751" s="118"/>
      <c r="AB751" s="118"/>
      <c r="AC751" s="118"/>
      <c r="AD751" s="118"/>
      <c r="AE751" s="118"/>
      <c r="AF751" s="118"/>
      <c r="AG751" s="118"/>
      <c r="AH751" s="118"/>
      <c r="AI751" s="118"/>
      <c r="AJ751" s="118"/>
      <c r="AL751" s="7"/>
    </row>
    <row r="752" spans="1:38" ht="12.75" customHeight="1">
      <c r="A752" s="71"/>
      <c r="Y752" s="118"/>
      <c r="Z752" s="118"/>
      <c r="AA752" s="118"/>
      <c r="AB752" s="118"/>
      <c r="AC752" s="118"/>
      <c r="AD752" s="118"/>
      <c r="AE752" s="118"/>
      <c r="AF752" s="118"/>
      <c r="AG752" s="118"/>
      <c r="AH752" s="118"/>
      <c r="AI752" s="118"/>
      <c r="AJ752" s="118"/>
      <c r="AL752" s="7"/>
    </row>
    <row r="753" spans="1:38" ht="12.75" customHeight="1">
      <c r="A753" s="71"/>
      <c r="Y753" s="118"/>
      <c r="Z753" s="118"/>
      <c r="AA753" s="118"/>
      <c r="AB753" s="118"/>
      <c r="AC753" s="118"/>
      <c r="AD753" s="118"/>
      <c r="AE753" s="118"/>
      <c r="AF753" s="118"/>
      <c r="AG753" s="118"/>
      <c r="AH753" s="118"/>
      <c r="AI753" s="118"/>
      <c r="AJ753" s="118"/>
      <c r="AL753" s="7"/>
    </row>
    <row r="754" spans="1:38" ht="12.75" customHeight="1">
      <c r="A754" s="71"/>
      <c r="Y754" s="118"/>
      <c r="Z754" s="118"/>
      <c r="AA754" s="118"/>
      <c r="AB754" s="118"/>
      <c r="AC754" s="118"/>
      <c r="AD754" s="118"/>
      <c r="AE754" s="118"/>
      <c r="AF754" s="118"/>
      <c r="AG754" s="118"/>
      <c r="AH754" s="118"/>
      <c r="AI754" s="118"/>
      <c r="AJ754" s="118"/>
      <c r="AL754" s="7"/>
    </row>
    <row r="755" spans="1:38" ht="12.75" customHeight="1">
      <c r="A755" s="71"/>
      <c r="Y755" s="118"/>
      <c r="Z755" s="118"/>
      <c r="AA755" s="118"/>
      <c r="AB755" s="118"/>
      <c r="AC755" s="118"/>
      <c r="AD755" s="118"/>
      <c r="AE755" s="118"/>
      <c r="AF755" s="118"/>
      <c r="AG755" s="118"/>
      <c r="AH755" s="118"/>
      <c r="AI755" s="118"/>
      <c r="AJ755" s="118"/>
      <c r="AL755" s="7"/>
    </row>
    <row r="756" spans="1:38" ht="12.75" customHeight="1">
      <c r="A756" s="71"/>
      <c r="Y756" s="118"/>
      <c r="Z756" s="118"/>
      <c r="AA756" s="118"/>
      <c r="AB756" s="118"/>
      <c r="AC756" s="118"/>
      <c r="AD756" s="118"/>
      <c r="AE756" s="118"/>
      <c r="AF756" s="118"/>
      <c r="AG756" s="118"/>
      <c r="AH756" s="118"/>
      <c r="AI756" s="118"/>
      <c r="AJ756" s="118"/>
      <c r="AL756" s="7"/>
    </row>
    <row r="757" spans="1:38" ht="12.75" customHeight="1">
      <c r="A757" s="71"/>
      <c r="Y757" s="118"/>
      <c r="Z757" s="118"/>
      <c r="AA757" s="118"/>
      <c r="AB757" s="118"/>
      <c r="AC757" s="118"/>
      <c r="AD757" s="118"/>
      <c r="AE757" s="118"/>
      <c r="AF757" s="118"/>
      <c r="AG757" s="118"/>
      <c r="AH757" s="118"/>
      <c r="AI757" s="118"/>
      <c r="AJ757" s="118"/>
      <c r="AL757" s="7"/>
    </row>
    <row r="758" spans="1:38" ht="12.75" customHeight="1">
      <c r="A758" s="71"/>
      <c r="Y758" s="118"/>
      <c r="Z758" s="118"/>
      <c r="AA758" s="118"/>
      <c r="AB758" s="118"/>
      <c r="AC758" s="118"/>
      <c r="AD758" s="118"/>
      <c r="AE758" s="118"/>
      <c r="AF758" s="118"/>
      <c r="AG758" s="118"/>
      <c r="AH758" s="118"/>
      <c r="AI758" s="118"/>
      <c r="AJ758" s="118"/>
      <c r="AL758" s="7"/>
    </row>
    <row r="759" spans="1:38" ht="12.75" customHeight="1">
      <c r="A759" s="71"/>
      <c r="Y759" s="118"/>
      <c r="Z759" s="118"/>
      <c r="AA759" s="118"/>
      <c r="AB759" s="118"/>
      <c r="AC759" s="118"/>
      <c r="AD759" s="118"/>
      <c r="AE759" s="118"/>
      <c r="AF759" s="118"/>
      <c r="AG759" s="118"/>
      <c r="AH759" s="118"/>
      <c r="AI759" s="118"/>
      <c r="AJ759" s="118"/>
      <c r="AL759" s="7"/>
    </row>
    <row r="760" spans="1:38" ht="12.75" customHeight="1">
      <c r="A760" s="71"/>
      <c r="Y760" s="118"/>
      <c r="Z760" s="118"/>
      <c r="AA760" s="118"/>
      <c r="AB760" s="118"/>
      <c r="AC760" s="118"/>
      <c r="AD760" s="118"/>
      <c r="AE760" s="118"/>
      <c r="AF760" s="118"/>
      <c r="AG760" s="118"/>
      <c r="AH760" s="118"/>
      <c r="AI760" s="118"/>
      <c r="AJ760" s="118"/>
      <c r="AL760" s="7"/>
    </row>
    <row r="761" spans="1:38" ht="12.75" customHeight="1">
      <c r="A761" s="71"/>
      <c r="Y761" s="118"/>
      <c r="Z761" s="118"/>
      <c r="AA761" s="118"/>
      <c r="AB761" s="118"/>
      <c r="AC761" s="118"/>
      <c r="AD761" s="118"/>
      <c r="AE761" s="118"/>
      <c r="AF761" s="118"/>
      <c r="AG761" s="118"/>
      <c r="AH761" s="118"/>
      <c r="AI761" s="118"/>
      <c r="AJ761" s="118"/>
      <c r="AL761" s="7"/>
    </row>
    <row r="762" spans="1:38" ht="12.75" customHeight="1">
      <c r="A762" s="71"/>
      <c r="Y762" s="118"/>
      <c r="Z762" s="118"/>
      <c r="AA762" s="118"/>
      <c r="AB762" s="118"/>
      <c r="AC762" s="118"/>
      <c r="AD762" s="118"/>
      <c r="AE762" s="118"/>
      <c r="AF762" s="118"/>
      <c r="AG762" s="118"/>
      <c r="AH762" s="118"/>
      <c r="AI762" s="118"/>
      <c r="AJ762" s="118"/>
      <c r="AL762" s="7"/>
    </row>
    <row r="763" spans="1:38" ht="12.75" customHeight="1">
      <c r="A763" s="71"/>
      <c r="Y763" s="118"/>
      <c r="Z763" s="118"/>
      <c r="AA763" s="118"/>
      <c r="AB763" s="118"/>
      <c r="AC763" s="118"/>
      <c r="AD763" s="118"/>
      <c r="AE763" s="118"/>
      <c r="AF763" s="118"/>
      <c r="AG763" s="118"/>
      <c r="AH763" s="118"/>
      <c r="AI763" s="118"/>
      <c r="AJ763" s="118"/>
      <c r="AL763" s="7"/>
    </row>
    <row r="764" spans="1:38" ht="12.75" customHeight="1">
      <c r="A764" s="71"/>
      <c r="Y764" s="118"/>
      <c r="Z764" s="118"/>
      <c r="AA764" s="118"/>
      <c r="AB764" s="118"/>
      <c r="AC764" s="118"/>
      <c r="AD764" s="118"/>
      <c r="AE764" s="118"/>
      <c r="AF764" s="118"/>
      <c r="AG764" s="118"/>
      <c r="AH764" s="118"/>
      <c r="AI764" s="118"/>
      <c r="AJ764" s="118"/>
      <c r="AL764" s="7"/>
    </row>
    <row r="765" spans="1:38" ht="12.75" customHeight="1">
      <c r="A765" s="71"/>
      <c r="Y765" s="118"/>
      <c r="Z765" s="118"/>
      <c r="AA765" s="118"/>
      <c r="AB765" s="118"/>
      <c r="AC765" s="118"/>
      <c r="AD765" s="118"/>
      <c r="AE765" s="118"/>
      <c r="AF765" s="118"/>
      <c r="AG765" s="118"/>
      <c r="AH765" s="118"/>
      <c r="AI765" s="118"/>
      <c r="AJ765" s="118"/>
      <c r="AL765" s="7"/>
    </row>
    <row r="766" spans="1:38" ht="12.75" customHeight="1">
      <c r="A766" s="71"/>
      <c r="Y766" s="118"/>
      <c r="Z766" s="118"/>
      <c r="AA766" s="118"/>
      <c r="AB766" s="118"/>
      <c r="AC766" s="118"/>
      <c r="AD766" s="118"/>
      <c r="AE766" s="118"/>
      <c r="AF766" s="118"/>
      <c r="AG766" s="118"/>
      <c r="AH766" s="118"/>
      <c r="AI766" s="118"/>
      <c r="AJ766" s="118"/>
      <c r="AL766" s="7"/>
    </row>
    <row r="767" spans="1:38" ht="12.75" customHeight="1">
      <c r="A767" s="71"/>
      <c r="Y767" s="118"/>
      <c r="Z767" s="118"/>
      <c r="AA767" s="118"/>
      <c r="AB767" s="118"/>
      <c r="AC767" s="118"/>
      <c r="AD767" s="118"/>
      <c r="AE767" s="118"/>
      <c r="AF767" s="118"/>
      <c r="AG767" s="118"/>
      <c r="AH767" s="118"/>
      <c r="AI767" s="118"/>
      <c r="AJ767" s="118"/>
      <c r="AL767" s="7"/>
    </row>
    <row r="768" spans="1:38" ht="12.75" customHeight="1">
      <c r="A768" s="71"/>
      <c r="Y768" s="118"/>
      <c r="Z768" s="118"/>
      <c r="AA768" s="118"/>
      <c r="AB768" s="118"/>
      <c r="AC768" s="118"/>
      <c r="AD768" s="118"/>
      <c r="AE768" s="118"/>
      <c r="AF768" s="118"/>
      <c r="AG768" s="118"/>
      <c r="AH768" s="118"/>
      <c r="AI768" s="118"/>
      <c r="AJ768" s="118"/>
      <c r="AL768" s="7"/>
    </row>
    <row r="769" spans="1:38" ht="12.75" customHeight="1">
      <c r="A769" s="71"/>
      <c r="Y769" s="118"/>
      <c r="Z769" s="118"/>
      <c r="AA769" s="118"/>
      <c r="AB769" s="118"/>
      <c r="AC769" s="118"/>
      <c r="AD769" s="118"/>
      <c r="AE769" s="118"/>
      <c r="AF769" s="118"/>
      <c r="AG769" s="118"/>
      <c r="AH769" s="118"/>
      <c r="AI769" s="118"/>
      <c r="AJ769" s="118"/>
      <c r="AL769" s="7"/>
    </row>
    <row r="770" spans="1:38" ht="12.75" customHeight="1">
      <c r="A770" s="71"/>
      <c r="Y770" s="118"/>
      <c r="Z770" s="118"/>
      <c r="AA770" s="118"/>
      <c r="AB770" s="118"/>
      <c r="AC770" s="118"/>
      <c r="AD770" s="118"/>
      <c r="AE770" s="118"/>
      <c r="AF770" s="118"/>
      <c r="AG770" s="118"/>
      <c r="AH770" s="118"/>
      <c r="AI770" s="118"/>
      <c r="AJ770" s="118"/>
      <c r="AL770" s="7"/>
    </row>
    <row r="771" spans="1:38" ht="12.75" customHeight="1">
      <c r="A771" s="71"/>
      <c r="Y771" s="118"/>
      <c r="Z771" s="118"/>
      <c r="AA771" s="118"/>
      <c r="AB771" s="118"/>
      <c r="AC771" s="118"/>
      <c r="AD771" s="118"/>
      <c r="AE771" s="118"/>
      <c r="AF771" s="118"/>
      <c r="AG771" s="118"/>
      <c r="AH771" s="118"/>
      <c r="AI771" s="118"/>
      <c r="AJ771" s="118"/>
      <c r="AL771" s="7"/>
    </row>
    <row r="772" spans="1:38" ht="12.75" customHeight="1">
      <c r="A772" s="71"/>
      <c r="Y772" s="118"/>
      <c r="Z772" s="118"/>
      <c r="AA772" s="118"/>
      <c r="AB772" s="118"/>
      <c r="AC772" s="118"/>
      <c r="AD772" s="118"/>
      <c r="AE772" s="118"/>
      <c r="AF772" s="118"/>
      <c r="AG772" s="118"/>
      <c r="AH772" s="118"/>
      <c r="AI772" s="118"/>
      <c r="AJ772" s="118"/>
      <c r="AL772" s="7"/>
    </row>
    <row r="773" spans="1:38" ht="12.75" customHeight="1">
      <c r="A773" s="71"/>
      <c r="Y773" s="118"/>
      <c r="Z773" s="118"/>
      <c r="AA773" s="118"/>
      <c r="AB773" s="118"/>
      <c r="AC773" s="118"/>
      <c r="AD773" s="118"/>
      <c r="AE773" s="118"/>
      <c r="AF773" s="118"/>
      <c r="AG773" s="118"/>
      <c r="AH773" s="118"/>
      <c r="AI773" s="118"/>
      <c r="AJ773" s="118"/>
      <c r="AL773" s="7"/>
    </row>
    <row r="774" spans="1:38" ht="12.75" customHeight="1">
      <c r="A774" s="71"/>
      <c r="Y774" s="118"/>
      <c r="Z774" s="118"/>
      <c r="AA774" s="118"/>
      <c r="AB774" s="118"/>
      <c r="AC774" s="118"/>
      <c r="AD774" s="118"/>
      <c r="AE774" s="118"/>
      <c r="AF774" s="118"/>
      <c r="AG774" s="118"/>
      <c r="AH774" s="118"/>
      <c r="AI774" s="118"/>
      <c r="AJ774" s="118"/>
      <c r="AL774" s="7"/>
    </row>
    <row r="775" spans="1:38" ht="12.75" customHeight="1">
      <c r="A775" s="71"/>
      <c r="Y775" s="118"/>
      <c r="Z775" s="118"/>
      <c r="AA775" s="118"/>
      <c r="AB775" s="118"/>
      <c r="AC775" s="118"/>
      <c r="AD775" s="118"/>
      <c r="AE775" s="118"/>
      <c r="AF775" s="118"/>
      <c r="AG775" s="118"/>
      <c r="AH775" s="118"/>
      <c r="AI775" s="118"/>
      <c r="AJ775" s="118"/>
      <c r="AL775" s="7"/>
    </row>
    <row r="776" spans="1:38" ht="12.75" customHeight="1">
      <c r="A776" s="71"/>
      <c r="Y776" s="118"/>
      <c r="Z776" s="118"/>
      <c r="AA776" s="118"/>
      <c r="AB776" s="118"/>
      <c r="AC776" s="118"/>
      <c r="AD776" s="118"/>
      <c r="AE776" s="118"/>
      <c r="AF776" s="118"/>
      <c r="AG776" s="118"/>
      <c r="AH776" s="118"/>
      <c r="AI776" s="118"/>
      <c r="AJ776" s="118"/>
      <c r="AL776" s="7"/>
    </row>
    <row r="777" spans="1:38" ht="12.75" customHeight="1">
      <c r="A777" s="71"/>
      <c r="Y777" s="118"/>
      <c r="Z777" s="118"/>
      <c r="AA777" s="118"/>
      <c r="AB777" s="118"/>
      <c r="AC777" s="118"/>
      <c r="AD777" s="118"/>
      <c r="AE777" s="118"/>
      <c r="AF777" s="118"/>
      <c r="AG777" s="118"/>
      <c r="AH777" s="118"/>
      <c r="AI777" s="118"/>
      <c r="AJ777" s="118"/>
      <c r="AL777" s="7"/>
    </row>
    <row r="778" spans="1:38" ht="12.75" customHeight="1">
      <c r="A778" s="71"/>
      <c r="Y778" s="118"/>
      <c r="Z778" s="118"/>
      <c r="AA778" s="118"/>
      <c r="AB778" s="118"/>
      <c r="AC778" s="118"/>
      <c r="AD778" s="118"/>
      <c r="AE778" s="118"/>
      <c r="AF778" s="118"/>
      <c r="AG778" s="118"/>
      <c r="AH778" s="118"/>
      <c r="AI778" s="118"/>
      <c r="AJ778" s="118"/>
      <c r="AL778" s="7"/>
    </row>
    <row r="779" spans="1:38" ht="12.75" customHeight="1">
      <c r="A779" s="71"/>
      <c r="Y779" s="118"/>
      <c r="Z779" s="118"/>
      <c r="AA779" s="118"/>
      <c r="AB779" s="118"/>
      <c r="AC779" s="118"/>
      <c r="AD779" s="118"/>
      <c r="AE779" s="118"/>
      <c r="AF779" s="118"/>
      <c r="AG779" s="118"/>
      <c r="AH779" s="118"/>
      <c r="AI779" s="118"/>
      <c r="AJ779" s="118"/>
      <c r="AL779" s="7"/>
    </row>
    <row r="780" spans="1:38" ht="12.75" customHeight="1">
      <c r="A780" s="71"/>
      <c r="Y780" s="118"/>
      <c r="Z780" s="118"/>
      <c r="AA780" s="118"/>
      <c r="AB780" s="118"/>
      <c r="AC780" s="118"/>
      <c r="AD780" s="118"/>
      <c r="AE780" s="118"/>
      <c r="AF780" s="118"/>
      <c r="AG780" s="118"/>
      <c r="AH780" s="118"/>
      <c r="AI780" s="118"/>
      <c r="AJ780" s="118"/>
      <c r="AL780" s="7"/>
    </row>
    <row r="781" spans="1:38" ht="12.75" customHeight="1">
      <c r="A781" s="71"/>
      <c r="Y781" s="118"/>
      <c r="Z781" s="118"/>
      <c r="AA781" s="118"/>
      <c r="AB781" s="118"/>
      <c r="AC781" s="118"/>
      <c r="AD781" s="118"/>
      <c r="AE781" s="118"/>
      <c r="AF781" s="118"/>
      <c r="AG781" s="118"/>
      <c r="AH781" s="118"/>
      <c r="AI781" s="118"/>
      <c r="AJ781" s="118"/>
      <c r="AL781" s="7"/>
    </row>
    <row r="782" spans="1:38" ht="12.75" customHeight="1">
      <c r="A782" s="71"/>
      <c r="Y782" s="118"/>
      <c r="Z782" s="118"/>
      <c r="AA782" s="118"/>
      <c r="AB782" s="118"/>
      <c r="AC782" s="118"/>
      <c r="AD782" s="118"/>
      <c r="AE782" s="118"/>
      <c r="AF782" s="118"/>
      <c r="AG782" s="118"/>
      <c r="AH782" s="118"/>
      <c r="AI782" s="118"/>
      <c r="AJ782" s="118"/>
      <c r="AL782" s="7"/>
    </row>
    <row r="783" spans="1:38" ht="12.75" customHeight="1">
      <c r="A783" s="71"/>
      <c r="Y783" s="118"/>
      <c r="Z783" s="118"/>
      <c r="AA783" s="118"/>
      <c r="AB783" s="118"/>
      <c r="AC783" s="118"/>
      <c r="AD783" s="118"/>
      <c r="AE783" s="118"/>
      <c r="AF783" s="118"/>
      <c r="AG783" s="118"/>
      <c r="AH783" s="118"/>
      <c r="AI783" s="118"/>
      <c r="AJ783" s="118"/>
      <c r="AL783" s="7"/>
    </row>
    <row r="784" spans="1:38" ht="12.75" customHeight="1">
      <c r="A784" s="71"/>
      <c r="Y784" s="118"/>
      <c r="Z784" s="118"/>
      <c r="AA784" s="118"/>
      <c r="AB784" s="118"/>
      <c r="AC784" s="118"/>
      <c r="AD784" s="118"/>
      <c r="AE784" s="118"/>
      <c r="AF784" s="118"/>
      <c r="AG784" s="118"/>
      <c r="AH784" s="118"/>
      <c r="AI784" s="118"/>
      <c r="AJ784" s="118"/>
      <c r="AL784" s="7"/>
    </row>
    <row r="785" spans="1:38" ht="12.75" customHeight="1">
      <c r="A785" s="71"/>
      <c r="Y785" s="118"/>
      <c r="Z785" s="118"/>
      <c r="AA785" s="118"/>
      <c r="AB785" s="118"/>
      <c r="AC785" s="118"/>
      <c r="AD785" s="118"/>
      <c r="AE785" s="118"/>
      <c r="AF785" s="118"/>
      <c r="AG785" s="118"/>
      <c r="AH785" s="118"/>
      <c r="AI785" s="118"/>
      <c r="AJ785" s="118"/>
      <c r="AL785" s="7"/>
    </row>
    <row r="786" spans="1:38" ht="12.75" customHeight="1">
      <c r="A786" s="71"/>
      <c r="Y786" s="118"/>
      <c r="Z786" s="118"/>
      <c r="AA786" s="118"/>
      <c r="AB786" s="118"/>
      <c r="AC786" s="118"/>
      <c r="AD786" s="118"/>
      <c r="AE786" s="118"/>
      <c r="AF786" s="118"/>
      <c r="AG786" s="118"/>
      <c r="AH786" s="118"/>
      <c r="AI786" s="118"/>
      <c r="AJ786" s="118"/>
      <c r="AL786" s="7"/>
    </row>
    <row r="787" spans="1:38" ht="12.75" customHeight="1">
      <c r="A787" s="71"/>
      <c r="Y787" s="118"/>
      <c r="Z787" s="118"/>
      <c r="AA787" s="118"/>
      <c r="AB787" s="118"/>
      <c r="AC787" s="118"/>
      <c r="AD787" s="118"/>
      <c r="AE787" s="118"/>
      <c r="AF787" s="118"/>
      <c r="AG787" s="118"/>
      <c r="AH787" s="118"/>
      <c r="AI787" s="118"/>
      <c r="AJ787" s="118"/>
      <c r="AL787" s="7"/>
    </row>
    <row r="788" spans="1:38" ht="12.75" customHeight="1">
      <c r="A788" s="71"/>
      <c r="Y788" s="118"/>
      <c r="Z788" s="118"/>
      <c r="AA788" s="118"/>
      <c r="AB788" s="118"/>
      <c r="AC788" s="118"/>
      <c r="AD788" s="118"/>
      <c r="AE788" s="118"/>
      <c r="AF788" s="118"/>
      <c r="AG788" s="118"/>
      <c r="AH788" s="118"/>
      <c r="AI788" s="118"/>
      <c r="AJ788" s="118"/>
      <c r="AL788" s="7"/>
    </row>
    <row r="789" spans="1:38" ht="12.75" customHeight="1">
      <c r="A789" s="71"/>
      <c r="Y789" s="118"/>
      <c r="Z789" s="118"/>
      <c r="AA789" s="118"/>
      <c r="AB789" s="118"/>
      <c r="AC789" s="118"/>
      <c r="AD789" s="118"/>
      <c r="AE789" s="118"/>
      <c r="AF789" s="118"/>
      <c r="AG789" s="118"/>
      <c r="AH789" s="118"/>
      <c r="AI789" s="118"/>
      <c r="AJ789" s="118"/>
      <c r="AL789" s="7"/>
    </row>
    <row r="790" spans="1:38" ht="12.75" customHeight="1">
      <c r="A790" s="71"/>
      <c r="Y790" s="118"/>
      <c r="Z790" s="118"/>
      <c r="AA790" s="118"/>
      <c r="AB790" s="118"/>
      <c r="AC790" s="118"/>
      <c r="AD790" s="118"/>
      <c r="AE790" s="118"/>
      <c r="AF790" s="118"/>
      <c r="AG790" s="118"/>
      <c r="AH790" s="118"/>
      <c r="AI790" s="118"/>
      <c r="AJ790" s="118"/>
      <c r="AL790" s="7"/>
    </row>
    <row r="791" spans="1:38" ht="12.75" customHeight="1">
      <c r="A791" s="71"/>
      <c r="Y791" s="118"/>
      <c r="Z791" s="118"/>
      <c r="AA791" s="118"/>
      <c r="AB791" s="118"/>
      <c r="AC791" s="118"/>
      <c r="AD791" s="118"/>
      <c r="AE791" s="118"/>
      <c r="AF791" s="118"/>
      <c r="AG791" s="118"/>
      <c r="AH791" s="118"/>
      <c r="AI791" s="118"/>
      <c r="AJ791" s="118"/>
      <c r="AL791" s="7"/>
    </row>
    <row r="792" spans="1:38" ht="12.75" customHeight="1">
      <c r="A792" s="71"/>
      <c r="Y792" s="118"/>
      <c r="Z792" s="118"/>
      <c r="AA792" s="118"/>
      <c r="AB792" s="118"/>
      <c r="AC792" s="118"/>
      <c r="AD792" s="118"/>
      <c r="AE792" s="118"/>
      <c r="AF792" s="118"/>
      <c r="AG792" s="118"/>
      <c r="AH792" s="118"/>
      <c r="AI792" s="118"/>
      <c r="AJ792" s="118"/>
      <c r="AL792" s="7"/>
    </row>
    <row r="793" spans="1:38" ht="12.75" customHeight="1">
      <c r="A793" s="71"/>
      <c r="Y793" s="118"/>
      <c r="Z793" s="118"/>
      <c r="AA793" s="118"/>
      <c r="AB793" s="118"/>
      <c r="AC793" s="118"/>
      <c r="AD793" s="118"/>
      <c r="AE793" s="118"/>
      <c r="AF793" s="118"/>
      <c r="AG793" s="118"/>
      <c r="AH793" s="118"/>
      <c r="AI793" s="118"/>
      <c r="AJ793" s="118"/>
      <c r="AL793" s="7"/>
    </row>
    <row r="794" spans="1:38" ht="12.75" customHeight="1">
      <c r="A794" s="71"/>
      <c r="Y794" s="118"/>
      <c r="Z794" s="118"/>
      <c r="AA794" s="118"/>
      <c r="AB794" s="118"/>
      <c r="AC794" s="118"/>
      <c r="AD794" s="118"/>
      <c r="AE794" s="118"/>
      <c r="AF794" s="118"/>
      <c r="AG794" s="118"/>
      <c r="AH794" s="118"/>
      <c r="AI794" s="118"/>
      <c r="AJ794" s="118"/>
      <c r="AL794" s="7"/>
    </row>
    <row r="795" spans="1:38" ht="12.75" customHeight="1">
      <c r="A795" s="71"/>
      <c r="Y795" s="118"/>
      <c r="Z795" s="118"/>
      <c r="AA795" s="118"/>
      <c r="AB795" s="118"/>
      <c r="AC795" s="118"/>
      <c r="AD795" s="118"/>
      <c r="AE795" s="118"/>
      <c r="AF795" s="118"/>
      <c r="AG795" s="118"/>
      <c r="AH795" s="118"/>
      <c r="AI795" s="118"/>
      <c r="AJ795" s="118"/>
      <c r="AL795" s="7"/>
    </row>
    <row r="796" spans="1:38" ht="12.75" customHeight="1">
      <c r="A796" s="71"/>
      <c r="Y796" s="118"/>
      <c r="Z796" s="118"/>
      <c r="AA796" s="118"/>
      <c r="AB796" s="118"/>
      <c r="AC796" s="118"/>
      <c r="AD796" s="118"/>
      <c r="AE796" s="118"/>
      <c r="AF796" s="118"/>
      <c r="AG796" s="118"/>
      <c r="AH796" s="118"/>
      <c r="AI796" s="118"/>
      <c r="AJ796" s="118"/>
      <c r="AL796" s="7"/>
    </row>
    <row r="797" spans="1:38" ht="12.75" customHeight="1">
      <c r="A797" s="71"/>
      <c r="Y797" s="118"/>
      <c r="Z797" s="118"/>
      <c r="AA797" s="118"/>
      <c r="AB797" s="118"/>
      <c r="AC797" s="118"/>
      <c r="AD797" s="118"/>
      <c r="AE797" s="118"/>
      <c r="AF797" s="118"/>
      <c r="AG797" s="118"/>
      <c r="AH797" s="118"/>
      <c r="AI797" s="118"/>
      <c r="AJ797" s="118"/>
      <c r="AL797" s="7"/>
    </row>
    <row r="798" spans="1:38" ht="12.75" customHeight="1">
      <c r="A798" s="71"/>
      <c r="Y798" s="118"/>
      <c r="Z798" s="118"/>
      <c r="AA798" s="118"/>
      <c r="AB798" s="118"/>
      <c r="AC798" s="118"/>
      <c r="AD798" s="118"/>
      <c r="AE798" s="118"/>
      <c r="AF798" s="118"/>
      <c r="AG798" s="118"/>
      <c r="AH798" s="118"/>
      <c r="AI798" s="118"/>
      <c r="AJ798" s="118"/>
      <c r="AL798" s="7"/>
    </row>
    <row r="799" spans="1:38" ht="12.75" customHeight="1">
      <c r="A799" s="71"/>
      <c r="Y799" s="118"/>
      <c r="Z799" s="118"/>
      <c r="AA799" s="118"/>
      <c r="AB799" s="118"/>
      <c r="AC799" s="118"/>
      <c r="AD799" s="118"/>
      <c r="AE799" s="118"/>
      <c r="AF799" s="118"/>
      <c r="AG799" s="118"/>
      <c r="AH799" s="118"/>
      <c r="AI799" s="118"/>
      <c r="AJ799" s="118"/>
      <c r="AL799" s="7"/>
    </row>
    <row r="800" spans="1:38" ht="12.75" customHeight="1">
      <c r="A800" s="71"/>
      <c r="Y800" s="118"/>
      <c r="Z800" s="118"/>
      <c r="AA800" s="118"/>
      <c r="AB800" s="118"/>
      <c r="AC800" s="118"/>
      <c r="AD800" s="118"/>
      <c r="AE800" s="118"/>
      <c r="AF800" s="118"/>
      <c r="AG800" s="118"/>
      <c r="AH800" s="118"/>
      <c r="AI800" s="118"/>
      <c r="AJ800" s="118"/>
      <c r="AL800" s="7"/>
    </row>
    <row r="801" spans="1:38" ht="12.75" customHeight="1">
      <c r="A801" s="71"/>
      <c r="Y801" s="118"/>
      <c r="Z801" s="118"/>
      <c r="AA801" s="118"/>
      <c r="AB801" s="118"/>
      <c r="AC801" s="118"/>
      <c r="AD801" s="118"/>
      <c r="AE801" s="118"/>
      <c r="AF801" s="118"/>
      <c r="AG801" s="118"/>
      <c r="AH801" s="118"/>
      <c r="AI801" s="118"/>
      <c r="AJ801" s="118"/>
      <c r="AL801" s="7"/>
    </row>
    <row r="802" spans="1:38" ht="12.75" customHeight="1">
      <c r="A802" s="71"/>
      <c r="Y802" s="118"/>
      <c r="Z802" s="118"/>
      <c r="AA802" s="118"/>
      <c r="AB802" s="118"/>
      <c r="AC802" s="118"/>
      <c r="AD802" s="118"/>
      <c r="AE802" s="118"/>
      <c r="AF802" s="118"/>
      <c r="AG802" s="118"/>
      <c r="AH802" s="118"/>
      <c r="AI802" s="118"/>
      <c r="AJ802" s="118"/>
      <c r="AL802" s="7"/>
    </row>
    <row r="803" spans="1:38" ht="12.75" customHeight="1">
      <c r="A803" s="71"/>
      <c r="Y803" s="118"/>
      <c r="Z803" s="118"/>
      <c r="AA803" s="118"/>
      <c r="AB803" s="118"/>
      <c r="AC803" s="118"/>
      <c r="AD803" s="118"/>
      <c r="AE803" s="118"/>
      <c r="AF803" s="118"/>
      <c r="AG803" s="118"/>
      <c r="AH803" s="118"/>
      <c r="AI803" s="118"/>
      <c r="AJ803" s="118"/>
      <c r="AL803" s="7"/>
    </row>
    <row r="804" spans="1:38" ht="12.75" customHeight="1">
      <c r="A804" s="71"/>
      <c r="Y804" s="118"/>
      <c r="Z804" s="118"/>
      <c r="AA804" s="118"/>
      <c r="AB804" s="118"/>
      <c r="AC804" s="118"/>
      <c r="AD804" s="118"/>
      <c r="AE804" s="118"/>
      <c r="AF804" s="118"/>
      <c r="AG804" s="118"/>
      <c r="AH804" s="118"/>
      <c r="AI804" s="118"/>
      <c r="AJ804" s="118"/>
      <c r="AL804" s="7"/>
    </row>
    <row r="805" spans="1:38" ht="12.75" customHeight="1">
      <c r="A805" s="71"/>
      <c r="Y805" s="118"/>
      <c r="Z805" s="118"/>
      <c r="AA805" s="118"/>
      <c r="AB805" s="118"/>
      <c r="AC805" s="118"/>
      <c r="AD805" s="118"/>
      <c r="AE805" s="118"/>
      <c r="AF805" s="118"/>
      <c r="AG805" s="118"/>
      <c r="AH805" s="118"/>
      <c r="AI805" s="118"/>
      <c r="AJ805" s="118"/>
      <c r="AL805" s="7"/>
    </row>
    <row r="806" spans="1:38" ht="12.75" customHeight="1">
      <c r="A806" s="71"/>
      <c r="Y806" s="118"/>
      <c r="Z806" s="118"/>
      <c r="AA806" s="118"/>
      <c r="AB806" s="118"/>
      <c r="AC806" s="118"/>
      <c r="AD806" s="118"/>
      <c r="AE806" s="118"/>
      <c r="AF806" s="118"/>
      <c r="AG806" s="118"/>
      <c r="AH806" s="118"/>
      <c r="AI806" s="118"/>
      <c r="AJ806" s="118"/>
      <c r="AL806" s="7"/>
    </row>
    <row r="807" spans="1:38" ht="12.75" customHeight="1">
      <c r="A807" s="71"/>
      <c r="Y807" s="118"/>
      <c r="Z807" s="118"/>
      <c r="AA807" s="118"/>
      <c r="AB807" s="118"/>
      <c r="AC807" s="118"/>
      <c r="AD807" s="118"/>
      <c r="AE807" s="118"/>
      <c r="AF807" s="118"/>
      <c r="AG807" s="118"/>
      <c r="AH807" s="118"/>
      <c r="AI807" s="118"/>
      <c r="AJ807" s="118"/>
      <c r="AL807" s="7"/>
    </row>
    <row r="808" spans="1:38" ht="12.75" customHeight="1">
      <c r="A808" s="71"/>
      <c r="Y808" s="118"/>
      <c r="Z808" s="118"/>
      <c r="AA808" s="118"/>
      <c r="AB808" s="118"/>
      <c r="AC808" s="118"/>
      <c r="AD808" s="118"/>
      <c r="AE808" s="118"/>
      <c r="AF808" s="118"/>
      <c r="AG808" s="118"/>
      <c r="AH808" s="118"/>
      <c r="AI808" s="118"/>
      <c r="AJ808" s="118"/>
      <c r="AL808" s="7"/>
    </row>
    <row r="809" spans="1:38" ht="12.75" customHeight="1">
      <c r="A809" s="71"/>
      <c r="Y809" s="118"/>
      <c r="Z809" s="118"/>
      <c r="AA809" s="118"/>
      <c r="AB809" s="118"/>
      <c r="AC809" s="118"/>
      <c r="AD809" s="118"/>
      <c r="AE809" s="118"/>
      <c r="AF809" s="118"/>
      <c r="AG809" s="118"/>
      <c r="AH809" s="118"/>
      <c r="AI809" s="118"/>
      <c r="AJ809" s="118"/>
      <c r="AL809" s="7"/>
    </row>
    <row r="810" spans="1:38" ht="12.75" customHeight="1">
      <c r="A810" s="71"/>
      <c r="Y810" s="118"/>
      <c r="Z810" s="118"/>
      <c r="AA810" s="118"/>
      <c r="AB810" s="118"/>
      <c r="AC810" s="118"/>
      <c r="AD810" s="118"/>
      <c r="AE810" s="118"/>
      <c r="AF810" s="118"/>
      <c r="AG810" s="118"/>
      <c r="AH810" s="118"/>
      <c r="AI810" s="118"/>
      <c r="AJ810" s="118"/>
      <c r="AL810" s="7"/>
    </row>
    <row r="811" spans="1:38" ht="12.75" customHeight="1">
      <c r="A811" s="71"/>
      <c r="Y811" s="118"/>
      <c r="Z811" s="118"/>
      <c r="AA811" s="118"/>
      <c r="AB811" s="118"/>
      <c r="AC811" s="118"/>
      <c r="AD811" s="118"/>
      <c r="AE811" s="118"/>
      <c r="AF811" s="118"/>
      <c r="AG811" s="118"/>
      <c r="AH811" s="118"/>
      <c r="AI811" s="118"/>
      <c r="AJ811" s="118"/>
      <c r="AL811" s="7"/>
    </row>
    <row r="812" spans="1:38" ht="12.75" customHeight="1">
      <c r="A812" s="71"/>
      <c r="Y812" s="118"/>
      <c r="Z812" s="118"/>
      <c r="AA812" s="118"/>
      <c r="AB812" s="118"/>
      <c r="AC812" s="118"/>
      <c r="AD812" s="118"/>
      <c r="AE812" s="118"/>
      <c r="AF812" s="118"/>
      <c r="AG812" s="118"/>
      <c r="AH812" s="118"/>
      <c r="AI812" s="118"/>
      <c r="AJ812" s="118"/>
      <c r="AL812" s="7"/>
    </row>
    <row r="813" spans="1:38" ht="12.75" customHeight="1">
      <c r="A813" s="71"/>
      <c r="Y813" s="118"/>
      <c r="Z813" s="118"/>
      <c r="AA813" s="118"/>
      <c r="AB813" s="118"/>
      <c r="AC813" s="118"/>
      <c r="AD813" s="118"/>
      <c r="AE813" s="118"/>
      <c r="AF813" s="118"/>
      <c r="AG813" s="118"/>
      <c r="AH813" s="118"/>
      <c r="AI813" s="118"/>
      <c r="AJ813" s="118"/>
      <c r="AL813" s="7"/>
    </row>
    <row r="814" spans="1:38" ht="12.75" customHeight="1">
      <c r="A814" s="71"/>
      <c r="Y814" s="118"/>
      <c r="Z814" s="118"/>
      <c r="AA814" s="118"/>
      <c r="AB814" s="118"/>
      <c r="AC814" s="118"/>
      <c r="AD814" s="118"/>
      <c r="AE814" s="118"/>
      <c r="AF814" s="118"/>
      <c r="AG814" s="118"/>
      <c r="AH814" s="118"/>
      <c r="AI814" s="118"/>
      <c r="AJ814" s="118"/>
      <c r="AL814" s="7"/>
    </row>
    <row r="815" spans="1:38" ht="12.75" customHeight="1">
      <c r="A815" s="71"/>
      <c r="Y815" s="118"/>
      <c r="Z815" s="118"/>
      <c r="AA815" s="118"/>
      <c r="AB815" s="118"/>
      <c r="AC815" s="118"/>
      <c r="AD815" s="118"/>
      <c r="AE815" s="118"/>
      <c r="AF815" s="118"/>
      <c r="AG815" s="118"/>
      <c r="AH815" s="118"/>
      <c r="AI815" s="118"/>
      <c r="AJ815" s="118"/>
      <c r="AL815" s="7"/>
    </row>
    <row r="816" spans="1:38" ht="12.75" customHeight="1">
      <c r="A816" s="71"/>
      <c r="Y816" s="118"/>
      <c r="Z816" s="118"/>
      <c r="AA816" s="118"/>
      <c r="AB816" s="118"/>
      <c r="AC816" s="118"/>
      <c r="AD816" s="118"/>
      <c r="AE816" s="118"/>
      <c r="AF816" s="118"/>
      <c r="AG816" s="118"/>
      <c r="AH816" s="118"/>
      <c r="AI816" s="118"/>
      <c r="AJ816" s="118"/>
      <c r="AL816" s="7"/>
    </row>
    <row r="817" spans="1:38" ht="12.75" customHeight="1">
      <c r="A817" s="71"/>
      <c r="Y817" s="118"/>
      <c r="Z817" s="118"/>
      <c r="AA817" s="118"/>
      <c r="AB817" s="118"/>
      <c r="AC817" s="118"/>
      <c r="AD817" s="118"/>
      <c r="AE817" s="118"/>
      <c r="AF817" s="118"/>
      <c r="AG817" s="118"/>
      <c r="AH817" s="118"/>
      <c r="AI817" s="118"/>
      <c r="AJ817" s="118"/>
      <c r="AL817" s="7"/>
    </row>
    <row r="818" spans="1:38" ht="12.75" customHeight="1">
      <c r="A818" s="71"/>
      <c r="Y818" s="118"/>
      <c r="Z818" s="118"/>
      <c r="AA818" s="118"/>
      <c r="AB818" s="118"/>
      <c r="AC818" s="118"/>
      <c r="AD818" s="118"/>
      <c r="AE818" s="118"/>
      <c r="AF818" s="118"/>
      <c r="AG818" s="118"/>
      <c r="AH818" s="118"/>
      <c r="AI818" s="118"/>
      <c r="AJ818" s="118"/>
      <c r="AL818" s="7"/>
    </row>
    <row r="819" spans="1:38" ht="12.75" customHeight="1">
      <c r="A819" s="71"/>
      <c r="Y819" s="118"/>
      <c r="Z819" s="118"/>
      <c r="AA819" s="118"/>
      <c r="AB819" s="118"/>
      <c r="AC819" s="118"/>
      <c r="AD819" s="118"/>
      <c r="AE819" s="118"/>
      <c r="AF819" s="118"/>
      <c r="AG819" s="118"/>
      <c r="AH819" s="118"/>
      <c r="AI819" s="118"/>
      <c r="AJ819" s="118"/>
      <c r="AL819" s="7"/>
    </row>
    <row r="820" spans="1:38" ht="12.75" customHeight="1">
      <c r="A820" s="71"/>
      <c r="Y820" s="118"/>
      <c r="Z820" s="118"/>
      <c r="AA820" s="118"/>
      <c r="AB820" s="118"/>
      <c r="AC820" s="118"/>
      <c r="AD820" s="118"/>
      <c r="AE820" s="118"/>
      <c r="AF820" s="118"/>
      <c r="AG820" s="118"/>
      <c r="AH820" s="118"/>
      <c r="AI820" s="118"/>
      <c r="AJ820" s="118"/>
      <c r="AL820" s="7"/>
    </row>
    <row r="821" spans="1:38" ht="12.75" customHeight="1">
      <c r="A821" s="71"/>
      <c r="Y821" s="118"/>
      <c r="Z821" s="118"/>
      <c r="AA821" s="118"/>
      <c r="AB821" s="118"/>
      <c r="AC821" s="118"/>
      <c r="AD821" s="118"/>
      <c r="AE821" s="118"/>
      <c r="AF821" s="118"/>
      <c r="AG821" s="118"/>
      <c r="AH821" s="118"/>
      <c r="AI821" s="118"/>
      <c r="AJ821" s="118"/>
      <c r="AL821" s="7"/>
    </row>
    <row r="822" spans="1:38" ht="12.75" customHeight="1">
      <c r="A822" s="71"/>
      <c r="Y822" s="118"/>
      <c r="Z822" s="118"/>
      <c r="AA822" s="118"/>
      <c r="AB822" s="118"/>
      <c r="AC822" s="118"/>
      <c r="AD822" s="118"/>
      <c r="AE822" s="118"/>
      <c r="AF822" s="118"/>
      <c r="AG822" s="118"/>
      <c r="AH822" s="118"/>
      <c r="AI822" s="118"/>
      <c r="AJ822" s="118"/>
      <c r="AL822" s="7"/>
    </row>
    <row r="823" spans="1:38" ht="12.75" customHeight="1">
      <c r="A823" s="71"/>
      <c r="Y823" s="118"/>
      <c r="Z823" s="118"/>
      <c r="AA823" s="118"/>
      <c r="AB823" s="118"/>
      <c r="AC823" s="118"/>
      <c r="AD823" s="118"/>
      <c r="AE823" s="118"/>
      <c r="AF823" s="118"/>
      <c r="AG823" s="118"/>
      <c r="AH823" s="118"/>
      <c r="AI823" s="118"/>
      <c r="AJ823" s="118"/>
      <c r="AL823" s="7"/>
    </row>
    <row r="824" spans="1:38" ht="12.75" customHeight="1">
      <c r="A824" s="71"/>
      <c r="Y824" s="118"/>
      <c r="Z824" s="118"/>
      <c r="AA824" s="118"/>
      <c r="AB824" s="118"/>
      <c r="AC824" s="118"/>
      <c r="AD824" s="118"/>
      <c r="AE824" s="118"/>
      <c r="AF824" s="118"/>
      <c r="AG824" s="118"/>
      <c r="AH824" s="118"/>
      <c r="AI824" s="118"/>
      <c r="AJ824" s="118"/>
      <c r="AL824" s="7"/>
    </row>
    <row r="825" spans="1:38" ht="12.75" customHeight="1">
      <c r="A825" s="71"/>
      <c r="Y825" s="118"/>
      <c r="Z825" s="118"/>
      <c r="AA825" s="118"/>
      <c r="AB825" s="118"/>
      <c r="AC825" s="118"/>
      <c r="AD825" s="118"/>
      <c r="AE825" s="118"/>
      <c r="AF825" s="118"/>
      <c r="AG825" s="118"/>
      <c r="AH825" s="118"/>
      <c r="AI825" s="118"/>
      <c r="AJ825" s="118"/>
      <c r="AL825" s="7"/>
    </row>
    <row r="826" spans="1:38" ht="12.75" customHeight="1">
      <c r="A826" s="71"/>
      <c r="Y826" s="118"/>
      <c r="Z826" s="118"/>
      <c r="AA826" s="118"/>
      <c r="AB826" s="118"/>
      <c r="AC826" s="118"/>
      <c r="AD826" s="118"/>
      <c r="AE826" s="118"/>
      <c r="AF826" s="118"/>
      <c r="AG826" s="118"/>
      <c r="AH826" s="118"/>
      <c r="AI826" s="118"/>
      <c r="AJ826" s="118"/>
      <c r="AL826" s="7"/>
    </row>
    <row r="827" spans="1:38" ht="12.75" customHeight="1">
      <c r="A827" s="71"/>
      <c r="Y827" s="118"/>
      <c r="Z827" s="118"/>
      <c r="AA827" s="118"/>
      <c r="AB827" s="118"/>
      <c r="AC827" s="118"/>
      <c r="AD827" s="118"/>
      <c r="AE827" s="118"/>
      <c r="AF827" s="118"/>
      <c r="AG827" s="118"/>
      <c r="AH827" s="118"/>
      <c r="AI827" s="118"/>
      <c r="AJ827" s="118"/>
      <c r="AL827" s="7"/>
    </row>
    <row r="828" spans="1:38" ht="12.75" customHeight="1">
      <c r="A828" s="71"/>
      <c r="Y828" s="118"/>
      <c r="Z828" s="118"/>
      <c r="AA828" s="118"/>
      <c r="AB828" s="118"/>
      <c r="AC828" s="118"/>
      <c r="AD828" s="118"/>
      <c r="AE828" s="118"/>
      <c r="AF828" s="118"/>
      <c r="AG828" s="118"/>
      <c r="AH828" s="118"/>
      <c r="AI828" s="118"/>
      <c r="AJ828" s="118"/>
      <c r="AL828" s="7"/>
    </row>
    <row r="829" spans="1:38" ht="12.75" customHeight="1">
      <c r="A829" s="71"/>
      <c r="Y829" s="118"/>
      <c r="Z829" s="118"/>
      <c r="AA829" s="118"/>
      <c r="AB829" s="118"/>
      <c r="AC829" s="118"/>
      <c r="AD829" s="118"/>
      <c r="AE829" s="118"/>
      <c r="AF829" s="118"/>
      <c r="AG829" s="118"/>
      <c r="AH829" s="118"/>
      <c r="AI829" s="118"/>
      <c r="AJ829" s="118"/>
      <c r="AL829" s="7"/>
    </row>
    <row r="830" spans="1:38" ht="12.75" customHeight="1">
      <c r="A830" s="71"/>
      <c r="Y830" s="118"/>
      <c r="Z830" s="118"/>
      <c r="AA830" s="118"/>
      <c r="AB830" s="118"/>
      <c r="AC830" s="118"/>
      <c r="AD830" s="118"/>
      <c r="AE830" s="118"/>
      <c r="AF830" s="118"/>
      <c r="AG830" s="118"/>
      <c r="AH830" s="118"/>
      <c r="AI830" s="118"/>
      <c r="AJ830" s="118"/>
      <c r="AL830" s="7"/>
    </row>
    <row r="831" spans="1:38" ht="12.75" customHeight="1">
      <c r="A831" s="71"/>
      <c r="Y831" s="118"/>
      <c r="Z831" s="118"/>
      <c r="AA831" s="118"/>
      <c r="AB831" s="118"/>
      <c r="AC831" s="118"/>
      <c r="AD831" s="118"/>
      <c r="AE831" s="118"/>
      <c r="AF831" s="118"/>
      <c r="AG831" s="118"/>
      <c r="AH831" s="118"/>
      <c r="AI831" s="118"/>
      <c r="AJ831" s="118"/>
      <c r="AL831" s="7"/>
    </row>
    <row r="832" spans="1:38" ht="12.75" customHeight="1">
      <c r="A832" s="71"/>
      <c r="Y832" s="118"/>
      <c r="Z832" s="118"/>
      <c r="AA832" s="118"/>
      <c r="AB832" s="118"/>
      <c r="AC832" s="118"/>
      <c r="AD832" s="118"/>
      <c r="AE832" s="118"/>
      <c r="AF832" s="118"/>
      <c r="AG832" s="118"/>
      <c r="AH832" s="118"/>
      <c r="AI832" s="118"/>
      <c r="AJ832" s="118"/>
      <c r="AL832" s="7"/>
    </row>
    <row r="833" spans="1:38" ht="12.75" customHeight="1">
      <c r="A833" s="71"/>
      <c r="Y833" s="118"/>
      <c r="Z833" s="118"/>
      <c r="AA833" s="118"/>
      <c r="AB833" s="118"/>
      <c r="AC833" s="118"/>
      <c r="AD833" s="118"/>
      <c r="AE833" s="118"/>
      <c r="AF833" s="118"/>
      <c r="AG833" s="118"/>
      <c r="AH833" s="118"/>
      <c r="AI833" s="118"/>
      <c r="AJ833" s="118"/>
      <c r="AL833" s="7"/>
    </row>
    <row r="834" spans="1:38" ht="12.75" customHeight="1">
      <c r="A834" s="71"/>
      <c r="Y834" s="118"/>
      <c r="Z834" s="118"/>
      <c r="AA834" s="118"/>
      <c r="AB834" s="118"/>
      <c r="AC834" s="118"/>
      <c r="AD834" s="118"/>
      <c r="AE834" s="118"/>
      <c r="AF834" s="118"/>
      <c r="AG834" s="118"/>
      <c r="AH834" s="118"/>
      <c r="AI834" s="118"/>
      <c r="AJ834" s="118"/>
      <c r="AL834" s="7"/>
    </row>
    <row r="835" spans="1:38" ht="12.75" customHeight="1">
      <c r="A835" s="71"/>
      <c r="Y835" s="118"/>
      <c r="Z835" s="118"/>
      <c r="AA835" s="118"/>
      <c r="AB835" s="118"/>
      <c r="AC835" s="118"/>
      <c r="AD835" s="118"/>
      <c r="AE835" s="118"/>
      <c r="AF835" s="118"/>
      <c r="AG835" s="118"/>
      <c r="AH835" s="118"/>
      <c r="AI835" s="118"/>
      <c r="AJ835" s="118"/>
      <c r="AL835" s="7"/>
    </row>
    <row r="836" spans="1:38" ht="12.75" customHeight="1">
      <c r="A836" s="71"/>
      <c r="Y836" s="118"/>
      <c r="Z836" s="118"/>
      <c r="AA836" s="118"/>
      <c r="AB836" s="118"/>
      <c r="AC836" s="118"/>
      <c r="AD836" s="118"/>
      <c r="AE836" s="118"/>
      <c r="AF836" s="118"/>
      <c r="AG836" s="118"/>
      <c r="AH836" s="118"/>
      <c r="AI836" s="118"/>
      <c r="AJ836" s="118"/>
      <c r="AL836" s="7"/>
    </row>
    <row r="837" spans="1:38" ht="12.75" customHeight="1">
      <c r="A837" s="71"/>
      <c r="Y837" s="118"/>
      <c r="Z837" s="118"/>
      <c r="AA837" s="118"/>
      <c r="AB837" s="118"/>
      <c r="AC837" s="118"/>
      <c r="AD837" s="118"/>
      <c r="AE837" s="118"/>
      <c r="AF837" s="118"/>
      <c r="AG837" s="118"/>
      <c r="AH837" s="118"/>
      <c r="AI837" s="118"/>
      <c r="AJ837" s="118"/>
      <c r="AL837" s="7"/>
    </row>
    <row r="838" spans="1:38" ht="12.75" customHeight="1">
      <c r="A838" s="71"/>
      <c r="Y838" s="118"/>
      <c r="Z838" s="118"/>
      <c r="AA838" s="118"/>
      <c r="AB838" s="118"/>
      <c r="AC838" s="118"/>
      <c r="AD838" s="118"/>
      <c r="AE838" s="118"/>
      <c r="AF838" s="118"/>
      <c r="AG838" s="118"/>
      <c r="AH838" s="118"/>
      <c r="AI838" s="118"/>
      <c r="AJ838" s="118"/>
      <c r="AL838" s="7"/>
    </row>
    <row r="839" spans="1:38" ht="12.75" customHeight="1">
      <c r="A839" s="71"/>
      <c r="Y839" s="118"/>
      <c r="Z839" s="118"/>
      <c r="AA839" s="118"/>
      <c r="AB839" s="118"/>
      <c r="AC839" s="118"/>
      <c r="AD839" s="118"/>
      <c r="AE839" s="118"/>
      <c r="AF839" s="118"/>
      <c r="AG839" s="118"/>
      <c r="AH839" s="118"/>
      <c r="AI839" s="118"/>
      <c r="AJ839" s="118"/>
      <c r="AL839" s="7"/>
    </row>
    <row r="840" spans="1:38" ht="12.75" customHeight="1">
      <c r="A840" s="71"/>
      <c r="Y840" s="118"/>
      <c r="Z840" s="118"/>
      <c r="AA840" s="118"/>
      <c r="AB840" s="118"/>
      <c r="AC840" s="118"/>
      <c r="AD840" s="118"/>
      <c r="AE840" s="118"/>
      <c r="AF840" s="118"/>
      <c r="AG840" s="118"/>
      <c r="AH840" s="118"/>
      <c r="AI840" s="118"/>
      <c r="AJ840" s="118"/>
      <c r="AL840" s="7"/>
    </row>
    <row r="841" spans="1:38" ht="12.75" customHeight="1">
      <c r="A841" s="71"/>
      <c r="Y841" s="118"/>
      <c r="Z841" s="118"/>
      <c r="AA841" s="118"/>
      <c r="AB841" s="118"/>
      <c r="AC841" s="118"/>
      <c r="AD841" s="118"/>
      <c r="AE841" s="118"/>
      <c r="AF841" s="118"/>
      <c r="AG841" s="118"/>
      <c r="AH841" s="118"/>
      <c r="AI841" s="118"/>
      <c r="AJ841" s="118"/>
      <c r="AL841" s="7"/>
    </row>
    <row r="842" spans="1:38" ht="12.75" customHeight="1">
      <c r="A842" s="71"/>
      <c r="Y842" s="118"/>
      <c r="Z842" s="118"/>
      <c r="AA842" s="118"/>
      <c r="AB842" s="118"/>
      <c r="AC842" s="118"/>
      <c r="AD842" s="118"/>
      <c r="AE842" s="118"/>
      <c r="AF842" s="118"/>
      <c r="AG842" s="118"/>
      <c r="AH842" s="118"/>
      <c r="AI842" s="118"/>
      <c r="AJ842" s="118"/>
      <c r="AL842" s="7"/>
    </row>
    <row r="843" spans="1:38" ht="12.75" customHeight="1">
      <c r="A843" s="71"/>
      <c r="Y843" s="118"/>
      <c r="Z843" s="118"/>
      <c r="AA843" s="118"/>
      <c r="AB843" s="118"/>
      <c r="AC843" s="118"/>
      <c r="AD843" s="118"/>
      <c r="AE843" s="118"/>
      <c r="AF843" s="118"/>
      <c r="AG843" s="118"/>
      <c r="AH843" s="118"/>
      <c r="AI843" s="118"/>
      <c r="AJ843" s="118"/>
      <c r="AL843" s="7"/>
    </row>
    <row r="844" spans="1:38" ht="12.75" customHeight="1">
      <c r="A844" s="71"/>
      <c r="Y844" s="118"/>
      <c r="Z844" s="118"/>
      <c r="AA844" s="118"/>
      <c r="AB844" s="118"/>
      <c r="AC844" s="118"/>
      <c r="AD844" s="118"/>
      <c r="AE844" s="118"/>
      <c r="AF844" s="118"/>
      <c r="AG844" s="118"/>
      <c r="AH844" s="118"/>
      <c r="AI844" s="118"/>
      <c r="AJ844" s="118"/>
      <c r="AL844" s="7"/>
    </row>
    <row r="845" spans="1:38" ht="12.75" customHeight="1">
      <c r="A845" s="71"/>
      <c r="Y845" s="118"/>
      <c r="Z845" s="118"/>
      <c r="AA845" s="118"/>
      <c r="AB845" s="118"/>
      <c r="AC845" s="118"/>
      <c r="AD845" s="118"/>
      <c r="AE845" s="118"/>
      <c r="AF845" s="118"/>
      <c r="AG845" s="118"/>
      <c r="AH845" s="118"/>
      <c r="AI845" s="118"/>
      <c r="AJ845" s="118"/>
      <c r="AL845" s="7"/>
    </row>
    <row r="846" spans="1:38" ht="12.75" customHeight="1">
      <c r="A846" s="71"/>
      <c r="Y846" s="118"/>
      <c r="Z846" s="118"/>
      <c r="AA846" s="118"/>
      <c r="AB846" s="118"/>
      <c r="AC846" s="118"/>
      <c r="AD846" s="118"/>
      <c r="AE846" s="118"/>
      <c r="AF846" s="118"/>
      <c r="AG846" s="118"/>
      <c r="AH846" s="118"/>
      <c r="AI846" s="118"/>
      <c r="AJ846" s="118"/>
      <c r="AL846" s="7"/>
    </row>
    <row r="847" spans="1:38" ht="12.75" customHeight="1">
      <c r="A847" s="71"/>
      <c r="Y847" s="118"/>
      <c r="Z847" s="118"/>
      <c r="AA847" s="118"/>
      <c r="AB847" s="118"/>
      <c r="AC847" s="118"/>
      <c r="AD847" s="118"/>
      <c r="AE847" s="118"/>
      <c r="AF847" s="118"/>
      <c r="AG847" s="118"/>
      <c r="AH847" s="118"/>
      <c r="AI847" s="118"/>
      <c r="AJ847" s="118"/>
      <c r="AL847" s="7"/>
    </row>
    <row r="848" spans="1:38" ht="12.75" customHeight="1">
      <c r="A848" s="71"/>
      <c r="Y848" s="118"/>
      <c r="Z848" s="118"/>
      <c r="AA848" s="118"/>
      <c r="AB848" s="118"/>
      <c r="AC848" s="118"/>
      <c r="AD848" s="118"/>
      <c r="AE848" s="118"/>
      <c r="AF848" s="118"/>
      <c r="AG848" s="118"/>
      <c r="AH848" s="118"/>
      <c r="AI848" s="118"/>
      <c r="AJ848" s="118"/>
      <c r="AL848" s="7"/>
    </row>
    <row r="849" spans="1:38" ht="12.75" customHeight="1">
      <c r="A849" s="71"/>
      <c r="Y849" s="118"/>
      <c r="Z849" s="118"/>
      <c r="AA849" s="118"/>
      <c r="AB849" s="118"/>
      <c r="AC849" s="118"/>
      <c r="AD849" s="118"/>
      <c r="AE849" s="118"/>
      <c r="AF849" s="118"/>
      <c r="AG849" s="118"/>
      <c r="AH849" s="118"/>
      <c r="AI849" s="118"/>
      <c r="AJ849" s="118"/>
      <c r="AL849" s="7"/>
    </row>
    <row r="850" spans="1:38" ht="12.75" customHeight="1">
      <c r="A850" s="71"/>
      <c r="Y850" s="118"/>
      <c r="Z850" s="118"/>
      <c r="AA850" s="118"/>
      <c r="AB850" s="118"/>
      <c r="AC850" s="118"/>
      <c r="AD850" s="118"/>
      <c r="AE850" s="118"/>
      <c r="AF850" s="118"/>
      <c r="AG850" s="118"/>
      <c r="AH850" s="118"/>
      <c r="AI850" s="118"/>
      <c r="AJ850" s="118"/>
      <c r="AL850" s="7"/>
    </row>
    <row r="851" spans="1:38" ht="12.75" customHeight="1">
      <c r="A851" s="71"/>
      <c r="Y851" s="118"/>
      <c r="Z851" s="118"/>
      <c r="AA851" s="118"/>
      <c r="AB851" s="118"/>
      <c r="AC851" s="118"/>
      <c r="AD851" s="118"/>
      <c r="AE851" s="118"/>
      <c r="AF851" s="118"/>
      <c r="AG851" s="118"/>
      <c r="AH851" s="118"/>
      <c r="AI851" s="118"/>
      <c r="AJ851" s="118"/>
      <c r="AL851" s="7"/>
    </row>
    <row r="852" spans="1:38" ht="12.75" customHeight="1">
      <c r="A852" s="71"/>
      <c r="Y852" s="118"/>
      <c r="Z852" s="118"/>
      <c r="AA852" s="118"/>
      <c r="AB852" s="118"/>
      <c r="AC852" s="118"/>
      <c r="AD852" s="118"/>
      <c r="AE852" s="118"/>
      <c r="AF852" s="118"/>
      <c r="AG852" s="118"/>
      <c r="AH852" s="118"/>
      <c r="AI852" s="118"/>
      <c r="AJ852" s="118"/>
      <c r="AL852" s="7"/>
    </row>
    <row r="853" spans="1:38" ht="12.75" customHeight="1">
      <c r="A853" s="71"/>
      <c r="Y853" s="118"/>
      <c r="Z853" s="118"/>
      <c r="AA853" s="118"/>
      <c r="AB853" s="118"/>
      <c r="AC853" s="118"/>
      <c r="AD853" s="118"/>
      <c r="AE853" s="118"/>
      <c r="AF853" s="118"/>
      <c r="AG853" s="118"/>
      <c r="AH853" s="118"/>
      <c r="AI853" s="118"/>
      <c r="AJ853" s="118"/>
      <c r="AL853" s="7"/>
    </row>
    <row r="854" spans="1:38" ht="12.75" customHeight="1">
      <c r="A854" s="71"/>
      <c r="Y854" s="118"/>
      <c r="Z854" s="118"/>
      <c r="AA854" s="118"/>
      <c r="AB854" s="118"/>
      <c r="AC854" s="118"/>
      <c r="AD854" s="118"/>
      <c r="AE854" s="118"/>
      <c r="AF854" s="118"/>
      <c r="AG854" s="118"/>
      <c r="AH854" s="118"/>
      <c r="AI854" s="118"/>
      <c r="AJ854" s="118"/>
      <c r="AL854" s="7"/>
    </row>
    <row r="855" spans="1:38" ht="12.75" customHeight="1">
      <c r="A855" s="71"/>
      <c r="Y855" s="118"/>
      <c r="Z855" s="118"/>
      <c r="AA855" s="118"/>
      <c r="AB855" s="118"/>
      <c r="AC855" s="118"/>
      <c r="AD855" s="118"/>
      <c r="AE855" s="118"/>
      <c r="AF855" s="118"/>
      <c r="AG855" s="118"/>
      <c r="AH855" s="118"/>
      <c r="AI855" s="118"/>
      <c r="AJ855" s="118"/>
      <c r="AL855" s="7"/>
    </row>
    <row r="856" spans="1:38" ht="12.75" customHeight="1">
      <c r="A856" s="71"/>
      <c r="Y856" s="118"/>
      <c r="Z856" s="118"/>
      <c r="AA856" s="118"/>
      <c r="AB856" s="118"/>
      <c r="AC856" s="118"/>
      <c r="AD856" s="118"/>
      <c r="AE856" s="118"/>
      <c r="AF856" s="118"/>
      <c r="AG856" s="118"/>
      <c r="AH856" s="118"/>
      <c r="AI856" s="118"/>
      <c r="AJ856" s="118"/>
      <c r="AL856" s="7"/>
    </row>
    <row r="857" spans="1:38" ht="12.75" customHeight="1">
      <c r="A857" s="71"/>
      <c r="Y857" s="118"/>
      <c r="Z857" s="118"/>
      <c r="AA857" s="118"/>
      <c r="AB857" s="118"/>
      <c r="AC857" s="118"/>
      <c r="AD857" s="118"/>
      <c r="AE857" s="118"/>
      <c r="AF857" s="118"/>
      <c r="AG857" s="118"/>
      <c r="AH857" s="118"/>
      <c r="AI857" s="118"/>
      <c r="AJ857" s="118"/>
      <c r="AL857" s="7"/>
    </row>
    <row r="858" spans="1:38" ht="12.75" customHeight="1">
      <c r="A858" s="71"/>
      <c r="Y858" s="118"/>
      <c r="Z858" s="118"/>
      <c r="AA858" s="118"/>
      <c r="AB858" s="118"/>
      <c r="AC858" s="118"/>
      <c r="AD858" s="118"/>
      <c r="AE858" s="118"/>
      <c r="AF858" s="118"/>
      <c r="AG858" s="118"/>
      <c r="AH858" s="118"/>
      <c r="AI858" s="118"/>
      <c r="AJ858" s="118"/>
      <c r="AL858" s="7"/>
    </row>
    <row r="859" spans="1:38" ht="12.75" customHeight="1">
      <c r="A859" s="71"/>
      <c r="Y859" s="118"/>
      <c r="Z859" s="118"/>
      <c r="AA859" s="118"/>
      <c r="AB859" s="118"/>
      <c r="AC859" s="118"/>
      <c r="AD859" s="118"/>
      <c r="AE859" s="118"/>
      <c r="AF859" s="118"/>
      <c r="AG859" s="118"/>
      <c r="AH859" s="118"/>
      <c r="AI859" s="118"/>
      <c r="AJ859" s="118"/>
      <c r="AL859" s="7"/>
    </row>
    <row r="860" spans="1:38" ht="12.75" customHeight="1">
      <c r="A860" s="71"/>
      <c r="Y860" s="118"/>
      <c r="Z860" s="118"/>
      <c r="AA860" s="118"/>
      <c r="AB860" s="118"/>
      <c r="AC860" s="118"/>
      <c r="AD860" s="118"/>
      <c r="AE860" s="118"/>
      <c r="AF860" s="118"/>
      <c r="AG860" s="118"/>
      <c r="AH860" s="118"/>
      <c r="AI860" s="118"/>
      <c r="AJ860" s="118"/>
      <c r="AL860" s="7"/>
    </row>
    <row r="861" spans="1:38" ht="12.75" customHeight="1">
      <c r="A861" s="71"/>
      <c r="Y861" s="118"/>
      <c r="Z861" s="118"/>
      <c r="AA861" s="118"/>
      <c r="AB861" s="118"/>
      <c r="AC861" s="118"/>
      <c r="AD861" s="118"/>
      <c r="AE861" s="118"/>
      <c r="AF861" s="118"/>
      <c r="AG861" s="118"/>
      <c r="AH861" s="118"/>
      <c r="AI861" s="118"/>
      <c r="AJ861" s="118"/>
      <c r="AL861" s="7"/>
    </row>
    <row r="862" spans="1:38" ht="12.75" customHeight="1">
      <c r="A862" s="71"/>
      <c r="Y862" s="118"/>
      <c r="Z862" s="118"/>
      <c r="AA862" s="118"/>
      <c r="AB862" s="118"/>
      <c r="AC862" s="118"/>
      <c r="AD862" s="118"/>
      <c r="AE862" s="118"/>
      <c r="AF862" s="118"/>
      <c r="AG862" s="118"/>
      <c r="AH862" s="118"/>
      <c r="AI862" s="118"/>
      <c r="AJ862" s="118"/>
      <c r="AL862" s="7"/>
    </row>
    <row r="863" spans="1:38" ht="12.75" customHeight="1">
      <c r="A863" s="71"/>
      <c r="Y863" s="118"/>
      <c r="Z863" s="118"/>
      <c r="AA863" s="118"/>
      <c r="AB863" s="118"/>
      <c r="AC863" s="118"/>
      <c r="AD863" s="118"/>
      <c r="AE863" s="118"/>
      <c r="AF863" s="118"/>
      <c r="AG863" s="118"/>
      <c r="AH863" s="118"/>
      <c r="AI863" s="118"/>
      <c r="AJ863" s="118"/>
      <c r="AL863" s="7"/>
    </row>
    <row r="864" spans="1:38" ht="12.75" customHeight="1">
      <c r="A864" s="71"/>
      <c r="Y864" s="118"/>
      <c r="Z864" s="118"/>
      <c r="AA864" s="118"/>
      <c r="AB864" s="118"/>
      <c r="AC864" s="118"/>
      <c r="AD864" s="118"/>
      <c r="AE864" s="118"/>
      <c r="AF864" s="118"/>
      <c r="AG864" s="118"/>
      <c r="AH864" s="118"/>
      <c r="AI864" s="118"/>
      <c r="AJ864" s="118"/>
      <c r="AL864" s="7"/>
    </row>
    <row r="865" spans="1:38" ht="12.75" customHeight="1">
      <c r="A865" s="71"/>
      <c r="Y865" s="118"/>
      <c r="Z865" s="118"/>
      <c r="AA865" s="118"/>
      <c r="AB865" s="118"/>
      <c r="AC865" s="118"/>
      <c r="AD865" s="118"/>
      <c r="AE865" s="118"/>
      <c r="AF865" s="118"/>
      <c r="AG865" s="118"/>
      <c r="AH865" s="118"/>
      <c r="AI865" s="118"/>
      <c r="AJ865" s="118"/>
      <c r="AL865" s="7"/>
    </row>
    <row r="866" spans="1:38" ht="12.75" customHeight="1">
      <c r="A866" s="71"/>
      <c r="Y866" s="118"/>
      <c r="Z866" s="118"/>
      <c r="AA866" s="118"/>
      <c r="AB866" s="118"/>
      <c r="AC866" s="118"/>
      <c r="AD866" s="118"/>
      <c r="AE866" s="118"/>
      <c r="AF866" s="118"/>
      <c r="AG866" s="118"/>
      <c r="AH866" s="118"/>
      <c r="AI866" s="118"/>
      <c r="AJ866" s="118"/>
      <c r="AL866" s="7"/>
    </row>
    <row r="867" spans="1:38" ht="12.75" customHeight="1">
      <c r="A867" s="71"/>
      <c r="Y867" s="118"/>
      <c r="Z867" s="118"/>
      <c r="AA867" s="118"/>
      <c r="AB867" s="118"/>
      <c r="AC867" s="118"/>
      <c r="AD867" s="118"/>
      <c r="AE867" s="118"/>
      <c r="AF867" s="118"/>
      <c r="AG867" s="118"/>
      <c r="AH867" s="118"/>
      <c r="AI867" s="118"/>
      <c r="AJ867" s="118"/>
      <c r="AL867" s="7"/>
    </row>
    <row r="868" spans="1:38" ht="12.75" customHeight="1">
      <c r="A868" s="71"/>
      <c r="Y868" s="118"/>
      <c r="Z868" s="118"/>
      <c r="AA868" s="118"/>
      <c r="AB868" s="118"/>
      <c r="AC868" s="118"/>
      <c r="AD868" s="118"/>
      <c r="AE868" s="118"/>
      <c r="AF868" s="118"/>
      <c r="AG868" s="118"/>
      <c r="AH868" s="118"/>
      <c r="AI868" s="118"/>
      <c r="AJ868" s="118"/>
      <c r="AL868" s="7"/>
    </row>
    <row r="869" spans="1:38" ht="12.75" customHeight="1">
      <c r="A869" s="71"/>
      <c r="Y869" s="118"/>
      <c r="Z869" s="118"/>
      <c r="AA869" s="118"/>
      <c r="AB869" s="118"/>
      <c r="AC869" s="118"/>
      <c r="AD869" s="118"/>
      <c r="AE869" s="118"/>
      <c r="AF869" s="118"/>
      <c r="AG869" s="118"/>
      <c r="AH869" s="118"/>
      <c r="AI869" s="118"/>
      <c r="AJ869" s="118"/>
      <c r="AL869" s="7"/>
    </row>
    <row r="870" spans="1:38" ht="12.75" customHeight="1">
      <c r="A870" s="71"/>
      <c r="Y870" s="118"/>
      <c r="Z870" s="118"/>
      <c r="AA870" s="118"/>
      <c r="AB870" s="118"/>
      <c r="AC870" s="118"/>
      <c r="AD870" s="118"/>
      <c r="AE870" s="118"/>
      <c r="AF870" s="118"/>
      <c r="AG870" s="118"/>
      <c r="AH870" s="118"/>
      <c r="AI870" s="118"/>
      <c r="AJ870" s="118"/>
      <c r="AL870" s="7"/>
    </row>
    <row r="871" spans="1:38" ht="12.75" customHeight="1">
      <c r="A871" s="71"/>
      <c r="Y871" s="118"/>
      <c r="Z871" s="118"/>
      <c r="AA871" s="118"/>
      <c r="AB871" s="118"/>
      <c r="AC871" s="118"/>
      <c r="AD871" s="118"/>
      <c r="AE871" s="118"/>
      <c r="AF871" s="118"/>
      <c r="AG871" s="118"/>
      <c r="AH871" s="118"/>
      <c r="AI871" s="118"/>
      <c r="AJ871" s="118"/>
      <c r="AL871" s="7"/>
    </row>
    <row r="872" spans="1:38" ht="12.75" customHeight="1">
      <c r="A872" s="71"/>
      <c r="Y872" s="118"/>
      <c r="Z872" s="118"/>
      <c r="AA872" s="118"/>
      <c r="AB872" s="118"/>
      <c r="AC872" s="118"/>
      <c r="AD872" s="118"/>
      <c r="AE872" s="118"/>
      <c r="AF872" s="118"/>
      <c r="AG872" s="118"/>
      <c r="AH872" s="118"/>
      <c r="AI872" s="118"/>
      <c r="AJ872" s="118"/>
      <c r="AL872" s="7"/>
    </row>
    <row r="873" spans="1:38" ht="12.75" customHeight="1">
      <c r="A873" s="71"/>
      <c r="Y873" s="118"/>
      <c r="Z873" s="118"/>
      <c r="AA873" s="118"/>
      <c r="AB873" s="118"/>
      <c r="AC873" s="118"/>
      <c r="AD873" s="118"/>
      <c r="AE873" s="118"/>
      <c r="AF873" s="118"/>
      <c r="AG873" s="118"/>
      <c r="AH873" s="118"/>
      <c r="AI873" s="118"/>
      <c r="AJ873" s="118"/>
      <c r="AL873" s="7"/>
    </row>
    <row r="874" spans="1:38" ht="12.75" customHeight="1">
      <c r="A874" s="71"/>
      <c r="Y874" s="118"/>
      <c r="Z874" s="118"/>
      <c r="AA874" s="118"/>
      <c r="AB874" s="118"/>
      <c r="AC874" s="118"/>
      <c r="AD874" s="118"/>
      <c r="AE874" s="118"/>
      <c r="AF874" s="118"/>
      <c r="AG874" s="118"/>
      <c r="AH874" s="118"/>
      <c r="AI874" s="118"/>
      <c r="AJ874" s="118"/>
      <c r="AL874" s="7"/>
    </row>
    <row r="875" spans="1:38" ht="12.75" customHeight="1">
      <c r="A875" s="71"/>
      <c r="Y875" s="118"/>
      <c r="Z875" s="118"/>
      <c r="AA875" s="118"/>
      <c r="AB875" s="118"/>
      <c r="AC875" s="118"/>
      <c r="AD875" s="118"/>
      <c r="AE875" s="118"/>
      <c r="AF875" s="118"/>
      <c r="AG875" s="118"/>
      <c r="AH875" s="118"/>
      <c r="AI875" s="118"/>
      <c r="AJ875" s="118"/>
      <c r="AL875" s="7"/>
    </row>
    <row r="876" spans="1:38" ht="12.75" customHeight="1">
      <c r="A876" s="71"/>
      <c r="Y876" s="118"/>
      <c r="Z876" s="118"/>
      <c r="AA876" s="118"/>
      <c r="AB876" s="118"/>
      <c r="AC876" s="118"/>
      <c r="AD876" s="118"/>
      <c r="AE876" s="118"/>
      <c r="AF876" s="118"/>
      <c r="AG876" s="118"/>
      <c r="AH876" s="118"/>
      <c r="AI876" s="118"/>
      <c r="AJ876" s="118"/>
      <c r="AL876" s="7"/>
    </row>
    <row r="877" spans="1:38" ht="12.75" customHeight="1">
      <c r="A877" s="71"/>
      <c r="Y877" s="118"/>
      <c r="Z877" s="118"/>
      <c r="AA877" s="118"/>
      <c r="AB877" s="118"/>
      <c r="AC877" s="118"/>
      <c r="AD877" s="118"/>
      <c r="AE877" s="118"/>
      <c r="AF877" s="118"/>
      <c r="AG877" s="118"/>
      <c r="AH877" s="118"/>
      <c r="AI877" s="118"/>
      <c r="AJ877" s="118"/>
      <c r="AL877" s="7"/>
    </row>
    <row r="878" spans="1:38" ht="12.75" customHeight="1">
      <c r="A878" s="71"/>
      <c r="Y878" s="118"/>
      <c r="Z878" s="118"/>
      <c r="AA878" s="118"/>
      <c r="AB878" s="118"/>
      <c r="AC878" s="118"/>
      <c r="AD878" s="118"/>
      <c r="AE878" s="118"/>
      <c r="AF878" s="118"/>
      <c r="AG878" s="118"/>
      <c r="AH878" s="118"/>
      <c r="AI878" s="118"/>
      <c r="AJ878" s="118"/>
      <c r="AL878" s="7"/>
    </row>
    <row r="879" spans="1:38" ht="12.75" customHeight="1">
      <c r="A879" s="71"/>
      <c r="Y879" s="118"/>
      <c r="Z879" s="118"/>
      <c r="AA879" s="118"/>
      <c r="AB879" s="118"/>
      <c r="AC879" s="118"/>
      <c r="AD879" s="118"/>
      <c r="AE879" s="118"/>
      <c r="AF879" s="118"/>
      <c r="AG879" s="118"/>
      <c r="AH879" s="118"/>
      <c r="AI879" s="118"/>
      <c r="AJ879" s="118"/>
      <c r="AL879" s="7"/>
    </row>
    <row r="880" spans="1:38" ht="12.75" customHeight="1">
      <c r="A880" s="71"/>
      <c r="Y880" s="118"/>
      <c r="Z880" s="118"/>
      <c r="AA880" s="118"/>
      <c r="AB880" s="118"/>
      <c r="AC880" s="118"/>
      <c r="AD880" s="118"/>
      <c r="AE880" s="118"/>
      <c r="AF880" s="118"/>
      <c r="AG880" s="118"/>
      <c r="AH880" s="118"/>
      <c r="AI880" s="118"/>
      <c r="AJ880" s="118"/>
      <c r="AL880" s="7"/>
    </row>
    <row r="881" spans="1:38" ht="12.75" customHeight="1">
      <c r="A881" s="71"/>
      <c r="Y881" s="118"/>
      <c r="Z881" s="118"/>
      <c r="AA881" s="118"/>
      <c r="AB881" s="118"/>
      <c r="AC881" s="118"/>
      <c r="AD881" s="118"/>
      <c r="AE881" s="118"/>
      <c r="AF881" s="118"/>
      <c r="AG881" s="118"/>
      <c r="AH881" s="118"/>
      <c r="AI881" s="118"/>
      <c r="AJ881" s="118"/>
      <c r="AL881" s="7"/>
    </row>
    <row r="882" spans="1:38" ht="12.75" customHeight="1">
      <c r="A882" s="71"/>
      <c r="Y882" s="118"/>
      <c r="Z882" s="118"/>
      <c r="AA882" s="118"/>
      <c r="AB882" s="118"/>
      <c r="AC882" s="118"/>
      <c r="AD882" s="118"/>
      <c r="AE882" s="118"/>
      <c r="AF882" s="118"/>
      <c r="AG882" s="118"/>
      <c r="AH882" s="118"/>
      <c r="AI882" s="118"/>
      <c r="AJ882" s="118"/>
      <c r="AL882" s="7"/>
    </row>
    <row r="883" spans="1:38" ht="12.75" customHeight="1">
      <c r="A883" s="71"/>
      <c r="Y883" s="118"/>
      <c r="Z883" s="118"/>
      <c r="AA883" s="118"/>
      <c r="AB883" s="118"/>
      <c r="AC883" s="118"/>
      <c r="AD883" s="118"/>
      <c r="AE883" s="118"/>
      <c r="AF883" s="118"/>
      <c r="AG883" s="118"/>
      <c r="AH883" s="118"/>
      <c r="AI883" s="118"/>
      <c r="AJ883" s="118"/>
      <c r="AL883" s="7"/>
    </row>
    <row r="884" spans="1:38" ht="12.75" customHeight="1">
      <c r="A884" s="71"/>
      <c r="Y884" s="118"/>
      <c r="Z884" s="118"/>
      <c r="AA884" s="118"/>
      <c r="AB884" s="118"/>
      <c r="AC884" s="118"/>
      <c r="AD884" s="118"/>
      <c r="AE884" s="118"/>
      <c r="AF884" s="118"/>
      <c r="AG884" s="118"/>
      <c r="AH884" s="118"/>
      <c r="AI884" s="118"/>
      <c r="AJ884" s="118"/>
      <c r="AL884" s="7"/>
    </row>
    <row r="885" spans="1:38" ht="12.75" customHeight="1">
      <c r="A885" s="71"/>
      <c r="Y885" s="118"/>
      <c r="Z885" s="118"/>
      <c r="AA885" s="118"/>
      <c r="AB885" s="118"/>
      <c r="AC885" s="118"/>
      <c r="AD885" s="118"/>
      <c r="AE885" s="118"/>
      <c r="AF885" s="118"/>
      <c r="AG885" s="118"/>
      <c r="AH885" s="118"/>
      <c r="AI885" s="118"/>
      <c r="AJ885" s="118"/>
      <c r="AL885" s="7"/>
    </row>
    <row r="886" spans="1:38" ht="12.75" customHeight="1">
      <c r="A886" s="71"/>
      <c r="Y886" s="118"/>
      <c r="Z886" s="118"/>
      <c r="AA886" s="118"/>
      <c r="AB886" s="118"/>
      <c r="AC886" s="118"/>
      <c r="AD886" s="118"/>
      <c r="AE886" s="118"/>
      <c r="AF886" s="118"/>
      <c r="AG886" s="118"/>
      <c r="AH886" s="118"/>
      <c r="AI886" s="118"/>
      <c r="AJ886" s="118"/>
      <c r="AL886" s="7"/>
    </row>
    <row r="887" spans="1:38" ht="12.75" customHeight="1">
      <c r="A887" s="71"/>
      <c r="Y887" s="118"/>
      <c r="Z887" s="118"/>
      <c r="AA887" s="118"/>
      <c r="AB887" s="118"/>
      <c r="AC887" s="118"/>
      <c r="AD887" s="118"/>
      <c r="AE887" s="118"/>
      <c r="AF887" s="118"/>
      <c r="AG887" s="118"/>
      <c r="AH887" s="118"/>
      <c r="AI887" s="118"/>
      <c r="AJ887" s="118"/>
      <c r="AL887" s="7"/>
    </row>
    <row r="888" spans="1:38" ht="12.75" customHeight="1">
      <c r="A888" s="71"/>
      <c r="Y888" s="118"/>
      <c r="Z888" s="118"/>
      <c r="AA888" s="118"/>
      <c r="AB888" s="118"/>
      <c r="AC888" s="118"/>
      <c r="AD888" s="118"/>
      <c r="AE888" s="118"/>
      <c r="AF888" s="118"/>
      <c r="AG888" s="118"/>
      <c r="AH888" s="118"/>
      <c r="AI888" s="118"/>
      <c r="AJ888" s="118"/>
      <c r="AL888" s="7"/>
    </row>
    <row r="889" spans="1:38" ht="12.75" customHeight="1">
      <c r="A889" s="71"/>
      <c r="Y889" s="118"/>
      <c r="Z889" s="118"/>
      <c r="AA889" s="118"/>
      <c r="AB889" s="118"/>
      <c r="AC889" s="118"/>
      <c r="AD889" s="118"/>
      <c r="AE889" s="118"/>
      <c r="AF889" s="118"/>
      <c r="AG889" s="118"/>
      <c r="AH889" s="118"/>
      <c r="AI889" s="118"/>
      <c r="AJ889" s="118"/>
      <c r="AL889" s="7"/>
    </row>
    <row r="890" spans="1:38" ht="12.75" customHeight="1">
      <c r="A890" s="71"/>
      <c r="Y890" s="118"/>
      <c r="Z890" s="118"/>
      <c r="AA890" s="118"/>
      <c r="AB890" s="118"/>
      <c r="AC890" s="118"/>
      <c r="AD890" s="118"/>
      <c r="AE890" s="118"/>
      <c r="AF890" s="118"/>
      <c r="AG890" s="118"/>
      <c r="AH890" s="118"/>
      <c r="AI890" s="118"/>
      <c r="AJ890" s="118"/>
      <c r="AL890" s="7"/>
    </row>
    <row r="891" spans="1:38" ht="12.75" customHeight="1">
      <c r="A891" s="71"/>
      <c r="Y891" s="118"/>
      <c r="Z891" s="118"/>
      <c r="AA891" s="118"/>
      <c r="AB891" s="118"/>
      <c r="AC891" s="118"/>
      <c r="AD891" s="118"/>
      <c r="AE891" s="118"/>
      <c r="AF891" s="118"/>
      <c r="AG891" s="118"/>
      <c r="AH891" s="118"/>
      <c r="AI891" s="118"/>
      <c r="AJ891" s="118"/>
      <c r="AL891" s="7"/>
    </row>
    <row r="892" spans="1:38" ht="12.75" customHeight="1">
      <c r="A892" s="71"/>
      <c r="Y892" s="118"/>
      <c r="Z892" s="118"/>
      <c r="AA892" s="118"/>
      <c r="AB892" s="118"/>
      <c r="AC892" s="118"/>
      <c r="AD892" s="118"/>
      <c r="AE892" s="118"/>
      <c r="AF892" s="118"/>
      <c r="AG892" s="118"/>
      <c r="AH892" s="118"/>
      <c r="AI892" s="118"/>
      <c r="AJ892" s="118"/>
      <c r="AL892" s="7"/>
    </row>
    <row r="893" spans="1:38" ht="12.75" customHeight="1">
      <c r="A893" s="71"/>
      <c r="Y893" s="118"/>
      <c r="Z893" s="118"/>
      <c r="AA893" s="118"/>
      <c r="AB893" s="118"/>
      <c r="AC893" s="118"/>
      <c r="AD893" s="118"/>
      <c r="AE893" s="118"/>
      <c r="AF893" s="118"/>
      <c r="AG893" s="118"/>
      <c r="AH893" s="118"/>
      <c r="AI893" s="118"/>
      <c r="AJ893" s="118"/>
      <c r="AL893" s="7"/>
    </row>
    <row r="894" spans="1:38" ht="12.75" customHeight="1">
      <c r="A894" s="71"/>
      <c r="Y894" s="118"/>
      <c r="Z894" s="118"/>
      <c r="AA894" s="118"/>
      <c r="AB894" s="118"/>
      <c r="AC894" s="118"/>
      <c r="AD894" s="118"/>
      <c r="AE894" s="118"/>
      <c r="AF894" s="118"/>
      <c r="AG894" s="118"/>
      <c r="AH894" s="118"/>
      <c r="AI894" s="118"/>
      <c r="AJ894" s="118"/>
      <c r="AL894" s="7"/>
    </row>
    <row r="895" spans="1:38" ht="12.75" customHeight="1">
      <c r="A895" s="71"/>
      <c r="Y895" s="118"/>
      <c r="Z895" s="118"/>
      <c r="AA895" s="118"/>
      <c r="AB895" s="118"/>
      <c r="AC895" s="118"/>
      <c r="AD895" s="118"/>
      <c r="AE895" s="118"/>
      <c r="AF895" s="118"/>
      <c r="AG895" s="118"/>
      <c r="AH895" s="118"/>
      <c r="AI895" s="118"/>
      <c r="AJ895" s="118"/>
      <c r="AL895" s="7"/>
    </row>
    <row r="896" spans="1:38" ht="12.75" customHeight="1">
      <c r="A896" s="71"/>
      <c r="Y896" s="118"/>
      <c r="Z896" s="118"/>
      <c r="AA896" s="118"/>
      <c r="AB896" s="118"/>
      <c r="AC896" s="118"/>
      <c r="AD896" s="118"/>
      <c r="AE896" s="118"/>
      <c r="AF896" s="118"/>
      <c r="AG896" s="118"/>
      <c r="AH896" s="118"/>
      <c r="AI896" s="118"/>
      <c r="AJ896" s="118"/>
      <c r="AL896" s="7"/>
    </row>
    <row r="897" spans="1:38" ht="12.75" customHeight="1">
      <c r="A897" s="71"/>
      <c r="Y897" s="118"/>
      <c r="Z897" s="118"/>
      <c r="AA897" s="118"/>
      <c r="AB897" s="118"/>
      <c r="AC897" s="118"/>
      <c r="AD897" s="118"/>
      <c r="AE897" s="118"/>
      <c r="AF897" s="118"/>
      <c r="AG897" s="118"/>
      <c r="AH897" s="118"/>
      <c r="AI897" s="118"/>
      <c r="AJ897" s="118"/>
      <c r="AL897" s="7"/>
    </row>
    <row r="898" spans="1:38" ht="12.75" customHeight="1">
      <c r="A898" s="71"/>
      <c r="Y898" s="118"/>
      <c r="Z898" s="118"/>
      <c r="AA898" s="118"/>
      <c r="AB898" s="118"/>
      <c r="AC898" s="118"/>
      <c r="AD898" s="118"/>
      <c r="AE898" s="118"/>
      <c r="AF898" s="118"/>
      <c r="AG898" s="118"/>
      <c r="AH898" s="118"/>
      <c r="AI898" s="118"/>
      <c r="AJ898" s="118"/>
      <c r="AL898" s="7"/>
    </row>
    <row r="899" spans="1:38" ht="12.75" customHeight="1">
      <c r="A899" s="71"/>
      <c r="Y899" s="118"/>
      <c r="Z899" s="118"/>
      <c r="AA899" s="118"/>
      <c r="AB899" s="118"/>
      <c r="AC899" s="118"/>
      <c r="AD899" s="118"/>
      <c r="AE899" s="118"/>
      <c r="AF899" s="118"/>
      <c r="AG899" s="118"/>
      <c r="AH899" s="118"/>
      <c r="AI899" s="118"/>
      <c r="AJ899" s="118"/>
      <c r="AL899" s="7"/>
    </row>
    <row r="900" spans="1:38" ht="12.75" customHeight="1">
      <c r="A900" s="71"/>
      <c r="Y900" s="118"/>
      <c r="Z900" s="118"/>
      <c r="AA900" s="118"/>
      <c r="AB900" s="118"/>
      <c r="AC900" s="118"/>
      <c r="AD900" s="118"/>
      <c r="AE900" s="118"/>
      <c r="AF900" s="118"/>
      <c r="AG900" s="118"/>
      <c r="AH900" s="118"/>
      <c r="AI900" s="118"/>
      <c r="AJ900" s="118"/>
      <c r="AL900" s="7"/>
    </row>
    <row r="901" spans="1:38" ht="12.75" customHeight="1">
      <c r="A901" s="71"/>
      <c r="Y901" s="118"/>
      <c r="Z901" s="118"/>
      <c r="AA901" s="118"/>
      <c r="AB901" s="118"/>
      <c r="AC901" s="118"/>
      <c r="AD901" s="118"/>
      <c r="AE901" s="118"/>
      <c r="AF901" s="118"/>
      <c r="AG901" s="118"/>
      <c r="AH901" s="118"/>
      <c r="AI901" s="118"/>
      <c r="AJ901" s="118"/>
      <c r="AL901" s="7"/>
    </row>
    <row r="902" spans="1:38" ht="12.75" customHeight="1">
      <c r="A902" s="71"/>
      <c r="Y902" s="118"/>
      <c r="Z902" s="118"/>
      <c r="AA902" s="118"/>
      <c r="AB902" s="118"/>
      <c r="AC902" s="118"/>
      <c r="AD902" s="118"/>
      <c r="AE902" s="118"/>
      <c r="AF902" s="118"/>
      <c r="AG902" s="118"/>
      <c r="AH902" s="118"/>
      <c r="AI902" s="118"/>
      <c r="AJ902" s="118"/>
      <c r="AL902" s="7"/>
    </row>
    <row r="903" spans="1:38" ht="12.75" customHeight="1">
      <c r="A903" s="71"/>
      <c r="Y903" s="118"/>
      <c r="Z903" s="118"/>
      <c r="AA903" s="118"/>
      <c r="AB903" s="118"/>
      <c r="AC903" s="118"/>
      <c r="AD903" s="118"/>
      <c r="AE903" s="118"/>
      <c r="AF903" s="118"/>
      <c r="AG903" s="118"/>
      <c r="AH903" s="118"/>
      <c r="AI903" s="118"/>
      <c r="AJ903" s="118"/>
      <c r="AL903" s="7"/>
    </row>
    <row r="904" spans="1:38" ht="12.75" customHeight="1">
      <c r="A904" s="71"/>
      <c r="Y904" s="118"/>
      <c r="Z904" s="118"/>
      <c r="AA904" s="118"/>
      <c r="AB904" s="118"/>
      <c r="AC904" s="118"/>
      <c r="AD904" s="118"/>
      <c r="AE904" s="118"/>
      <c r="AF904" s="118"/>
      <c r="AG904" s="118"/>
      <c r="AH904" s="118"/>
      <c r="AI904" s="118"/>
      <c r="AJ904" s="118"/>
      <c r="AL904" s="7"/>
    </row>
    <row r="905" spans="1:38" ht="12.75" customHeight="1">
      <c r="A905" s="71"/>
      <c r="Y905" s="118"/>
      <c r="Z905" s="118"/>
      <c r="AA905" s="118"/>
      <c r="AB905" s="118"/>
      <c r="AC905" s="118"/>
      <c r="AD905" s="118"/>
      <c r="AE905" s="118"/>
      <c r="AF905" s="118"/>
      <c r="AG905" s="118"/>
      <c r="AH905" s="118"/>
      <c r="AI905" s="118"/>
      <c r="AJ905" s="118"/>
      <c r="AL905" s="7"/>
    </row>
    <row r="906" spans="1:38" ht="12.75" customHeight="1">
      <c r="A906" s="71"/>
      <c r="Y906" s="118"/>
      <c r="Z906" s="118"/>
      <c r="AA906" s="118"/>
      <c r="AB906" s="118"/>
      <c r="AC906" s="118"/>
      <c r="AD906" s="118"/>
      <c r="AE906" s="118"/>
      <c r="AF906" s="118"/>
      <c r="AG906" s="118"/>
      <c r="AH906" s="118"/>
      <c r="AI906" s="118"/>
      <c r="AJ906" s="118"/>
      <c r="AL906" s="7"/>
    </row>
    <row r="907" spans="1:38" ht="12.75" customHeight="1">
      <c r="A907" s="71"/>
      <c r="Y907" s="118"/>
      <c r="Z907" s="118"/>
      <c r="AA907" s="118"/>
      <c r="AB907" s="118"/>
      <c r="AC907" s="118"/>
      <c r="AD907" s="118"/>
      <c r="AE907" s="118"/>
      <c r="AF907" s="118"/>
      <c r="AG907" s="118"/>
      <c r="AH907" s="118"/>
      <c r="AI907" s="118"/>
      <c r="AJ907" s="118"/>
      <c r="AL907" s="7"/>
    </row>
    <row r="908" spans="1:38" ht="12.75" customHeight="1">
      <c r="A908" s="71"/>
      <c r="Y908" s="118"/>
      <c r="Z908" s="118"/>
      <c r="AA908" s="118"/>
      <c r="AB908" s="118"/>
      <c r="AC908" s="118"/>
      <c r="AD908" s="118"/>
      <c r="AE908" s="118"/>
      <c r="AF908" s="118"/>
      <c r="AG908" s="118"/>
      <c r="AH908" s="118"/>
      <c r="AI908" s="118"/>
      <c r="AJ908" s="118"/>
      <c r="AL908" s="7"/>
    </row>
    <row r="909" spans="1:38" ht="12.75" customHeight="1">
      <c r="A909" s="71"/>
      <c r="Y909" s="118"/>
      <c r="Z909" s="118"/>
      <c r="AA909" s="118"/>
      <c r="AB909" s="118"/>
      <c r="AC909" s="118"/>
      <c r="AD909" s="118"/>
      <c r="AE909" s="118"/>
      <c r="AF909" s="118"/>
      <c r="AG909" s="118"/>
      <c r="AH909" s="118"/>
      <c r="AI909" s="118"/>
      <c r="AJ909" s="118"/>
      <c r="AL909" s="7"/>
    </row>
    <row r="910" spans="1:38" ht="12.75" customHeight="1">
      <c r="A910" s="71"/>
      <c r="Y910" s="118"/>
      <c r="Z910" s="118"/>
      <c r="AA910" s="118"/>
      <c r="AB910" s="118"/>
      <c r="AC910" s="118"/>
      <c r="AD910" s="118"/>
      <c r="AE910" s="118"/>
      <c r="AF910" s="118"/>
      <c r="AG910" s="118"/>
      <c r="AH910" s="118"/>
      <c r="AI910" s="118"/>
      <c r="AJ910" s="118"/>
      <c r="AL910" s="7"/>
    </row>
    <row r="911" spans="1:38" ht="12.75" customHeight="1">
      <c r="A911" s="71"/>
      <c r="Y911" s="118"/>
      <c r="Z911" s="118"/>
      <c r="AA911" s="118"/>
      <c r="AB911" s="118"/>
      <c r="AC911" s="118"/>
      <c r="AD911" s="118"/>
      <c r="AE911" s="118"/>
      <c r="AF911" s="118"/>
      <c r="AG911" s="118"/>
      <c r="AH911" s="118"/>
      <c r="AI911" s="118"/>
      <c r="AJ911" s="118"/>
      <c r="AL911" s="7"/>
    </row>
    <row r="912" spans="1:38" ht="12.75" customHeight="1">
      <c r="A912" s="71"/>
      <c r="Y912" s="118"/>
      <c r="Z912" s="118"/>
      <c r="AA912" s="118"/>
      <c r="AB912" s="118"/>
      <c r="AC912" s="118"/>
      <c r="AD912" s="118"/>
      <c r="AE912" s="118"/>
      <c r="AF912" s="118"/>
      <c r="AG912" s="118"/>
      <c r="AH912" s="118"/>
      <c r="AI912" s="118"/>
      <c r="AJ912" s="118"/>
      <c r="AL912" s="7"/>
    </row>
    <row r="913" spans="1:38" ht="12.75" customHeight="1">
      <c r="A913" s="71"/>
      <c r="Y913" s="118"/>
      <c r="Z913" s="118"/>
      <c r="AA913" s="118"/>
      <c r="AB913" s="118"/>
      <c r="AC913" s="118"/>
      <c r="AD913" s="118"/>
      <c r="AE913" s="118"/>
      <c r="AF913" s="118"/>
      <c r="AG913" s="118"/>
      <c r="AH913" s="118"/>
      <c r="AI913" s="118"/>
      <c r="AJ913" s="118"/>
      <c r="AL913" s="7"/>
    </row>
    <row r="914" spans="1:38" ht="12.75" customHeight="1">
      <c r="A914" s="71"/>
      <c r="Y914" s="118"/>
      <c r="Z914" s="118"/>
      <c r="AA914" s="118"/>
      <c r="AB914" s="118"/>
      <c r="AC914" s="118"/>
      <c r="AD914" s="118"/>
      <c r="AE914" s="118"/>
      <c r="AF914" s="118"/>
      <c r="AG914" s="118"/>
      <c r="AH914" s="118"/>
      <c r="AI914" s="118"/>
      <c r="AJ914" s="118"/>
      <c r="AL914" s="7"/>
    </row>
    <row r="915" spans="1:38" ht="12.75" customHeight="1">
      <c r="A915" s="71"/>
      <c r="Y915" s="118"/>
      <c r="Z915" s="118"/>
      <c r="AA915" s="118"/>
      <c r="AB915" s="118"/>
      <c r="AC915" s="118"/>
      <c r="AD915" s="118"/>
      <c r="AE915" s="118"/>
      <c r="AF915" s="118"/>
      <c r="AG915" s="118"/>
      <c r="AH915" s="118"/>
      <c r="AI915" s="118"/>
      <c r="AJ915" s="118"/>
      <c r="AL915" s="7"/>
    </row>
    <row r="916" spans="1:38" ht="12.75" customHeight="1">
      <c r="A916" s="71"/>
      <c r="Y916" s="118"/>
      <c r="Z916" s="118"/>
      <c r="AA916" s="118"/>
      <c r="AB916" s="118"/>
      <c r="AC916" s="118"/>
      <c r="AD916" s="118"/>
      <c r="AE916" s="118"/>
      <c r="AF916" s="118"/>
      <c r="AG916" s="118"/>
      <c r="AH916" s="118"/>
      <c r="AI916" s="118"/>
      <c r="AJ916" s="118"/>
      <c r="AL916" s="7"/>
    </row>
    <row r="917" spans="1:38" ht="12.75" customHeight="1">
      <c r="A917" s="71"/>
      <c r="Y917" s="118"/>
      <c r="Z917" s="118"/>
      <c r="AA917" s="118"/>
      <c r="AB917" s="118"/>
      <c r="AC917" s="118"/>
      <c r="AD917" s="118"/>
      <c r="AE917" s="118"/>
      <c r="AF917" s="118"/>
      <c r="AG917" s="118"/>
      <c r="AH917" s="118"/>
      <c r="AI917" s="118"/>
      <c r="AJ917" s="118"/>
      <c r="AL917" s="7"/>
    </row>
    <row r="918" spans="1:38" ht="12.75" customHeight="1">
      <c r="A918" s="71"/>
      <c r="Y918" s="118"/>
      <c r="Z918" s="118"/>
      <c r="AA918" s="118"/>
      <c r="AB918" s="118"/>
      <c r="AC918" s="118"/>
      <c r="AD918" s="118"/>
      <c r="AE918" s="118"/>
      <c r="AF918" s="118"/>
      <c r="AG918" s="118"/>
      <c r="AH918" s="118"/>
      <c r="AI918" s="118"/>
      <c r="AJ918" s="118"/>
      <c r="AL918" s="7"/>
    </row>
    <row r="919" spans="1:38" ht="12.75" customHeight="1">
      <c r="A919" s="71"/>
      <c r="Y919" s="118"/>
      <c r="Z919" s="118"/>
      <c r="AA919" s="118"/>
      <c r="AB919" s="118"/>
      <c r="AC919" s="118"/>
      <c r="AD919" s="118"/>
      <c r="AE919" s="118"/>
      <c r="AF919" s="118"/>
      <c r="AG919" s="118"/>
      <c r="AH919" s="118"/>
      <c r="AI919" s="118"/>
      <c r="AJ919" s="118"/>
      <c r="AL919" s="7"/>
    </row>
    <row r="920" spans="1:38" ht="12.75" customHeight="1">
      <c r="A920" s="71"/>
      <c r="Y920" s="118"/>
      <c r="Z920" s="118"/>
      <c r="AA920" s="118"/>
      <c r="AB920" s="118"/>
      <c r="AC920" s="118"/>
      <c r="AD920" s="118"/>
      <c r="AE920" s="118"/>
      <c r="AF920" s="118"/>
      <c r="AG920" s="118"/>
      <c r="AH920" s="118"/>
      <c r="AI920" s="118"/>
      <c r="AJ920" s="118"/>
      <c r="AL920" s="7"/>
    </row>
    <row r="921" spans="1:38" ht="12.75" customHeight="1">
      <c r="A921" s="71"/>
      <c r="Y921" s="118"/>
      <c r="Z921" s="118"/>
      <c r="AA921" s="118"/>
      <c r="AB921" s="118"/>
      <c r="AC921" s="118"/>
      <c r="AD921" s="118"/>
      <c r="AE921" s="118"/>
      <c r="AF921" s="118"/>
      <c r="AG921" s="118"/>
      <c r="AH921" s="118"/>
      <c r="AI921" s="118"/>
      <c r="AJ921" s="118"/>
      <c r="AL921" s="7"/>
    </row>
    <row r="922" spans="1:38" ht="12.75" customHeight="1">
      <c r="A922" s="71"/>
      <c r="Y922" s="118"/>
      <c r="Z922" s="118"/>
      <c r="AA922" s="118"/>
      <c r="AB922" s="118"/>
      <c r="AC922" s="118"/>
      <c r="AD922" s="118"/>
      <c r="AE922" s="118"/>
      <c r="AF922" s="118"/>
      <c r="AG922" s="118"/>
      <c r="AH922" s="118"/>
      <c r="AI922" s="118"/>
      <c r="AJ922" s="118"/>
      <c r="AL922" s="7"/>
    </row>
    <row r="923" spans="1:38" ht="12.75" customHeight="1">
      <c r="A923" s="71"/>
      <c r="Y923" s="118"/>
      <c r="Z923" s="118"/>
      <c r="AA923" s="118"/>
      <c r="AB923" s="118"/>
      <c r="AC923" s="118"/>
      <c r="AD923" s="118"/>
      <c r="AE923" s="118"/>
      <c r="AF923" s="118"/>
      <c r="AG923" s="118"/>
      <c r="AH923" s="118"/>
      <c r="AI923" s="118"/>
      <c r="AJ923" s="118"/>
      <c r="AL923" s="7"/>
    </row>
    <row r="924" spans="1:38" ht="12.75" customHeight="1">
      <c r="A924" s="71"/>
      <c r="Y924" s="118"/>
      <c r="Z924" s="118"/>
      <c r="AA924" s="118"/>
      <c r="AB924" s="118"/>
      <c r="AC924" s="118"/>
      <c r="AD924" s="118"/>
      <c r="AE924" s="118"/>
      <c r="AF924" s="118"/>
      <c r="AG924" s="118"/>
      <c r="AH924" s="118"/>
      <c r="AI924" s="118"/>
      <c r="AJ924" s="118"/>
      <c r="AL924" s="7"/>
    </row>
    <row r="925" spans="1:38" ht="12.75" customHeight="1">
      <c r="A925" s="71"/>
      <c r="Y925" s="118"/>
      <c r="Z925" s="118"/>
      <c r="AA925" s="118"/>
      <c r="AB925" s="118"/>
      <c r="AC925" s="118"/>
      <c r="AD925" s="118"/>
      <c r="AE925" s="118"/>
      <c r="AF925" s="118"/>
      <c r="AG925" s="118"/>
      <c r="AH925" s="118"/>
      <c r="AI925" s="118"/>
      <c r="AJ925" s="118"/>
      <c r="AL925" s="7"/>
    </row>
    <row r="926" spans="1:38" ht="12.75" customHeight="1">
      <c r="A926" s="71"/>
      <c r="Y926" s="118"/>
      <c r="Z926" s="118"/>
      <c r="AA926" s="118"/>
      <c r="AB926" s="118"/>
      <c r="AC926" s="118"/>
      <c r="AD926" s="118"/>
      <c r="AE926" s="118"/>
      <c r="AF926" s="118"/>
      <c r="AG926" s="118"/>
      <c r="AH926" s="118"/>
      <c r="AI926" s="118"/>
      <c r="AJ926" s="118"/>
      <c r="AL926" s="7"/>
    </row>
    <row r="927" spans="1:38" ht="12.75" customHeight="1">
      <c r="A927" s="71"/>
      <c r="Y927" s="118"/>
      <c r="Z927" s="118"/>
      <c r="AA927" s="118"/>
      <c r="AB927" s="118"/>
      <c r="AC927" s="118"/>
      <c r="AD927" s="118"/>
      <c r="AE927" s="118"/>
      <c r="AF927" s="118"/>
      <c r="AG927" s="118"/>
      <c r="AH927" s="118"/>
      <c r="AI927" s="118"/>
      <c r="AJ927" s="118"/>
      <c r="AL927" s="7"/>
    </row>
    <row r="928" spans="1:38" ht="12.75" customHeight="1">
      <c r="A928" s="71"/>
      <c r="Y928" s="118"/>
      <c r="Z928" s="118"/>
      <c r="AA928" s="118"/>
      <c r="AB928" s="118"/>
      <c r="AC928" s="118"/>
      <c r="AD928" s="118"/>
      <c r="AE928" s="118"/>
      <c r="AF928" s="118"/>
      <c r="AG928" s="118"/>
      <c r="AH928" s="118"/>
      <c r="AI928" s="118"/>
      <c r="AJ928" s="118"/>
      <c r="AL928" s="7"/>
    </row>
    <row r="929" spans="1:38" ht="12.75" customHeight="1">
      <c r="A929" s="71"/>
      <c r="Y929" s="118"/>
      <c r="Z929" s="118"/>
      <c r="AA929" s="118"/>
      <c r="AB929" s="118"/>
      <c r="AC929" s="118"/>
      <c r="AD929" s="118"/>
      <c r="AE929" s="118"/>
      <c r="AF929" s="118"/>
      <c r="AG929" s="118"/>
      <c r="AH929" s="118"/>
      <c r="AI929" s="118"/>
      <c r="AJ929" s="118"/>
      <c r="AL929" s="7"/>
    </row>
    <row r="930" spans="1:38" ht="12.75" customHeight="1">
      <c r="A930" s="71"/>
      <c r="Y930" s="118"/>
      <c r="Z930" s="118"/>
      <c r="AA930" s="118"/>
      <c r="AB930" s="118"/>
      <c r="AC930" s="118"/>
      <c r="AD930" s="118"/>
      <c r="AE930" s="118"/>
      <c r="AF930" s="118"/>
      <c r="AG930" s="118"/>
      <c r="AH930" s="118"/>
      <c r="AI930" s="118"/>
      <c r="AJ930" s="118"/>
      <c r="AL930" s="7"/>
    </row>
    <row r="931" spans="1:38" ht="12.75" customHeight="1">
      <c r="A931" s="71"/>
      <c r="Y931" s="118"/>
      <c r="Z931" s="118"/>
      <c r="AA931" s="118"/>
      <c r="AB931" s="118"/>
      <c r="AC931" s="118"/>
      <c r="AD931" s="118"/>
      <c r="AE931" s="118"/>
      <c r="AF931" s="118"/>
      <c r="AG931" s="118"/>
      <c r="AH931" s="118"/>
      <c r="AI931" s="118"/>
      <c r="AJ931" s="118"/>
      <c r="AL931" s="7"/>
    </row>
    <row r="932" spans="1:38" ht="12.75" customHeight="1">
      <c r="A932" s="71"/>
      <c r="Y932" s="118"/>
      <c r="Z932" s="118"/>
      <c r="AA932" s="118"/>
      <c r="AB932" s="118"/>
      <c r="AC932" s="118"/>
      <c r="AD932" s="118"/>
      <c r="AE932" s="118"/>
      <c r="AF932" s="118"/>
      <c r="AG932" s="118"/>
      <c r="AH932" s="118"/>
      <c r="AI932" s="118"/>
      <c r="AJ932" s="118"/>
      <c r="AL932" s="7"/>
    </row>
    <row r="933" spans="1:38" ht="12.75" customHeight="1">
      <c r="A933" s="71"/>
      <c r="Y933" s="118"/>
      <c r="Z933" s="118"/>
      <c r="AA933" s="118"/>
      <c r="AB933" s="118"/>
      <c r="AC933" s="118"/>
      <c r="AD933" s="118"/>
      <c r="AE933" s="118"/>
      <c r="AF933" s="118"/>
      <c r="AG933" s="118"/>
      <c r="AH933" s="118"/>
      <c r="AI933" s="118"/>
      <c r="AJ933" s="118"/>
      <c r="AL933" s="7"/>
    </row>
    <row r="934" spans="1:38" ht="12.75" customHeight="1">
      <c r="A934" s="71"/>
      <c r="Y934" s="118"/>
      <c r="Z934" s="118"/>
      <c r="AA934" s="118"/>
      <c r="AB934" s="118"/>
      <c r="AC934" s="118"/>
      <c r="AD934" s="118"/>
      <c r="AE934" s="118"/>
      <c r="AF934" s="118"/>
      <c r="AG934" s="118"/>
      <c r="AH934" s="118"/>
      <c r="AI934" s="118"/>
      <c r="AJ934" s="118"/>
      <c r="AL934" s="7"/>
    </row>
    <row r="935" spans="1:38" ht="12.75" customHeight="1">
      <c r="A935" s="71"/>
      <c r="Y935" s="118"/>
      <c r="Z935" s="118"/>
      <c r="AA935" s="118"/>
      <c r="AB935" s="118"/>
      <c r="AC935" s="118"/>
      <c r="AD935" s="118"/>
      <c r="AE935" s="118"/>
      <c r="AF935" s="118"/>
      <c r="AG935" s="118"/>
      <c r="AH935" s="118"/>
      <c r="AI935" s="118"/>
      <c r="AJ935" s="118"/>
      <c r="AL935" s="7"/>
    </row>
    <row r="936" spans="1:38" ht="12.75" customHeight="1">
      <c r="A936" s="71"/>
      <c r="Y936" s="118"/>
      <c r="Z936" s="118"/>
      <c r="AA936" s="118"/>
      <c r="AB936" s="118"/>
      <c r="AC936" s="118"/>
      <c r="AD936" s="118"/>
      <c r="AE936" s="118"/>
      <c r="AF936" s="118"/>
      <c r="AG936" s="118"/>
      <c r="AH936" s="118"/>
      <c r="AI936" s="118"/>
      <c r="AJ936" s="118"/>
      <c r="AL936" s="7"/>
    </row>
    <row r="937" spans="1:38" ht="12.75" customHeight="1">
      <c r="A937" s="71"/>
      <c r="Y937" s="118"/>
      <c r="Z937" s="118"/>
      <c r="AA937" s="118"/>
      <c r="AB937" s="118"/>
      <c r="AC937" s="118"/>
      <c r="AD937" s="118"/>
      <c r="AE937" s="118"/>
      <c r="AF937" s="118"/>
      <c r="AG937" s="118"/>
      <c r="AH937" s="118"/>
      <c r="AI937" s="118"/>
      <c r="AJ937" s="118"/>
      <c r="AL937" s="7"/>
    </row>
    <row r="938" spans="1:38" ht="12.75" customHeight="1">
      <c r="A938" s="71"/>
      <c r="Y938" s="118"/>
      <c r="Z938" s="118"/>
      <c r="AA938" s="118"/>
      <c r="AB938" s="118"/>
      <c r="AC938" s="118"/>
      <c r="AD938" s="118"/>
      <c r="AE938" s="118"/>
      <c r="AF938" s="118"/>
      <c r="AG938" s="118"/>
      <c r="AH938" s="118"/>
      <c r="AI938" s="118"/>
      <c r="AJ938" s="118"/>
      <c r="AL938" s="7"/>
    </row>
    <row r="939" spans="1:38" ht="12.75" customHeight="1">
      <c r="A939" s="71"/>
      <c r="Y939" s="118"/>
      <c r="Z939" s="118"/>
      <c r="AA939" s="118"/>
      <c r="AB939" s="118"/>
      <c r="AC939" s="118"/>
      <c r="AD939" s="118"/>
      <c r="AE939" s="118"/>
      <c r="AF939" s="118"/>
      <c r="AG939" s="118"/>
      <c r="AH939" s="118"/>
      <c r="AI939" s="118"/>
      <c r="AJ939" s="118"/>
      <c r="AL939" s="7"/>
    </row>
    <row r="940" spans="1:38" ht="12.75" customHeight="1">
      <c r="A940" s="71"/>
      <c r="Y940" s="118"/>
      <c r="Z940" s="118"/>
      <c r="AA940" s="118"/>
      <c r="AB940" s="118"/>
      <c r="AC940" s="118"/>
      <c r="AD940" s="118"/>
      <c r="AE940" s="118"/>
      <c r="AF940" s="118"/>
      <c r="AG940" s="118"/>
      <c r="AH940" s="118"/>
      <c r="AI940" s="118"/>
      <c r="AJ940" s="118"/>
      <c r="AL940" s="7"/>
    </row>
    <row r="941" spans="1:38" ht="12.75" customHeight="1">
      <c r="A941" s="71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L941" s="7"/>
    </row>
    <row r="942" spans="1:38" ht="12.75" customHeight="1">
      <c r="A942" s="71"/>
      <c r="Y942" s="118"/>
      <c r="Z942" s="118"/>
      <c r="AA942" s="118"/>
      <c r="AB942" s="118"/>
      <c r="AC942" s="118"/>
      <c r="AD942" s="118"/>
      <c r="AE942" s="118"/>
      <c r="AF942" s="118"/>
      <c r="AG942" s="118"/>
      <c r="AH942" s="118"/>
      <c r="AI942" s="118"/>
      <c r="AJ942" s="118"/>
      <c r="AL942" s="7"/>
    </row>
    <row r="943" spans="1:38" ht="12.75" customHeight="1">
      <c r="A943" s="71"/>
      <c r="Y943" s="118"/>
      <c r="Z943" s="118"/>
      <c r="AA943" s="118"/>
      <c r="AB943" s="118"/>
      <c r="AC943" s="118"/>
      <c r="AD943" s="118"/>
      <c r="AE943" s="118"/>
      <c r="AF943" s="118"/>
      <c r="AG943" s="118"/>
      <c r="AH943" s="118"/>
      <c r="AI943" s="118"/>
      <c r="AJ943" s="118"/>
      <c r="AL943" s="7"/>
    </row>
    <row r="944" spans="1:38" ht="12.75" customHeight="1">
      <c r="A944" s="71"/>
      <c r="Y944" s="118"/>
      <c r="Z944" s="118"/>
      <c r="AA944" s="118"/>
      <c r="AB944" s="118"/>
      <c r="AC944" s="118"/>
      <c r="AD944" s="118"/>
      <c r="AE944" s="118"/>
      <c r="AF944" s="118"/>
      <c r="AG944" s="118"/>
      <c r="AH944" s="118"/>
      <c r="AI944" s="118"/>
      <c r="AJ944" s="118"/>
      <c r="AL944" s="7"/>
    </row>
    <row r="945" spans="1:38" ht="12.75" customHeight="1">
      <c r="A945" s="71"/>
      <c r="Y945" s="118"/>
      <c r="Z945" s="118"/>
      <c r="AA945" s="118"/>
      <c r="AB945" s="118"/>
      <c r="AC945" s="118"/>
      <c r="AD945" s="118"/>
      <c r="AE945" s="118"/>
      <c r="AF945" s="118"/>
      <c r="AG945" s="118"/>
      <c r="AH945" s="118"/>
      <c r="AI945" s="118"/>
      <c r="AJ945" s="118"/>
      <c r="AL945" s="7"/>
    </row>
    <row r="946" spans="1:38" ht="12.75" customHeight="1">
      <c r="A946" s="71"/>
      <c r="Y946" s="118"/>
      <c r="Z946" s="118"/>
      <c r="AA946" s="118"/>
      <c r="AB946" s="118"/>
      <c r="AC946" s="118"/>
      <c r="AD946" s="118"/>
      <c r="AE946" s="118"/>
      <c r="AF946" s="118"/>
      <c r="AG946" s="118"/>
      <c r="AH946" s="118"/>
      <c r="AI946" s="118"/>
      <c r="AJ946" s="118"/>
      <c r="AL946" s="7"/>
    </row>
    <row r="947" spans="1:38" ht="12.75" customHeight="1">
      <c r="A947" s="71"/>
      <c r="Y947" s="118"/>
      <c r="Z947" s="118"/>
      <c r="AA947" s="118"/>
      <c r="AB947" s="118"/>
      <c r="AC947" s="118"/>
      <c r="AD947" s="118"/>
      <c r="AE947" s="118"/>
      <c r="AF947" s="118"/>
      <c r="AG947" s="118"/>
      <c r="AH947" s="118"/>
      <c r="AI947" s="118"/>
      <c r="AJ947" s="118"/>
      <c r="AL947" s="7"/>
    </row>
    <row r="948" spans="1:38" ht="12.75" customHeight="1">
      <c r="A948" s="71"/>
      <c r="Y948" s="118"/>
      <c r="Z948" s="118"/>
      <c r="AA948" s="118"/>
      <c r="AB948" s="118"/>
      <c r="AC948" s="118"/>
      <c r="AD948" s="118"/>
      <c r="AE948" s="118"/>
      <c r="AF948" s="118"/>
      <c r="AG948" s="118"/>
      <c r="AH948" s="118"/>
      <c r="AI948" s="118"/>
      <c r="AJ948" s="118"/>
      <c r="AL948" s="7"/>
    </row>
    <row r="949" spans="1:38" ht="12.75" customHeight="1">
      <c r="A949" s="71"/>
      <c r="Y949" s="118"/>
      <c r="Z949" s="118"/>
      <c r="AA949" s="118"/>
      <c r="AB949" s="118"/>
      <c r="AC949" s="118"/>
      <c r="AD949" s="118"/>
      <c r="AE949" s="118"/>
      <c r="AF949" s="118"/>
      <c r="AG949" s="118"/>
      <c r="AH949" s="118"/>
      <c r="AI949" s="118"/>
      <c r="AJ949" s="118"/>
      <c r="AL949" s="7"/>
    </row>
    <row r="950" spans="1:38" ht="12.75" customHeight="1">
      <c r="A950" s="71"/>
      <c r="Y950" s="118"/>
      <c r="Z950" s="118"/>
      <c r="AA950" s="118"/>
      <c r="AB950" s="118"/>
      <c r="AC950" s="118"/>
      <c r="AD950" s="118"/>
      <c r="AE950" s="118"/>
      <c r="AF950" s="118"/>
      <c r="AG950" s="118"/>
      <c r="AH950" s="118"/>
      <c r="AI950" s="118"/>
      <c r="AJ950" s="118"/>
      <c r="AL950" s="7"/>
    </row>
    <row r="951" spans="1:38" ht="12.75" customHeight="1">
      <c r="A951" s="71"/>
      <c r="Y951" s="118"/>
      <c r="Z951" s="118"/>
      <c r="AA951" s="118"/>
      <c r="AB951" s="118"/>
      <c r="AC951" s="118"/>
      <c r="AD951" s="118"/>
      <c r="AE951" s="118"/>
      <c r="AF951" s="118"/>
      <c r="AG951" s="118"/>
      <c r="AH951" s="118"/>
      <c r="AI951" s="118"/>
      <c r="AJ951" s="118"/>
      <c r="AL951" s="7"/>
    </row>
    <row r="952" spans="1:38" ht="12.75" customHeight="1">
      <c r="A952" s="71"/>
      <c r="Y952" s="118"/>
      <c r="Z952" s="118"/>
      <c r="AA952" s="118"/>
      <c r="AB952" s="118"/>
      <c r="AC952" s="118"/>
      <c r="AD952" s="118"/>
      <c r="AE952" s="118"/>
      <c r="AF952" s="118"/>
      <c r="AG952" s="118"/>
      <c r="AH952" s="118"/>
      <c r="AI952" s="118"/>
      <c r="AJ952" s="118"/>
      <c r="AL952" s="7"/>
    </row>
    <row r="953" spans="1:38" ht="12.75" customHeight="1">
      <c r="A953" s="71"/>
      <c r="Y953" s="118"/>
      <c r="Z953" s="118"/>
      <c r="AA953" s="118"/>
      <c r="AB953" s="118"/>
      <c r="AC953" s="118"/>
      <c r="AD953" s="118"/>
      <c r="AE953" s="118"/>
      <c r="AF953" s="118"/>
      <c r="AG953" s="118"/>
      <c r="AH953" s="118"/>
      <c r="AI953" s="118"/>
      <c r="AJ953" s="118"/>
      <c r="AL953" s="7"/>
    </row>
    <row r="954" spans="1:38" ht="12.75" customHeight="1">
      <c r="A954" s="71"/>
      <c r="Y954" s="118"/>
      <c r="Z954" s="118"/>
      <c r="AA954" s="118"/>
      <c r="AB954" s="118"/>
      <c r="AC954" s="118"/>
      <c r="AD954" s="118"/>
      <c r="AE954" s="118"/>
      <c r="AF954" s="118"/>
      <c r="AG954" s="118"/>
      <c r="AH954" s="118"/>
      <c r="AI954" s="118"/>
      <c r="AJ954" s="118"/>
      <c r="AL954" s="7"/>
    </row>
    <row r="955" spans="1:38" ht="12.75" customHeight="1">
      <c r="A955" s="71"/>
      <c r="Y955" s="118"/>
      <c r="Z955" s="118"/>
      <c r="AA955" s="118"/>
      <c r="AB955" s="118"/>
      <c r="AC955" s="118"/>
      <c r="AD955" s="118"/>
      <c r="AE955" s="118"/>
      <c r="AF955" s="118"/>
      <c r="AG955" s="118"/>
      <c r="AH955" s="118"/>
      <c r="AI955" s="118"/>
      <c r="AJ955" s="118"/>
      <c r="AL955" s="7"/>
    </row>
    <row r="956" spans="1:38" ht="12.75" customHeight="1">
      <c r="A956" s="71"/>
      <c r="Y956" s="118"/>
      <c r="Z956" s="118"/>
      <c r="AA956" s="118"/>
      <c r="AB956" s="118"/>
      <c r="AC956" s="118"/>
      <c r="AD956" s="118"/>
      <c r="AE956" s="118"/>
      <c r="AF956" s="118"/>
      <c r="AG956" s="118"/>
      <c r="AH956" s="118"/>
      <c r="AI956" s="118"/>
      <c r="AJ956" s="118"/>
      <c r="AL956" s="7"/>
    </row>
    <row r="957" spans="1:38" ht="12.75" customHeight="1">
      <c r="A957" s="71"/>
      <c r="Y957" s="118"/>
      <c r="Z957" s="118"/>
      <c r="AA957" s="118"/>
      <c r="AB957" s="118"/>
      <c r="AC957" s="118"/>
      <c r="AD957" s="118"/>
      <c r="AE957" s="118"/>
      <c r="AF957" s="118"/>
      <c r="AG957" s="118"/>
      <c r="AH957" s="118"/>
      <c r="AI957" s="118"/>
      <c r="AJ957" s="118"/>
      <c r="AL957" s="7"/>
    </row>
    <row r="958" spans="1:38" ht="12.75" customHeight="1">
      <c r="A958" s="71"/>
      <c r="Y958" s="118"/>
      <c r="Z958" s="118"/>
      <c r="AA958" s="118"/>
      <c r="AB958" s="118"/>
      <c r="AC958" s="118"/>
      <c r="AD958" s="118"/>
      <c r="AE958" s="118"/>
      <c r="AF958" s="118"/>
      <c r="AG958" s="118"/>
      <c r="AH958" s="118"/>
      <c r="AI958" s="118"/>
      <c r="AJ958" s="118"/>
      <c r="AL958" s="7"/>
    </row>
    <row r="959" spans="1:38" ht="12.75" customHeight="1">
      <c r="A959" s="71"/>
      <c r="Y959" s="118"/>
      <c r="Z959" s="118"/>
      <c r="AA959" s="118"/>
      <c r="AB959" s="118"/>
      <c r="AC959" s="118"/>
      <c r="AD959" s="118"/>
      <c r="AE959" s="118"/>
      <c r="AF959" s="118"/>
      <c r="AG959" s="118"/>
      <c r="AH959" s="118"/>
      <c r="AI959" s="118"/>
      <c r="AJ959" s="118"/>
      <c r="AL959" s="7"/>
    </row>
    <row r="960" spans="1:38" ht="12.75" customHeight="1">
      <c r="A960" s="71"/>
      <c r="Y960" s="118"/>
      <c r="Z960" s="118"/>
      <c r="AA960" s="118"/>
      <c r="AB960" s="118"/>
      <c r="AC960" s="118"/>
      <c r="AD960" s="118"/>
      <c r="AE960" s="118"/>
      <c r="AF960" s="118"/>
      <c r="AG960" s="118"/>
      <c r="AH960" s="118"/>
      <c r="AI960" s="118"/>
      <c r="AJ960" s="118"/>
      <c r="AL960" s="7"/>
    </row>
    <row r="961" spans="1:38" ht="12.75" customHeight="1">
      <c r="A961" s="71"/>
      <c r="Y961" s="118"/>
      <c r="Z961" s="118"/>
      <c r="AA961" s="118"/>
      <c r="AB961" s="118"/>
      <c r="AC961" s="118"/>
      <c r="AD961" s="118"/>
      <c r="AE961" s="118"/>
      <c r="AF961" s="118"/>
      <c r="AG961" s="118"/>
      <c r="AH961" s="118"/>
      <c r="AI961" s="118"/>
      <c r="AJ961" s="118"/>
      <c r="AL961" s="7"/>
    </row>
    <row r="962" spans="1:38" ht="12.75" customHeight="1">
      <c r="A962" s="71"/>
      <c r="Y962" s="118"/>
      <c r="Z962" s="118"/>
      <c r="AA962" s="118"/>
      <c r="AB962" s="118"/>
      <c r="AC962" s="118"/>
      <c r="AD962" s="118"/>
      <c r="AE962" s="118"/>
      <c r="AF962" s="118"/>
      <c r="AG962" s="118"/>
      <c r="AH962" s="118"/>
      <c r="AI962" s="118"/>
      <c r="AJ962" s="118"/>
      <c r="AL962" s="7"/>
    </row>
    <row r="963" spans="1:38" ht="12.75" customHeight="1">
      <c r="A963" s="71"/>
      <c r="Y963" s="118"/>
      <c r="Z963" s="118"/>
      <c r="AA963" s="118"/>
      <c r="AB963" s="118"/>
      <c r="AC963" s="118"/>
      <c r="AD963" s="118"/>
      <c r="AE963" s="118"/>
      <c r="AF963" s="118"/>
      <c r="AG963" s="118"/>
      <c r="AH963" s="118"/>
      <c r="AI963" s="118"/>
      <c r="AJ963" s="118"/>
      <c r="AL963" s="7"/>
    </row>
    <row r="964" spans="1:38" ht="12.75" customHeight="1">
      <c r="A964" s="71"/>
      <c r="Y964" s="118"/>
      <c r="Z964" s="118"/>
      <c r="AA964" s="118"/>
      <c r="AB964" s="118"/>
      <c r="AC964" s="118"/>
      <c r="AD964" s="118"/>
      <c r="AE964" s="118"/>
      <c r="AF964" s="118"/>
      <c r="AG964" s="118"/>
      <c r="AH964" s="118"/>
      <c r="AI964" s="118"/>
      <c r="AJ964" s="118"/>
      <c r="AL964" s="7"/>
    </row>
    <row r="965" spans="1:38" ht="12.75" customHeight="1">
      <c r="A965" s="71"/>
      <c r="Y965" s="118"/>
      <c r="Z965" s="118"/>
      <c r="AA965" s="118"/>
      <c r="AB965" s="118"/>
      <c r="AC965" s="118"/>
      <c r="AD965" s="118"/>
      <c r="AE965" s="118"/>
      <c r="AF965" s="118"/>
      <c r="AG965" s="118"/>
      <c r="AH965" s="118"/>
      <c r="AI965" s="118"/>
      <c r="AJ965" s="118"/>
      <c r="AL965" s="7"/>
    </row>
    <row r="966" spans="1:38" ht="12.75" customHeight="1">
      <c r="A966" s="71"/>
      <c r="Y966" s="118"/>
      <c r="Z966" s="118"/>
      <c r="AA966" s="118"/>
      <c r="AB966" s="118"/>
      <c r="AC966" s="118"/>
      <c r="AD966" s="118"/>
      <c r="AE966" s="118"/>
      <c r="AF966" s="118"/>
      <c r="AG966" s="118"/>
      <c r="AH966" s="118"/>
      <c r="AI966" s="118"/>
      <c r="AJ966" s="118"/>
      <c r="AL966" s="7"/>
    </row>
    <row r="967" spans="1:38" ht="12.75" customHeight="1">
      <c r="A967" s="71"/>
      <c r="Y967" s="118"/>
      <c r="Z967" s="118"/>
      <c r="AA967" s="118"/>
      <c r="AB967" s="118"/>
      <c r="AC967" s="118"/>
      <c r="AD967" s="118"/>
      <c r="AE967" s="118"/>
      <c r="AF967" s="118"/>
      <c r="AG967" s="118"/>
      <c r="AH967" s="118"/>
      <c r="AI967" s="118"/>
      <c r="AJ967" s="118"/>
      <c r="AL967" s="7"/>
    </row>
    <row r="968" spans="1:38" ht="12.75" customHeight="1">
      <c r="A968" s="71"/>
      <c r="Y968" s="118"/>
      <c r="Z968" s="118"/>
      <c r="AA968" s="118"/>
      <c r="AB968" s="118"/>
      <c r="AC968" s="118"/>
      <c r="AD968" s="118"/>
      <c r="AE968" s="118"/>
      <c r="AF968" s="118"/>
      <c r="AG968" s="118"/>
      <c r="AH968" s="118"/>
      <c r="AI968" s="118"/>
      <c r="AJ968" s="118"/>
      <c r="AL968" s="7"/>
    </row>
    <row r="969" spans="1:38" ht="12.75" customHeight="1">
      <c r="A969" s="71"/>
      <c r="Y969" s="118"/>
      <c r="Z969" s="118"/>
      <c r="AA969" s="118"/>
      <c r="AB969" s="118"/>
      <c r="AC969" s="118"/>
      <c r="AD969" s="118"/>
      <c r="AE969" s="118"/>
      <c r="AF969" s="118"/>
      <c r="AG969" s="118"/>
      <c r="AH969" s="118"/>
      <c r="AI969" s="118"/>
      <c r="AJ969" s="118"/>
      <c r="AL969" s="7"/>
    </row>
    <row r="970" spans="1:38" ht="12.75" customHeight="1">
      <c r="A970" s="71"/>
      <c r="Y970" s="118"/>
      <c r="Z970" s="118"/>
      <c r="AA970" s="118"/>
      <c r="AB970" s="118"/>
      <c r="AC970" s="118"/>
      <c r="AD970" s="118"/>
      <c r="AE970" s="118"/>
      <c r="AF970" s="118"/>
      <c r="AG970" s="118"/>
      <c r="AH970" s="118"/>
      <c r="AI970" s="118"/>
      <c r="AJ970" s="118"/>
      <c r="AL970" s="7"/>
    </row>
    <row r="971" spans="1:38" ht="12.75" customHeight="1">
      <c r="A971" s="71"/>
      <c r="Y971" s="118"/>
      <c r="Z971" s="118"/>
      <c r="AA971" s="118"/>
      <c r="AB971" s="118"/>
      <c r="AC971" s="118"/>
      <c r="AD971" s="118"/>
      <c r="AE971" s="118"/>
      <c r="AF971" s="118"/>
      <c r="AG971" s="118"/>
      <c r="AH971" s="118"/>
      <c r="AI971" s="118"/>
      <c r="AJ971" s="118"/>
      <c r="AL971" s="7"/>
    </row>
    <row r="972" spans="1:38" ht="12.75" customHeight="1">
      <c r="A972" s="71"/>
      <c r="Y972" s="118"/>
      <c r="Z972" s="118"/>
      <c r="AA972" s="118"/>
      <c r="AB972" s="118"/>
      <c r="AC972" s="118"/>
      <c r="AD972" s="118"/>
      <c r="AE972" s="118"/>
      <c r="AF972" s="118"/>
      <c r="AG972" s="118"/>
      <c r="AH972" s="118"/>
      <c r="AI972" s="118"/>
      <c r="AJ972" s="118"/>
      <c r="AL972" s="7"/>
    </row>
    <row r="973" spans="1:38" ht="12.75" customHeight="1">
      <c r="A973" s="71"/>
      <c r="Y973" s="118"/>
      <c r="Z973" s="118"/>
      <c r="AA973" s="118"/>
      <c r="AB973" s="118"/>
      <c r="AC973" s="118"/>
      <c r="AD973" s="118"/>
      <c r="AE973" s="118"/>
      <c r="AF973" s="118"/>
      <c r="AG973" s="118"/>
      <c r="AH973" s="118"/>
      <c r="AI973" s="118"/>
      <c r="AJ973" s="118"/>
      <c r="AL973" s="7"/>
    </row>
    <row r="974" spans="1:38" ht="12.75" customHeight="1">
      <c r="A974" s="71"/>
      <c r="Y974" s="118"/>
      <c r="Z974" s="118"/>
      <c r="AA974" s="118"/>
      <c r="AB974" s="118"/>
      <c r="AC974" s="118"/>
      <c r="AD974" s="118"/>
      <c r="AE974" s="118"/>
      <c r="AF974" s="118"/>
      <c r="AG974" s="118"/>
      <c r="AH974" s="118"/>
      <c r="AI974" s="118"/>
      <c r="AJ974" s="118"/>
      <c r="AL974" s="7"/>
    </row>
    <row r="975" spans="1:38" ht="12.75" customHeight="1">
      <c r="A975" s="71"/>
      <c r="Y975" s="118"/>
      <c r="Z975" s="118"/>
      <c r="AA975" s="118"/>
      <c r="AB975" s="118"/>
      <c r="AC975" s="118"/>
      <c r="AD975" s="118"/>
      <c r="AE975" s="118"/>
      <c r="AF975" s="118"/>
      <c r="AG975" s="118"/>
      <c r="AH975" s="118"/>
      <c r="AI975" s="118"/>
      <c r="AJ975" s="118"/>
      <c r="AL975" s="7"/>
    </row>
    <row r="976" spans="1:38" ht="12.75" customHeight="1">
      <c r="A976" s="71"/>
      <c r="Y976" s="118"/>
      <c r="Z976" s="118"/>
      <c r="AA976" s="118"/>
      <c r="AB976" s="118"/>
      <c r="AC976" s="118"/>
      <c r="AD976" s="118"/>
      <c r="AE976" s="118"/>
      <c r="AF976" s="118"/>
      <c r="AG976" s="118"/>
      <c r="AH976" s="118"/>
      <c r="AI976" s="118"/>
      <c r="AJ976" s="118"/>
      <c r="AL976" s="7"/>
    </row>
    <row r="977" spans="1:38" ht="12.75" customHeight="1">
      <c r="A977" s="71"/>
      <c r="Y977" s="118"/>
      <c r="Z977" s="118"/>
      <c r="AA977" s="118"/>
      <c r="AB977" s="118"/>
      <c r="AC977" s="118"/>
      <c r="AD977" s="118"/>
      <c r="AE977" s="118"/>
      <c r="AF977" s="118"/>
      <c r="AG977" s="118"/>
      <c r="AH977" s="118"/>
      <c r="AI977" s="118"/>
      <c r="AJ977" s="118"/>
      <c r="AL977" s="7"/>
    </row>
    <row r="978" spans="1:38" ht="12.75" customHeight="1">
      <c r="A978" s="71"/>
      <c r="Y978" s="118"/>
      <c r="Z978" s="118"/>
      <c r="AA978" s="118"/>
      <c r="AB978" s="118"/>
      <c r="AC978" s="118"/>
      <c r="AD978" s="118"/>
      <c r="AE978" s="118"/>
      <c r="AF978" s="118"/>
      <c r="AG978" s="118"/>
      <c r="AH978" s="118"/>
      <c r="AI978" s="118"/>
      <c r="AJ978" s="118"/>
      <c r="AL978" s="7"/>
    </row>
    <row r="979" spans="1:38" ht="12.75" customHeight="1">
      <c r="A979" s="71"/>
      <c r="Y979" s="118"/>
      <c r="Z979" s="118"/>
      <c r="AA979" s="118"/>
      <c r="AB979" s="118"/>
      <c r="AC979" s="118"/>
      <c r="AD979" s="118"/>
      <c r="AE979" s="118"/>
      <c r="AF979" s="118"/>
      <c r="AG979" s="118"/>
      <c r="AH979" s="118"/>
      <c r="AI979" s="118"/>
      <c r="AJ979" s="118"/>
      <c r="AL979" s="7"/>
    </row>
    <row r="980" spans="1:38" ht="12.75" customHeight="1">
      <c r="A980" s="71"/>
      <c r="Y980" s="118"/>
      <c r="Z980" s="118"/>
      <c r="AA980" s="118"/>
      <c r="AB980" s="118"/>
      <c r="AC980" s="118"/>
      <c r="AD980" s="118"/>
      <c r="AE980" s="118"/>
      <c r="AF980" s="118"/>
      <c r="AG980" s="118"/>
      <c r="AH980" s="118"/>
      <c r="AI980" s="118"/>
      <c r="AJ980" s="118"/>
      <c r="AL980" s="7"/>
    </row>
    <row r="981" spans="1:38" ht="12.75" customHeight="1">
      <c r="A981" s="71"/>
      <c r="Y981" s="118"/>
      <c r="Z981" s="118"/>
      <c r="AA981" s="118"/>
      <c r="AB981" s="118"/>
      <c r="AC981" s="118"/>
      <c r="AD981" s="118"/>
      <c r="AE981" s="118"/>
      <c r="AF981" s="118"/>
      <c r="AG981" s="118"/>
      <c r="AH981" s="118"/>
      <c r="AI981" s="118"/>
      <c r="AJ981" s="118"/>
      <c r="AL981" s="7"/>
    </row>
    <row r="982" spans="1:38" ht="12.75" customHeight="1">
      <c r="A982" s="71"/>
      <c r="Y982" s="118"/>
      <c r="Z982" s="118"/>
      <c r="AA982" s="118"/>
      <c r="AB982" s="118"/>
      <c r="AC982" s="118"/>
      <c r="AD982" s="118"/>
      <c r="AE982" s="118"/>
      <c r="AF982" s="118"/>
      <c r="AG982" s="118"/>
      <c r="AH982" s="118"/>
      <c r="AI982" s="118"/>
      <c r="AJ982" s="118"/>
      <c r="AL982" s="7"/>
    </row>
    <row r="983" spans="1:38" ht="12.75" customHeight="1">
      <c r="A983" s="71"/>
      <c r="Y983" s="118"/>
      <c r="Z983" s="118"/>
      <c r="AA983" s="118"/>
      <c r="AB983" s="118"/>
      <c r="AC983" s="118"/>
      <c r="AD983" s="118"/>
      <c r="AE983" s="118"/>
      <c r="AF983" s="118"/>
      <c r="AG983" s="118"/>
      <c r="AH983" s="118"/>
      <c r="AI983" s="118"/>
      <c r="AJ983" s="118"/>
      <c r="AL983" s="7"/>
    </row>
    <row r="984" spans="1:38" ht="12.75" customHeight="1">
      <c r="A984" s="71"/>
      <c r="Y984" s="118"/>
      <c r="Z984" s="118"/>
      <c r="AA984" s="118"/>
      <c r="AB984" s="118"/>
      <c r="AC984" s="118"/>
      <c r="AD984" s="118"/>
      <c r="AE984" s="118"/>
      <c r="AF984" s="118"/>
      <c r="AG984" s="118"/>
      <c r="AH984" s="118"/>
      <c r="AI984" s="118"/>
      <c r="AJ984" s="118"/>
      <c r="AL984" s="7"/>
    </row>
    <row r="985" spans="1:38" ht="12.75" customHeight="1">
      <c r="A985" s="71"/>
      <c r="Y985" s="118"/>
      <c r="Z985" s="118"/>
      <c r="AA985" s="118"/>
      <c r="AB985" s="118"/>
      <c r="AC985" s="118"/>
      <c r="AD985" s="118"/>
      <c r="AE985" s="118"/>
      <c r="AF985" s="118"/>
      <c r="AG985" s="118"/>
      <c r="AH985" s="118"/>
      <c r="AI985" s="118"/>
      <c r="AJ985" s="118"/>
      <c r="AL985" s="7"/>
    </row>
    <row r="986" spans="1:38" ht="12.75" customHeight="1">
      <c r="A986" s="71"/>
      <c r="Y986" s="118"/>
      <c r="Z986" s="118"/>
      <c r="AA986" s="118"/>
      <c r="AB986" s="118"/>
      <c r="AC986" s="118"/>
      <c r="AD986" s="118"/>
      <c r="AE986" s="118"/>
      <c r="AF986" s="118"/>
      <c r="AG986" s="118"/>
      <c r="AH986" s="118"/>
      <c r="AI986" s="118"/>
      <c r="AJ986" s="118"/>
      <c r="AL986" s="7"/>
    </row>
    <row r="987" spans="1:38" ht="12.75" customHeight="1">
      <c r="A987" s="71"/>
      <c r="Y987" s="118"/>
      <c r="Z987" s="118"/>
      <c r="AA987" s="118"/>
      <c r="AB987" s="118"/>
      <c r="AC987" s="118"/>
      <c r="AD987" s="118"/>
      <c r="AE987" s="118"/>
      <c r="AF987" s="118"/>
      <c r="AG987" s="118"/>
      <c r="AH987" s="118"/>
      <c r="AI987" s="118"/>
      <c r="AJ987" s="118"/>
      <c r="AL987" s="7"/>
    </row>
    <row r="988" spans="1:38" ht="12.75" customHeight="1">
      <c r="A988" s="71"/>
      <c r="Y988" s="118"/>
      <c r="Z988" s="118"/>
      <c r="AA988" s="118"/>
      <c r="AB988" s="118"/>
      <c r="AC988" s="118"/>
      <c r="AD988" s="118"/>
      <c r="AE988" s="118"/>
      <c r="AF988" s="118"/>
      <c r="AG988" s="118"/>
      <c r="AH988" s="118"/>
      <c r="AI988" s="118"/>
      <c r="AJ988" s="118"/>
      <c r="AL988" s="7"/>
    </row>
    <row r="989" spans="1:38" ht="12.75" customHeight="1">
      <c r="A989" s="71"/>
      <c r="Y989" s="118"/>
      <c r="Z989" s="118"/>
      <c r="AA989" s="118"/>
      <c r="AB989" s="118"/>
      <c r="AC989" s="118"/>
      <c r="AD989" s="118"/>
      <c r="AE989" s="118"/>
      <c r="AF989" s="118"/>
      <c r="AG989" s="118"/>
      <c r="AH989" s="118"/>
      <c r="AI989" s="118"/>
      <c r="AJ989" s="118"/>
      <c r="AL989" s="7"/>
    </row>
    <row r="990" spans="1:38" ht="12.75" customHeight="1">
      <c r="A990" s="71"/>
      <c r="Y990" s="118"/>
      <c r="Z990" s="118"/>
      <c r="AA990" s="118"/>
      <c r="AB990" s="118"/>
      <c r="AC990" s="118"/>
      <c r="AD990" s="118"/>
      <c r="AE990" s="118"/>
      <c r="AF990" s="118"/>
      <c r="AG990" s="118"/>
      <c r="AH990" s="118"/>
      <c r="AI990" s="118"/>
      <c r="AJ990" s="118"/>
      <c r="AL990" s="7"/>
    </row>
    <row r="991" spans="1:38" ht="12.75" customHeight="1">
      <c r="A991" s="71"/>
      <c r="Y991" s="118"/>
      <c r="Z991" s="118"/>
      <c r="AA991" s="118"/>
      <c r="AB991" s="118"/>
      <c r="AC991" s="118"/>
      <c r="AD991" s="118"/>
      <c r="AE991" s="118"/>
      <c r="AF991" s="118"/>
      <c r="AG991" s="118"/>
      <c r="AH991" s="118"/>
      <c r="AI991" s="118"/>
      <c r="AJ991" s="118"/>
      <c r="AL991" s="7"/>
    </row>
    <row r="992" spans="1:38" ht="12.75" customHeight="1">
      <c r="A992" s="71"/>
      <c r="Y992" s="118"/>
      <c r="Z992" s="118"/>
      <c r="AA992" s="118"/>
      <c r="AB992" s="118"/>
      <c r="AC992" s="118"/>
      <c r="AD992" s="118"/>
      <c r="AE992" s="118"/>
      <c r="AF992" s="118"/>
      <c r="AG992" s="118"/>
      <c r="AH992" s="118"/>
      <c r="AI992" s="118"/>
      <c r="AJ992" s="118"/>
      <c r="AL992" s="7"/>
    </row>
    <row r="993" spans="1:38" ht="12.75" customHeight="1">
      <c r="A993" s="71"/>
      <c r="Y993" s="118"/>
      <c r="Z993" s="118"/>
      <c r="AA993" s="118"/>
      <c r="AB993" s="118"/>
      <c r="AC993" s="118"/>
      <c r="AD993" s="118"/>
      <c r="AE993" s="118"/>
      <c r="AF993" s="118"/>
      <c r="AG993" s="118"/>
      <c r="AH993" s="118"/>
      <c r="AI993" s="118"/>
      <c r="AJ993" s="118"/>
      <c r="AL993" s="7"/>
    </row>
    <row r="994" spans="1:38" ht="12.75" customHeight="1">
      <c r="A994" s="71"/>
      <c r="Y994" s="118"/>
      <c r="Z994" s="118"/>
      <c r="AA994" s="118"/>
      <c r="AB994" s="118"/>
      <c r="AC994" s="118"/>
      <c r="AD994" s="118"/>
      <c r="AE994" s="118"/>
      <c r="AF994" s="118"/>
      <c r="AG994" s="118"/>
      <c r="AH994" s="118"/>
      <c r="AI994" s="118"/>
      <c r="AJ994" s="118"/>
      <c r="AL994" s="7"/>
    </row>
    <row r="995" spans="1:38" ht="12.75" customHeight="1">
      <c r="A995" s="71"/>
      <c r="Y995" s="118"/>
      <c r="Z995" s="118"/>
      <c r="AA995" s="118"/>
      <c r="AB995" s="118"/>
      <c r="AC995" s="118"/>
      <c r="AD995" s="118"/>
      <c r="AE995" s="118"/>
      <c r="AF995" s="118"/>
      <c r="AG995" s="118"/>
      <c r="AH995" s="118"/>
      <c r="AI995" s="118"/>
      <c r="AJ995" s="118"/>
      <c r="AL995" s="7"/>
    </row>
    <row r="996" spans="1:38" ht="12.75" customHeight="1">
      <c r="A996" s="71"/>
      <c r="Y996" s="118"/>
      <c r="Z996" s="118"/>
      <c r="AA996" s="118"/>
      <c r="AB996" s="118"/>
      <c r="AC996" s="118"/>
      <c r="AD996" s="118"/>
      <c r="AE996" s="118"/>
      <c r="AF996" s="118"/>
      <c r="AG996" s="118"/>
      <c r="AH996" s="118"/>
      <c r="AI996" s="118"/>
      <c r="AJ996" s="118"/>
      <c r="AL996" s="7"/>
    </row>
    <row r="997" spans="1:38" ht="12.75" customHeight="1">
      <c r="A997" s="71"/>
      <c r="Y997" s="118"/>
      <c r="Z997" s="118"/>
      <c r="AA997" s="118"/>
      <c r="AB997" s="118"/>
      <c r="AC997" s="118"/>
      <c r="AD997" s="118"/>
      <c r="AE997" s="118"/>
      <c r="AF997" s="118"/>
      <c r="AG997" s="118"/>
      <c r="AH997" s="118"/>
      <c r="AI997" s="118"/>
      <c r="AJ997" s="118"/>
      <c r="AL997" s="7"/>
    </row>
    <row r="998" spans="1:38" ht="12.75" customHeight="1">
      <c r="A998" s="71"/>
      <c r="Y998" s="118"/>
      <c r="Z998" s="118"/>
      <c r="AA998" s="118"/>
      <c r="AB998" s="118"/>
      <c r="AC998" s="118"/>
      <c r="AD998" s="118"/>
      <c r="AE998" s="118"/>
      <c r="AF998" s="118"/>
      <c r="AG998" s="118"/>
      <c r="AH998" s="118"/>
      <c r="AI998" s="118"/>
      <c r="AJ998" s="118"/>
      <c r="AL998" s="7"/>
    </row>
    <row r="999" spans="1:38" ht="12.75" customHeight="1">
      <c r="A999" s="71"/>
      <c r="Y999" s="118"/>
      <c r="Z999" s="118"/>
      <c r="AA999" s="118"/>
      <c r="AB999" s="118"/>
      <c r="AC999" s="118"/>
      <c r="AD999" s="118"/>
      <c r="AE999" s="118"/>
      <c r="AF999" s="118"/>
      <c r="AG999" s="118"/>
      <c r="AH999" s="118"/>
      <c r="AI999" s="118"/>
      <c r="AJ999" s="118"/>
      <c r="AL999" s="7"/>
    </row>
    <row r="1000" spans="1:38" ht="12.75" customHeight="1">
      <c r="A1000" s="71"/>
      <c r="Y1000" s="118"/>
      <c r="Z1000" s="118"/>
      <c r="AA1000" s="118"/>
      <c r="AB1000" s="118"/>
      <c r="AC1000" s="118"/>
      <c r="AD1000" s="118"/>
      <c r="AE1000" s="118"/>
      <c r="AF1000" s="118"/>
      <c r="AG1000" s="118"/>
      <c r="AH1000" s="118"/>
      <c r="AI1000" s="118"/>
      <c r="AJ1000" s="118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0385532-E391-4A6A-9B67-7818757CD351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53B87310-EDEA-435C-920A-C8CC4A46020D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L1000"/>
  <sheetViews>
    <sheetView topLeftCell="A8" zoomScale="138" zoomScaleNormal="85" workbookViewId="0">
      <selection activeCell="W33" sqref="W33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Mai!P1+31</f>
        <v>46174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Mai!X1+1</f>
        <v>6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19" t="s">
        <v>5</v>
      </c>
      <c r="D2" s="179"/>
      <c r="E2" s="180">
        <f>Summen!B18</f>
        <v>10.8</v>
      </c>
      <c r="F2" s="179" t="s">
        <v>6</v>
      </c>
      <c r="G2" s="179"/>
      <c r="H2" s="180">
        <f>Mai!H2+(Mai!Q35/Summen!B9)</f>
        <v>0</v>
      </c>
      <c r="I2" s="179" t="s">
        <v>7</v>
      </c>
      <c r="J2" s="181">
        <f>E2-H2</f>
        <v>10.8</v>
      </c>
      <c r="K2" s="179"/>
      <c r="L2" s="179"/>
      <c r="M2" s="179"/>
      <c r="N2" s="179"/>
      <c r="O2" s="179"/>
      <c r="P2" s="179"/>
      <c r="Q2" s="179"/>
      <c r="R2" s="182"/>
      <c r="S2" s="119"/>
      <c r="T2" s="183" t="s">
        <v>8</v>
      </c>
      <c r="U2" s="120">
        <f>Mai!U35</f>
        <v>0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5"/>
      <c r="AG2" s="9"/>
      <c r="AH2" s="10"/>
      <c r="AI2" s="10"/>
      <c r="AJ2" s="78"/>
      <c r="AK2" s="7"/>
      <c r="AL2" s="7"/>
    </row>
    <row r="3" spans="1:38" ht="69.75" customHeight="1">
      <c r="A3" s="22" t="s">
        <v>10</v>
      </c>
      <c r="B3" s="147"/>
      <c r="C3" s="146" t="s">
        <v>36</v>
      </c>
      <c r="D3" s="146" t="s">
        <v>37</v>
      </c>
      <c r="E3" s="146" t="s">
        <v>38</v>
      </c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121" t="s">
        <v>39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81" t="s">
        <v>27</v>
      </c>
      <c r="AH3" s="173" t="s">
        <v>28</v>
      </c>
      <c r="AI3" s="173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46174</v>
      </c>
      <c r="B4" s="159" t="str">
        <f>IFERROR(VLOOKUP(A4, Feiertage!$B:$C, 2, 0), IF(OR(WEEKDAY(A4,2)=6, WEEKDAY(A4,2)=7), Feiertage!$C$23, ""))</f>
        <v/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60"/>
      <c r="R4" s="44">
        <v>0</v>
      </c>
      <c r="S4" s="31">
        <f t="shared" ref="S4:S33" si="0">SUM(C4:Q4)</f>
        <v>0</v>
      </c>
      <c r="T4" s="31">
        <f t="shared" ref="T4:T33" si="1">S4-R4</f>
        <v>0</v>
      </c>
      <c r="U4" s="32">
        <f>U2+T4</f>
        <v>0</v>
      </c>
      <c r="V4" s="159"/>
      <c r="W4" s="161"/>
      <c r="X4" s="122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3" si="2">(Z4-Y4)+(AB4-AA4)+(AD4-AC4)+(AF4-AE4)</f>
        <v>0</v>
      </c>
      <c r="AH4" s="31">
        <f t="shared" ref="AH4:AH33" si="3">HOUR(AG4)</f>
        <v>0</v>
      </c>
      <c r="AI4" s="31">
        <f t="shared" ref="AI4:AI33" si="4">MINUTE(AG4)/60</f>
        <v>0</v>
      </c>
      <c r="AJ4" s="32">
        <f t="shared" ref="AJ4:AJ33" si="5">AH4+AI4</f>
        <v>0</v>
      </c>
      <c r="AL4" s="37">
        <f t="shared" ref="AL4:AL34" si="6">SUM(C4:Q4)-AJ4</f>
        <v>0</v>
      </c>
    </row>
    <row r="5" spans="1:38" ht="13.5" customHeight="1">
      <c r="A5" s="39">
        <f t="shared" ref="A5:A33" si="7">A4+1</f>
        <v>46175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v>0</v>
      </c>
      <c r="S5" s="45">
        <f t="shared" si="0"/>
        <v>0</v>
      </c>
      <c r="T5" s="45">
        <f t="shared" si="1"/>
        <v>0</v>
      </c>
      <c r="U5" s="46">
        <f t="shared" ref="U5:U33" si="8">U4+T5</f>
        <v>0</v>
      </c>
      <c r="V5" s="42"/>
      <c r="W5" s="47"/>
      <c r="X5" s="123">
        <f>V5+W5*Summen!$B$44</f>
        <v>0</v>
      </c>
      <c r="Y5" s="162"/>
      <c r="Z5" s="49"/>
      <c r="AA5" s="49"/>
      <c r="AB5" s="49"/>
      <c r="AC5" s="49"/>
      <c r="AD5" s="49"/>
      <c r="AE5" s="49"/>
      <c r="AF5" s="163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46176</v>
      </c>
      <c r="B6" s="159" t="str">
        <f>IFERROR(VLOOKUP(A6, Feiertage!$B:$C, 2, 0), IF(OR(WEEKDAY(A6,2)=6, WEEKDAY(A6,2)=7), Feiertage!$C$23, ""))</f>
        <v/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v>0</v>
      </c>
      <c r="S6" s="45">
        <f t="shared" si="0"/>
        <v>0</v>
      </c>
      <c r="T6" s="45">
        <f t="shared" si="1"/>
        <v>0</v>
      </c>
      <c r="U6" s="46">
        <f t="shared" si="8"/>
        <v>0</v>
      </c>
      <c r="V6" s="159"/>
      <c r="W6" s="161"/>
      <c r="X6" s="123">
        <f>V6+W6*Summen!$B$44</f>
        <v>0</v>
      </c>
      <c r="Y6" s="53"/>
      <c r="Z6" s="54"/>
      <c r="AA6" s="54"/>
      <c r="AB6" s="54"/>
      <c r="AC6" s="54"/>
      <c r="AD6" s="54"/>
      <c r="AE6" s="54"/>
      <c r="AF6" s="55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46177</v>
      </c>
      <c r="B7" s="42" t="str">
        <f>IFERROR(VLOOKUP(A7, Feiertage!$B:$C, 2, 0), IF(OR(WEEKDAY(A7,2)=6, WEEKDAY(A7,2)=7), Feiertage!$C$23, ""))</f>
        <v>* * * * * * * * Fronleichnam * * * * * * * * * * * * * * * * * * * * * * * * * * * * * * * * * * * * * * * * * * * * * * * *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0</v>
      </c>
      <c r="S7" s="45">
        <f t="shared" si="0"/>
        <v>0</v>
      </c>
      <c r="T7" s="45">
        <f t="shared" si="1"/>
        <v>0</v>
      </c>
      <c r="U7" s="46">
        <f t="shared" si="8"/>
        <v>0</v>
      </c>
      <c r="V7" s="42"/>
      <c r="W7" s="47"/>
      <c r="X7" s="123">
        <f>V7+W7*Summen!$B$44</f>
        <v>0</v>
      </c>
      <c r="Y7" s="162"/>
      <c r="Z7" s="49"/>
      <c r="AA7" s="49"/>
      <c r="AB7" s="49"/>
      <c r="AC7" s="49"/>
      <c r="AD7" s="49"/>
      <c r="AE7" s="49"/>
      <c r="AF7" s="163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46178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v>0</v>
      </c>
      <c r="S8" s="45">
        <f t="shared" si="0"/>
        <v>0</v>
      </c>
      <c r="T8" s="45">
        <f t="shared" si="1"/>
        <v>0</v>
      </c>
      <c r="U8" s="46">
        <f t="shared" si="8"/>
        <v>0</v>
      </c>
      <c r="V8" s="159"/>
      <c r="W8" s="161"/>
      <c r="X8" s="123">
        <f>V8+W8*Summen!$B$44</f>
        <v>0</v>
      </c>
      <c r="Y8" s="53"/>
      <c r="Z8" s="54"/>
      <c r="AA8" s="54"/>
      <c r="AB8" s="54"/>
      <c r="AC8" s="54"/>
      <c r="AD8" s="54"/>
      <c r="AE8" s="54"/>
      <c r="AF8" s="55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46179</v>
      </c>
      <c r="B9" s="42" t="str">
        <f>IFERROR(VLOOKUP(A9, Feiertage!$B:$C, 2, 0), IF(OR(WEEKDAY(A9,2)=6, WEEKDAY(A9,2)=7), Feiertage!$C$23, ""))</f>
        <v>* * * * * * * * Wochenende * * * * * * * * * * * * * * * * * * * * * * * * * * * * * * * * * * * * * * * * * * * * * * * *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0</v>
      </c>
      <c r="S9" s="45">
        <f t="shared" si="0"/>
        <v>0</v>
      </c>
      <c r="T9" s="45">
        <f t="shared" si="1"/>
        <v>0</v>
      </c>
      <c r="U9" s="46">
        <f t="shared" si="8"/>
        <v>0</v>
      </c>
      <c r="V9" s="42"/>
      <c r="W9" s="47"/>
      <c r="X9" s="123">
        <f>V9+W9*Summen!$B$44</f>
        <v>0</v>
      </c>
      <c r="Y9" s="162"/>
      <c r="Z9" s="49"/>
      <c r="AA9" s="49"/>
      <c r="AB9" s="49"/>
      <c r="AC9" s="49"/>
      <c r="AD9" s="49"/>
      <c r="AE9" s="49"/>
      <c r="AF9" s="163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46180</v>
      </c>
      <c r="B10" s="159" t="str">
        <f>IFERROR(VLOOKUP(A10, Feiertage!$B:$C, 2, 0), IF(OR(WEEKDAY(A10,2)=6, WEEKDAY(A10,2)=7), Feiertage!$C$23, ""))</f>
        <v>* * * * * * * * Wochenende * * * * * * * * * * * * * * * * * * * * * * * * * * * * * * * * * * * * * * * * * * * * * * * *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0</v>
      </c>
      <c r="S10" s="45">
        <f t="shared" si="0"/>
        <v>0</v>
      </c>
      <c r="T10" s="45">
        <f t="shared" si="1"/>
        <v>0</v>
      </c>
      <c r="U10" s="46">
        <f t="shared" si="8"/>
        <v>0</v>
      </c>
      <c r="V10" s="159"/>
      <c r="W10" s="161"/>
      <c r="X10" s="123">
        <f>V10+W10*Summen!$B$44</f>
        <v>0</v>
      </c>
      <c r="Y10" s="53"/>
      <c r="Z10" s="54"/>
      <c r="AA10" s="54"/>
      <c r="AB10" s="54"/>
      <c r="AC10" s="54"/>
      <c r="AD10" s="54"/>
      <c r="AE10" s="54"/>
      <c r="AF10" s="55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46181</v>
      </c>
      <c r="B11" s="42" t="str">
        <f>IFERROR(VLOOKUP(A11, Feiertage!$B:$C, 2, 0), IF(OR(WEEKDAY(A11,2)=6, WEEKDAY(A11,2)=7), Feiertage!$C$23, ""))</f>
        <v/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v>0</v>
      </c>
      <c r="S11" s="45">
        <f t="shared" si="0"/>
        <v>0</v>
      </c>
      <c r="T11" s="45">
        <f t="shared" si="1"/>
        <v>0</v>
      </c>
      <c r="U11" s="46">
        <f t="shared" si="8"/>
        <v>0</v>
      </c>
      <c r="V11" s="42"/>
      <c r="W11" s="47"/>
      <c r="X11" s="123">
        <f>V11+W11*Summen!$B$44</f>
        <v>0</v>
      </c>
      <c r="Y11" s="162"/>
      <c r="Z11" s="49"/>
      <c r="AA11" s="49"/>
      <c r="AB11" s="49"/>
      <c r="AC11" s="49"/>
      <c r="AD11" s="49"/>
      <c r="AE11" s="49"/>
      <c r="AF11" s="163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46182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v>0</v>
      </c>
      <c r="S12" s="45">
        <f t="shared" si="0"/>
        <v>0</v>
      </c>
      <c r="T12" s="45">
        <f t="shared" si="1"/>
        <v>0</v>
      </c>
      <c r="U12" s="46">
        <f t="shared" si="8"/>
        <v>0</v>
      </c>
      <c r="V12" s="159"/>
      <c r="W12" s="161"/>
      <c r="X12" s="123">
        <f>V12+W12*Summen!$B$44</f>
        <v>0</v>
      </c>
      <c r="Y12" s="53"/>
      <c r="Z12" s="54"/>
      <c r="AA12" s="54"/>
      <c r="AB12" s="54"/>
      <c r="AC12" s="54"/>
      <c r="AD12" s="54"/>
      <c r="AE12" s="54"/>
      <c r="AF12" s="55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46183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v>0</v>
      </c>
      <c r="S13" s="45">
        <f t="shared" si="0"/>
        <v>0</v>
      </c>
      <c r="T13" s="45">
        <f t="shared" si="1"/>
        <v>0</v>
      </c>
      <c r="U13" s="46">
        <f t="shared" si="8"/>
        <v>0</v>
      </c>
      <c r="V13" s="42"/>
      <c r="W13" s="47"/>
      <c r="X13" s="123">
        <f>V13+W13*Summen!$B$44</f>
        <v>0</v>
      </c>
      <c r="Y13" s="162"/>
      <c r="Z13" s="49"/>
      <c r="AA13" s="49"/>
      <c r="AB13" s="49"/>
      <c r="AC13" s="49"/>
      <c r="AD13" s="49"/>
      <c r="AE13" s="49"/>
      <c r="AF13" s="163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46184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v>0</v>
      </c>
      <c r="S14" s="45">
        <f t="shared" si="0"/>
        <v>0</v>
      </c>
      <c r="T14" s="45">
        <f t="shared" si="1"/>
        <v>0</v>
      </c>
      <c r="U14" s="46">
        <f t="shared" si="8"/>
        <v>0</v>
      </c>
      <c r="V14" s="159"/>
      <c r="W14" s="161"/>
      <c r="X14" s="123">
        <f>V14+W14*Summen!$B$44</f>
        <v>0</v>
      </c>
      <c r="Y14" s="53"/>
      <c r="Z14" s="54"/>
      <c r="AA14" s="54"/>
      <c r="AB14" s="54"/>
      <c r="AC14" s="54"/>
      <c r="AD14" s="54"/>
      <c r="AE14" s="54"/>
      <c r="AF14" s="55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46185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v>0</v>
      </c>
      <c r="S15" s="45">
        <f t="shared" si="0"/>
        <v>0</v>
      </c>
      <c r="T15" s="45">
        <f t="shared" si="1"/>
        <v>0</v>
      </c>
      <c r="U15" s="46">
        <f t="shared" si="8"/>
        <v>0</v>
      </c>
      <c r="V15" s="42"/>
      <c r="W15" s="47"/>
      <c r="X15" s="123">
        <f>V15+W15*Summen!$B$44</f>
        <v>0</v>
      </c>
      <c r="Y15" s="162"/>
      <c r="Z15" s="49"/>
      <c r="AA15" s="49"/>
      <c r="AB15" s="49"/>
      <c r="AC15" s="49"/>
      <c r="AD15" s="49"/>
      <c r="AE15" s="49"/>
      <c r="AF15" s="163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46186</v>
      </c>
      <c r="B16" s="159" t="str">
        <f>IFERROR(VLOOKUP(A16, Feiertage!$B:$C, 2, 0), IF(OR(WEEKDAY(A16,2)=6, WEEKDAY(A16,2)=7), Feiertage!$C$23, ""))</f>
        <v>* * * * * * * * Wochenende * * * * * * * * * * * * * * * * * * * * * * * * * * * * * * * * * * * * * * * * * * * * * * * *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0</v>
      </c>
      <c r="S16" s="45">
        <f t="shared" si="0"/>
        <v>0</v>
      </c>
      <c r="T16" s="45">
        <f t="shared" si="1"/>
        <v>0</v>
      </c>
      <c r="U16" s="46">
        <f t="shared" si="8"/>
        <v>0</v>
      </c>
      <c r="V16" s="159"/>
      <c r="W16" s="161"/>
      <c r="X16" s="123">
        <f>V16+W16*Summen!$B$44</f>
        <v>0</v>
      </c>
      <c r="Y16" s="53"/>
      <c r="Z16" s="54"/>
      <c r="AA16" s="54"/>
      <c r="AB16" s="54"/>
      <c r="AC16" s="54"/>
      <c r="AD16" s="54"/>
      <c r="AE16" s="54"/>
      <c r="AF16" s="55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46187</v>
      </c>
      <c r="B17" s="42" t="str">
        <f>IFERROR(VLOOKUP(A17, Feiertage!$B:$C, 2, 0), IF(OR(WEEKDAY(A17,2)=6, WEEKDAY(A17,2)=7), Feiertage!$C$23, ""))</f>
        <v>* * * * * * * * Wochenende * * * * * * * * * * * * * * * * * * * * * * * * * * * * * * * * * * * * * * * * * * * * * * * *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0</v>
      </c>
      <c r="S17" s="45">
        <f t="shared" si="0"/>
        <v>0</v>
      </c>
      <c r="T17" s="45">
        <f t="shared" si="1"/>
        <v>0</v>
      </c>
      <c r="U17" s="46">
        <f t="shared" si="8"/>
        <v>0</v>
      </c>
      <c r="V17" s="42"/>
      <c r="W17" s="47"/>
      <c r="X17" s="123">
        <f>V17+W17*Summen!$B$44</f>
        <v>0</v>
      </c>
      <c r="Y17" s="162"/>
      <c r="Z17" s="49"/>
      <c r="AA17" s="49"/>
      <c r="AB17" s="49"/>
      <c r="AC17" s="49"/>
      <c r="AD17" s="49"/>
      <c r="AE17" s="49"/>
      <c r="AF17" s="163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46188</v>
      </c>
      <c r="B18" s="159" t="str">
        <f>IFERROR(VLOOKUP(A18, Feiertage!$B:$C, 2, 0), IF(OR(WEEKDAY(A18,2)=6, WEEKDAY(A18,2)=7), Feiertage!$C$23, ""))</f>
        <v/>
      </c>
      <c r="C18" s="159">
        <v>10.17</v>
      </c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8.4</v>
      </c>
      <c r="S18" s="45">
        <f t="shared" si="0"/>
        <v>10.17</v>
      </c>
      <c r="T18" s="45">
        <f t="shared" si="1"/>
        <v>1.7699999999999996</v>
      </c>
      <c r="U18" s="46">
        <f t="shared" si="8"/>
        <v>1.7699999999999996</v>
      </c>
      <c r="V18" s="159"/>
      <c r="W18" s="161"/>
      <c r="X18" s="123">
        <f>V18+W18*Summen!$B$44</f>
        <v>0</v>
      </c>
      <c r="Y18" s="53">
        <v>0.2638888888888889</v>
      </c>
      <c r="Z18" s="54">
        <v>0.5</v>
      </c>
      <c r="AA18" s="54">
        <v>0.52083333333333337</v>
      </c>
      <c r="AB18" s="54">
        <v>0.70833333333333337</v>
      </c>
      <c r="AC18" s="54"/>
      <c r="AD18" s="54"/>
      <c r="AE18" s="54"/>
      <c r="AF18" s="55"/>
      <c r="AG18" s="50">
        <f t="shared" si="2"/>
        <v>0.4236111111111111</v>
      </c>
      <c r="AH18" s="45">
        <f t="shared" si="3"/>
        <v>10</v>
      </c>
      <c r="AI18" s="45">
        <f t="shared" si="4"/>
        <v>0.16666666666666666</v>
      </c>
      <c r="AJ18" s="46">
        <f t="shared" si="5"/>
        <v>10.166666666666666</v>
      </c>
      <c r="AL18" s="37">
        <f t="shared" si="6"/>
        <v>3.3333333333338544E-3</v>
      </c>
    </row>
    <row r="19" spans="1:38" ht="13.5" customHeight="1">
      <c r="A19" s="39">
        <f t="shared" si="7"/>
        <v>46189</v>
      </c>
      <c r="B19" s="42" t="str">
        <f>IFERROR(VLOOKUP(A19, Feiertage!$B:$C, 2, 0), IF(OR(WEEKDAY(A19,2)=6, WEEKDAY(A19,2)=7), Feiertage!$C$23, ""))</f>
        <v/>
      </c>
      <c r="C19" s="42">
        <v>9.1</v>
      </c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9.1</v>
      </c>
      <c r="T19" s="45">
        <f t="shared" si="1"/>
        <v>0.69999999999999929</v>
      </c>
      <c r="U19" s="46">
        <f t="shared" si="8"/>
        <v>2.4699999999999989</v>
      </c>
      <c r="V19" s="42"/>
      <c r="W19" s="47"/>
      <c r="X19" s="123">
        <f>V19+W19*Summen!$B$44</f>
        <v>0</v>
      </c>
      <c r="Y19" s="162">
        <v>0.34375</v>
      </c>
      <c r="Z19" s="49">
        <v>0.54166666666666663</v>
      </c>
      <c r="AA19" s="49">
        <v>0.5625</v>
      </c>
      <c r="AB19" s="49">
        <v>0.74305555555555558</v>
      </c>
      <c r="AC19" s="49"/>
      <c r="AD19" s="49"/>
      <c r="AE19" s="49"/>
      <c r="AF19" s="163"/>
      <c r="AG19" s="50">
        <f t="shared" si="2"/>
        <v>0.37847222222222221</v>
      </c>
      <c r="AH19" s="45">
        <f t="shared" si="3"/>
        <v>9</v>
      </c>
      <c r="AI19" s="45">
        <f t="shared" si="4"/>
        <v>8.3333333333333329E-2</v>
      </c>
      <c r="AJ19" s="46">
        <f t="shared" si="5"/>
        <v>9.0833333333333339</v>
      </c>
      <c r="AL19" s="37">
        <f t="shared" si="6"/>
        <v>1.6666666666665719E-2</v>
      </c>
    </row>
    <row r="20" spans="1:38" ht="13.5" customHeight="1">
      <c r="A20" s="39">
        <f t="shared" si="7"/>
        <v>46190</v>
      </c>
      <c r="B20" s="159" t="str">
        <f>IFERROR(VLOOKUP(A20, Feiertage!$B:$C, 2, 0), IF(OR(WEEKDAY(A20,2)=6, WEEKDAY(A20,2)=7), Feiertage!$C$23, ""))</f>
        <v/>
      </c>
      <c r="C20" s="159">
        <v>9</v>
      </c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9</v>
      </c>
      <c r="T20" s="45">
        <f t="shared" si="1"/>
        <v>0.59999999999999964</v>
      </c>
      <c r="U20" s="46">
        <f t="shared" si="8"/>
        <v>3.0699999999999985</v>
      </c>
      <c r="V20" s="159"/>
      <c r="W20" s="161"/>
      <c r="X20" s="123">
        <f>V20+W20*Summen!$B$44</f>
        <v>0</v>
      </c>
      <c r="Y20" s="53">
        <v>0.3125</v>
      </c>
      <c r="Z20" s="54">
        <v>0.5</v>
      </c>
      <c r="AA20" s="54">
        <v>0.52083333333333337</v>
      </c>
      <c r="AB20" s="54">
        <v>0.70833333333333337</v>
      </c>
      <c r="AC20" s="54"/>
      <c r="AD20" s="54"/>
      <c r="AE20" s="54"/>
      <c r="AF20" s="55"/>
      <c r="AG20" s="50">
        <f t="shared" si="2"/>
        <v>0.375</v>
      </c>
      <c r="AH20" s="45">
        <f t="shared" si="3"/>
        <v>9</v>
      </c>
      <c r="AI20" s="45">
        <f t="shared" si="4"/>
        <v>0</v>
      </c>
      <c r="AJ20" s="46">
        <f t="shared" si="5"/>
        <v>9</v>
      </c>
      <c r="AL20" s="37">
        <f t="shared" si="6"/>
        <v>0</v>
      </c>
    </row>
    <row r="21" spans="1:38" ht="13.5" customHeight="1">
      <c r="A21" s="39">
        <f t="shared" si="7"/>
        <v>46191</v>
      </c>
      <c r="B21" s="42" t="str">
        <f>IFERROR(VLOOKUP(A21, Feiertage!$B:$C, 2, 0), IF(OR(WEEKDAY(A21,2)=6, WEEKDAY(A21,2)=7), Feiertage!$C$23, ""))</f>
        <v/>
      </c>
      <c r="C21" s="42">
        <v>8.5</v>
      </c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8.4</v>
      </c>
      <c r="S21" s="45">
        <f t="shared" si="0"/>
        <v>8.5</v>
      </c>
      <c r="T21" s="45">
        <f t="shared" si="1"/>
        <v>9.9999999999999645E-2</v>
      </c>
      <c r="U21" s="46">
        <f t="shared" si="8"/>
        <v>3.1699999999999982</v>
      </c>
      <c r="V21" s="42"/>
      <c r="W21" s="47"/>
      <c r="X21" s="123">
        <f>V21+W21*Summen!$B$44</f>
        <v>0</v>
      </c>
      <c r="Y21" s="162">
        <v>0.3125</v>
      </c>
      <c r="Z21" s="49">
        <v>0.5</v>
      </c>
      <c r="AA21" s="49">
        <v>0.52083333333333337</v>
      </c>
      <c r="AB21" s="49">
        <v>0.6875</v>
      </c>
      <c r="AC21" s="49"/>
      <c r="AD21" s="49"/>
      <c r="AE21" s="49"/>
      <c r="AF21" s="163"/>
      <c r="AG21" s="50">
        <f t="shared" si="2"/>
        <v>0.35416666666666663</v>
      </c>
      <c r="AH21" s="45">
        <f t="shared" si="3"/>
        <v>8</v>
      </c>
      <c r="AI21" s="45">
        <f t="shared" si="4"/>
        <v>0.5</v>
      </c>
      <c r="AJ21" s="46">
        <f t="shared" si="5"/>
        <v>8.5</v>
      </c>
      <c r="AL21" s="37">
        <f t="shared" si="6"/>
        <v>0</v>
      </c>
    </row>
    <row r="22" spans="1:38" ht="13.5" customHeight="1">
      <c r="A22" s="39">
        <f t="shared" si="7"/>
        <v>46192</v>
      </c>
      <c r="B22" s="159" t="str">
        <f>IFERROR(VLOOKUP(A22, Feiertage!$B:$C, 2, 0), IF(OR(WEEKDAY(A22,2)=6, WEEKDAY(A22,2)=7), Feiertage!$C$23, ""))</f>
        <v/>
      </c>
      <c r="C22" s="159">
        <v>8.4</v>
      </c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8.4</v>
      </c>
      <c r="S22" s="45">
        <f t="shared" si="0"/>
        <v>8.4</v>
      </c>
      <c r="T22" s="45">
        <f t="shared" si="1"/>
        <v>0</v>
      </c>
      <c r="U22" s="46">
        <f t="shared" si="8"/>
        <v>3.1699999999999982</v>
      </c>
      <c r="V22" s="159"/>
      <c r="W22" s="161"/>
      <c r="X22" s="123">
        <f>V22+W22*Summen!$B$44</f>
        <v>0</v>
      </c>
      <c r="Y22" s="53">
        <v>0.26041666666666669</v>
      </c>
      <c r="Z22" s="54">
        <v>0.47916666666666669</v>
      </c>
      <c r="AA22" s="54">
        <v>0.5</v>
      </c>
      <c r="AB22" s="54">
        <v>0.63194444444444442</v>
      </c>
      <c r="AC22" s="54"/>
      <c r="AD22" s="54"/>
      <c r="AE22" s="54"/>
      <c r="AF22" s="55"/>
      <c r="AG22" s="50">
        <f t="shared" si="2"/>
        <v>0.35069444444444442</v>
      </c>
      <c r="AH22" s="45">
        <f t="shared" si="3"/>
        <v>8</v>
      </c>
      <c r="AI22" s="45">
        <f t="shared" si="4"/>
        <v>0.41666666666666669</v>
      </c>
      <c r="AJ22" s="46">
        <f t="shared" si="5"/>
        <v>8.4166666666666661</v>
      </c>
      <c r="AL22" s="37">
        <f t="shared" si="6"/>
        <v>-1.6666666666665719E-2</v>
      </c>
    </row>
    <row r="23" spans="1:38" ht="13.5" customHeight="1">
      <c r="A23" s="39">
        <f t="shared" si="7"/>
        <v>46193</v>
      </c>
      <c r="B23" s="42" t="str">
        <f>IFERROR(VLOOKUP(A23, Feiertage!$B:$C, 2, 0), IF(OR(WEEKDAY(A23,2)=6, WEEKDAY(A23,2)=7), Feiertage!$C$23, ""))</f>
        <v>* * * * * * * * Wochenende * * * * * * * * * * * * * * * * * * * * * * * * * * * * * * * * * * * * * * * * * * * * * * * *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0</v>
      </c>
      <c r="S23" s="45">
        <f t="shared" si="0"/>
        <v>0</v>
      </c>
      <c r="T23" s="45">
        <f t="shared" si="1"/>
        <v>0</v>
      </c>
      <c r="U23" s="46">
        <f t="shared" si="8"/>
        <v>3.1699999999999982</v>
      </c>
      <c r="V23" s="42"/>
      <c r="W23" s="47"/>
      <c r="X23" s="123">
        <f>V23+W23*Summen!$B$44</f>
        <v>0</v>
      </c>
      <c r="Y23" s="162"/>
      <c r="Z23" s="49"/>
      <c r="AA23" s="49"/>
      <c r="AB23" s="49"/>
      <c r="AC23" s="49"/>
      <c r="AD23" s="49"/>
      <c r="AE23" s="49"/>
      <c r="AF23" s="163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46194</v>
      </c>
      <c r="B24" s="159" t="str">
        <f>IFERROR(VLOOKUP(A24, Feiertage!$B:$C, 2, 0), IF(OR(WEEKDAY(A24,2)=6, WEEKDAY(A24,2)=7), Feiertage!$C$23, ""))</f>
        <v>* * * * * * * * Wochenende * * * * * * * * * * * * * * * * * * * * * * * * * * * * * * * * * * * * * * * * * * * * * * * *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0</v>
      </c>
      <c r="S24" s="45">
        <f t="shared" si="0"/>
        <v>0</v>
      </c>
      <c r="T24" s="45">
        <f t="shared" si="1"/>
        <v>0</v>
      </c>
      <c r="U24" s="46">
        <f t="shared" si="8"/>
        <v>3.1699999999999982</v>
      </c>
      <c r="V24" s="159"/>
      <c r="W24" s="161"/>
      <c r="X24" s="123">
        <f>V24+W24*Summen!$B$44</f>
        <v>0</v>
      </c>
      <c r="Y24" s="53"/>
      <c r="Z24" s="54"/>
      <c r="AA24" s="54"/>
      <c r="AB24" s="54"/>
      <c r="AC24" s="54"/>
      <c r="AD24" s="54"/>
      <c r="AE24" s="54"/>
      <c r="AF24" s="55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46195</v>
      </c>
      <c r="B25" s="42" t="str">
        <f>IFERROR(VLOOKUP(A25, Feiertage!$B:$C, 2, 0), IF(OR(WEEKDAY(A25,2)=6, WEEKDAY(A25,2)=7), Feiertage!$C$23, ""))</f>
        <v/>
      </c>
      <c r="C25" s="42">
        <v>4</v>
      </c>
      <c r="D25" s="42"/>
      <c r="E25" s="42">
        <v>3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8.4</v>
      </c>
      <c r="S25" s="45">
        <f t="shared" si="0"/>
        <v>7</v>
      </c>
      <c r="T25" s="45">
        <f t="shared" si="1"/>
        <v>-1.4000000000000004</v>
      </c>
      <c r="U25" s="46">
        <f t="shared" si="8"/>
        <v>1.7699999999999978</v>
      </c>
      <c r="V25" s="42"/>
      <c r="W25" s="47"/>
      <c r="X25" s="123">
        <f>V25+W25*Summen!$B$44</f>
        <v>0</v>
      </c>
      <c r="Y25" s="162">
        <v>0.2986111111111111</v>
      </c>
      <c r="Z25" s="49">
        <v>0.47916666666666669</v>
      </c>
      <c r="AA25" s="49">
        <v>0.5</v>
      </c>
      <c r="AB25" s="49">
        <v>0.61111111111111116</v>
      </c>
      <c r="AC25" s="49"/>
      <c r="AD25" s="49"/>
      <c r="AE25" s="49"/>
      <c r="AF25" s="163"/>
      <c r="AG25" s="50">
        <f t="shared" si="2"/>
        <v>0.29166666666666674</v>
      </c>
      <c r="AH25" s="45">
        <f t="shared" si="3"/>
        <v>7</v>
      </c>
      <c r="AI25" s="45">
        <f t="shared" si="4"/>
        <v>0</v>
      </c>
      <c r="AJ25" s="46">
        <f t="shared" si="5"/>
        <v>7</v>
      </c>
      <c r="AL25" s="37">
        <f t="shared" si="6"/>
        <v>0</v>
      </c>
    </row>
    <row r="26" spans="1:38" ht="13.5" customHeight="1">
      <c r="A26" s="39">
        <f t="shared" si="7"/>
        <v>46196</v>
      </c>
      <c r="B26" s="159" t="str">
        <f>IFERROR(VLOOKUP(A26, Feiertage!$B:$C, 2, 0), IF(OR(WEEKDAY(A26,2)=6, WEEKDAY(A26,2)=7), Feiertage!$C$23, ""))</f>
        <v/>
      </c>
      <c r="C26" s="159"/>
      <c r="D26" s="159">
        <v>4</v>
      </c>
      <c r="E26" s="159">
        <v>4.5</v>
      </c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8.5</v>
      </c>
      <c r="T26" s="45">
        <f t="shared" si="1"/>
        <v>9.9999999999999645E-2</v>
      </c>
      <c r="U26" s="46">
        <f t="shared" si="8"/>
        <v>1.8699999999999974</v>
      </c>
      <c r="V26" s="159"/>
      <c r="W26" s="161"/>
      <c r="X26" s="123">
        <f>V26+W26*Summen!$B$44</f>
        <v>0</v>
      </c>
      <c r="Y26" s="53">
        <v>0.32291666666666669</v>
      </c>
      <c r="Z26" s="54">
        <v>0.47916666666666669</v>
      </c>
      <c r="AA26" s="54">
        <v>0.5</v>
      </c>
      <c r="AB26" s="54">
        <v>0.69791666666666663</v>
      </c>
      <c r="AC26" s="54"/>
      <c r="AD26" s="54"/>
      <c r="AE26" s="54"/>
      <c r="AF26" s="55"/>
      <c r="AG26" s="50">
        <f t="shared" si="2"/>
        <v>0.35416666666666663</v>
      </c>
      <c r="AH26" s="45">
        <f t="shared" si="3"/>
        <v>8</v>
      </c>
      <c r="AI26" s="45">
        <f t="shared" si="4"/>
        <v>0.5</v>
      </c>
      <c r="AJ26" s="46">
        <f t="shared" si="5"/>
        <v>8.5</v>
      </c>
      <c r="AL26" s="37">
        <f t="shared" si="6"/>
        <v>0</v>
      </c>
    </row>
    <row r="27" spans="1:38" ht="13.5" customHeight="1">
      <c r="A27" s="39">
        <f t="shared" si="7"/>
        <v>46197</v>
      </c>
      <c r="B27" s="42" t="str">
        <f>IFERROR(VLOOKUP(A27, Feiertage!$B:$C, 2, 0), IF(OR(WEEKDAY(A27,2)=6, WEEKDAY(A27,2)=7), Feiertage!$C$23, ""))</f>
        <v/>
      </c>
      <c r="C27" s="42">
        <v>2</v>
      </c>
      <c r="D27" s="42">
        <v>5.8</v>
      </c>
      <c r="E27" s="42"/>
      <c r="F27" s="42"/>
      <c r="G27" s="42"/>
      <c r="H27" s="42"/>
      <c r="I27" s="42"/>
      <c r="J27" s="42"/>
      <c r="K27" s="42"/>
      <c r="L27" s="42"/>
      <c r="M27" s="42"/>
      <c r="N27" s="42">
        <v>2</v>
      </c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9.8000000000000007</v>
      </c>
      <c r="T27" s="45">
        <f t="shared" si="1"/>
        <v>1.4000000000000004</v>
      </c>
      <c r="U27" s="46">
        <f t="shared" si="8"/>
        <v>3.2699999999999978</v>
      </c>
      <c r="V27" s="42"/>
      <c r="W27" s="47"/>
      <c r="X27" s="123">
        <f>V27+W27*Summen!$B$44</f>
        <v>0</v>
      </c>
      <c r="Y27" s="162">
        <v>0.13541666666666666</v>
      </c>
      <c r="Z27" s="49">
        <v>0.54166666666666663</v>
      </c>
      <c r="AA27" s="49"/>
      <c r="AB27" s="49"/>
      <c r="AC27" s="49"/>
      <c r="AD27" s="49"/>
      <c r="AE27" s="49"/>
      <c r="AF27" s="163"/>
      <c r="AG27" s="50">
        <f t="shared" si="2"/>
        <v>0.40625</v>
      </c>
      <c r="AH27" s="45">
        <f t="shared" si="3"/>
        <v>9</v>
      </c>
      <c r="AI27" s="45">
        <f t="shared" si="4"/>
        <v>0.75</v>
      </c>
      <c r="AJ27" s="46">
        <f t="shared" si="5"/>
        <v>9.75</v>
      </c>
      <c r="AL27" s="37">
        <f t="shared" si="6"/>
        <v>5.0000000000000711E-2</v>
      </c>
    </row>
    <row r="28" spans="1:38" ht="13.5" customHeight="1">
      <c r="A28" s="39">
        <f t="shared" si="7"/>
        <v>46198</v>
      </c>
      <c r="B28" s="159" t="str">
        <f>IFERROR(VLOOKUP(A28, Feiertage!$B:$C, 2, 0), IF(OR(WEEKDAY(A28,2)=6, WEEKDAY(A28,2)=7), Feiertage!$C$23, ""))</f>
        <v/>
      </c>
      <c r="C28" s="159"/>
      <c r="D28" s="159">
        <v>7</v>
      </c>
      <c r="E28" s="159">
        <v>1.42</v>
      </c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8.4</v>
      </c>
      <c r="S28" s="45">
        <f t="shared" si="0"/>
        <v>8.42</v>
      </c>
      <c r="T28" s="45">
        <f t="shared" si="1"/>
        <v>1.9999999999999574E-2</v>
      </c>
      <c r="U28" s="46">
        <f t="shared" si="8"/>
        <v>3.2899999999999974</v>
      </c>
      <c r="V28" s="159"/>
      <c r="W28" s="161"/>
      <c r="X28" s="123">
        <f>V28+W28*Summen!$B$44</f>
        <v>0</v>
      </c>
      <c r="Y28" s="53">
        <v>0.32291666666666669</v>
      </c>
      <c r="Z28" s="54">
        <v>0.5</v>
      </c>
      <c r="AA28" s="54">
        <v>0.52083333333333337</v>
      </c>
      <c r="AB28" s="54">
        <v>0.69444444444444442</v>
      </c>
      <c r="AC28" s="54"/>
      <c r="AD28" s="54"/>
      <c r="AE28" s="54"/>
      <c r="AF28" s="55"/>
      <c r="AG28" s="50">
        <f t="shared" si="2"/>
        <v>0.35069444444444436</v>
      </c>
      <c r="AH28" s="45">
        <f t="shared" si="3"/>
        <v>8</v>
      </c>
      <c r="AI28" s="45">
        <f t="shared" si="4"/>
        <v>0.41666666666666669</v>
      </c>
      <c r="AJ28" s="46">
        <f t="shared" si="5"/>
        <v>8.4166666666666661</v>
      </c>
      <c r="AL28" s="37">
        <f t="shared" si="6"/>
        <v>3.3333333333338544E-3</v>
      </c>
    </row>
    <row r="29" spans="1:38" ht="13.5" customHeight="1">
      <c r="A29" s="39">
        <f t="shared" si="7"/>
        <v>46199</v>
      </c>
      <c r="B29" s="42" t="str">
        <f>IFERROR(VLOOKUP(A29, Feiertage!$B:$C, 2, 0), IF(OR(WEEKDAY(A29,2)=6, WEEKDAY(A29,2)=7), Feiertage!$C$23, ""))</f>
        <v/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>
        <v>8.4</v>
      </c>
      <c r="R29" s="44">
        <f>IF(OR(WEEKDAY(A29,2)=6,WEEKDAY(A29,2)=7),0,IFERROR(IF(VLOOKUP(A29,Feiertage!$B:$D,3,0)="ja",0,Summen!$B$9),Summen!$B$9))</f>
        <v>8.4</v>
      </c>
      <c r="S29" s="45">
        <f t="shared" si="0"/>
        <v>8.4</v>
      </c>
      <c r="T29" s="45">
        <f t="shared" si="1"/>
        <v>0</v>
      </c>
      <c r="U29" s="46">
        <f t="shared" si="8"/>
        <v>3.2899999999999974</v>
      </c>
      <c r="V29" s="42"/>
      <c r="W29" s="47"/>
      <c r="X29" s="123">
        <f>V29+W29*Summen!$B$44</f>
        <v>0</v>
      </c>
      <c r="Y29" s="162"/>
      <c r="Z29" s="49"/>
      <c r="AA29" s="49"/>
      <c r="AB29" s="49"/>
      <c r="AC29" s="49"/>
      <c r="AD29" s="49"/>
      <c r="AE29" s="49"/>
      <c r="AF29" s="163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8.4</v>
      </c>
    </row>
    <row r="30" spans="1:38" ht="13.5" customHeight="1">
      <c r="A30" s="39">
        <f t="shared" si="7"/>
        <v>46200</v>
      </c>
      <c r="B30" s="159" t="str">
        <f>IFERROR(VLOOKUP(A30, Feiertage!$B:$C, 2, 0), IF(OR(WEEKDAY(A30,2)=6, WEEKDAY(A30,2)=7), Feiertage!$C$23, ""))</f>
        <v>* * * * * * * * Wochenende * * * * * * * * * * * * * * * * * * * * * * * * * * * * * * * * * * * * * * * * * * * * * * * *</v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0</v>
      </c>
      <c r="S30" s="45">
        <f t="shared" si="0"/>
        <v>0</v>
      </c>
      <c r="T30" s="45">
        <f t="shared" si="1"/>
        <v>0</v>
      </c>
      <c r="U30" s="46">
        <f t="shared" si="8"/>
        <v>3.2899999999999974</v>
      </c>
      <c r="V30" s="159"/>
      <c r="W30" s="161"/>
      <c r="X30" s="123">
        <f>V30+W30*Summen!$B$44</f>
        <v>0</v>
      </c>
      <c r="Y30" s="53"/>
      <c r="Z30" s="54"/>
      <c r="AA30" s="54"/>
      <c r="AB30" s="54"/>
      <c r="AC30" s="54"/>
      <c r="AD30" s="54"/>
      <c r="AE30" s="54"/>
      <c r="AF30" s="55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46201</v>
      </c>
      <c r="B31" s="42" t="str">
        <f>IFERROR(VLOOKUP(A31, Feiertage!$B:$C, 2, 0), IF(OR(WEEKDAY(A31,2)=6, WEEKDAY(A31,2)=7), Feiertage!$C$23, ""))</f>
        <v>* * * * * * * * Wochenende * * * * * * * * * * * * * * * * * * * * * * * * * * * * * * * * * * * * * * * * * * * * * * * *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0</v>
      </c>
      <c r="S31" s="45">
        <f t="shared" si="0"/>
        <v>0</v>
      </c>
      <c r="T31" s="45">
        <f t="shared" si="1"/>
        <v>0</v>
      </c>
      <c r="U31" s="46">
        <f t="shared" si="8"/>
        <v>3.2899999999999974</v>
      </c>
      <c r="V31" s="42"/>
      <c r="W31" s="47"/>
      <c r="X31" s="123">
        <f>V31+W31*Summen!$B$44</f>
        <v>0</v>
      </c>
      <c r="Y31" s="162"/>
      <c r="Z31" s="49"/>
      <c r="AA31" s="49"/>
      <c r="AB31" s="49"/>
      <c r="AC31" s="49"/>
      <c r="AD31" s="49"/>
      <c r="AE31" s="49"/>
      <c r="AF31" s="163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46202</v>
      </c>
      <c r="B32" s="159" t="str">
        <f>IFERROR(VLOOKUP(A32, Feiertage!$B:$C, 2, 0), IF(OR(WEEKDAY(A32,2)=6, WEEKDAY(A32,2)=7), Feiertage!$C$23, ""))</f>
        <v/>
      </c>
      <c r="C32" s="159"/>
      <c r="D32" s="159">
        <v>7.75</v>
      </c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8.4</v>
      </c>
      <c r="S32" s="45">
        <f t="shared" si="0"/>
        <v>7.75</v>
      </c>
      <c r="T32" s="45">
        <f t="shared" si="1"/>
        <v>-0.65000000000000036</v>
      </c>
      <c r="U32" s="46">
        <f t="shared" si="8"/>
        <v>2.639999999999997</v>
      </c>
      <c r="V32" s="159"/>
      <c r="W32" s="161"/>
      <c r="X32" s="123">
        <f>V32+W32*Summen!$B$44</f>
        <v>0</v>
      </c>
      <c r="Y32" s="53">
        <v>0.28125</v>
      </c>
      <c r="Z32" s="54">
        <v>0.5</v>
      </c>
      <c r="AA32" s="54">
        <v>0.52083333333333337</v>
      </c>
      <c r="AB32" s="54">
        <v>0.625</v>
      </c>
      <c r="AC32" s="54"/>
      <c r="AD32" s="54"/>
      <c r="AE32" s="54"/>
      <c r="AF32" s="55"/>
      <c r="AG32" s="50">
        <f t="shared" si="2"/>
        <v>0.32291666666666663</v>
      </c>
      <c r="AH32" s="45">
        <f t="shared" si="3"/>
        <v>7</v>
      </c>
      <c r="AI32" s="45">
        <f t="shared" si="4"/>
        <v>0.75</v>
      </c>
      <c r="AJ32" s="46">
        <f t="shared" si="5"/>
        <v>7.75</v>
      </c>
      <c r="AL32" s="37">
        <f t="shared" si="6"/>
        <v>0</v>
      </c>
    </row>
    <row r="33" spans="1:38" ht="13.5" customHeight="1">
      <c r="A33" s="60">
        <f t="shared" si="7"/>
        <v>46203</v>
      </c>
      <c r="B33" s="42" t="str">
        <f>IFERROR(VLOOKUP(A33, Feiertage!$B:$C, 2, 0), IF(OR(WEEKDAY(A33,2)=6, WEEKDAY(A33,2)=7), Feiertage!$C$23, ""))</f>
        <v/>
      </c>
      <c r="C33" s="42"/>
      <c r="D33" s="42">
        <v>8.25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61">
        <f t="shared" si="0"/>
        <v>8.25</v>
      </c>
      <c r="T33" s="61">
        <f t="shared" si="1"/>
        <v>-0.15000000000000036</v>
      </c>
      <c r="U33" s="62">
        <f t="shared" si="8"/>
        <v>2.4899999999999967</v>
      </c>
      <c r="V33" s="42"/>
      <c r="W33" s="47"/>
      <c r="X33" s="123">
        <f>V33+W33*Summen!$B$44</f>
        <v>0</v>
      </c>
      <c r="Y33" s="162">
        <v>0.25</v>
      </c>
      <c r="Z33" s="49">
        <v>0.5</v>
      </c>
      <c r="AA33" s="49">
        <v>0.52083333333333337</v>
      </c>
      <c r="AB33" s="49">
        <v>0.61458333333333337</v>
      </c>
      <c r="AC33" s="49"/>
      <c r="AD33" s="49"/>
      <c r="AE33" s="49"/>
      <c r="AF33" s="163"/>
      <c r="AG33" s="63">
        <f t="shared" si="2"/>
        <v>0.34375</v>
      </c>
      <c r="AH33" s="61">
        <f t="shared" si="3"/>
        <v>8</v>
      </c>
      <c r="AI33" s="61">
        <f t="shared" si="4"/>
        <v>0.25</v>
      </c>
      <c r="AJ33" s="62">
        <f t="shared" si="5"/>
        <v>8.25</v>
      </c>
      <c r="AL33" s="37">
        <f t="shared" si="6"/>
        <v>0</v>
      </c>
    </row>
    <row r="34" spans="1:38" ht="18" customHeight="1">
      <c r="A34" s="64" t="s">
        <v>32</v>
      </c>
      <c r="B34" s="108"/>
      <c r="C34" s="168">
        <f t="shared" ref="C34:T34" si="9">SUM(C4:C33)</f>
        <v>51.169999999999995</v>
      </c>
      <c r="D34" s="168">
        <f t="shared" si="9"/>
        <v>32.799999999999997</v>
      </c>
      <c r="E34" s="168">
        <f t="shared" si="9"/>
        <v>8.92</v>
      </c>
      <c r="F34" s="168">
        <f t="shared" si="9"/>
        <v>0</v>
      </c>
      <c r="G34" s="168">
        <f t="shared" si="9"/>
        <v>0</v>
      </c>
      <c r="H34" s="168">
        <f t="shared" si="9"/>
        <v>0</v>
      </c>
      <c r="I34" s="168">
        <f t="shared" si="9"/>
        <v>0</v>
      </c>
      <c r="J34" s="168">
        <f t="shared" si="9"/>
        <v>0</v>
      </c>
      <c r="K34" s="168">
        <f t="shared" si="9"/>
        <v>0</v>
      </c>
      <c r="L34" s="168">
        <f t="shared" si="9"/>
        <v>0</v>
      </c>
      <c r="M34" s="168">
        <f t="shared" si="9"/>
        <v>0</v>
      </c>
      <c r="N34" s="168">
        <f t="shared" si="9"/>
        <v>2</v>
      </c>
      <c r="O34" s="168">
        <f t="shared" si="9"/>
        <v>0</v>
      </c>
      <c r="P34" s="168">
        <f t="shared" si="9"/>
        <v>0</v>
      </c>
      <c r="Q34" s="168">
        <f t="shared" si="9"/>
        <v>8.4</v>
      </c>
      <c r="R34" s="66">
        <f t="shared" si="9"/>
        <v>100.80000000000003</v>
      </c>
      <c r="S34" s="169">
        <f t="shared" si="9"/>
        <v>103.29</v>
      </c>
      <c r="T34" s="169">
        <f t="shared" si="9"/>
        <v>2.4899999999999967</v>
      </c>
      <c r="U34" s="67">
        <f>U33</f>
        <v>2.4899999999999967</v>
      </c>
      <c r="V34" s="170">
        <f>SUM(V4:V33)</f>
        <v>0</v>
      </c>
      <c r="W34" s="170">
        <f>SUM(W4:W33)*Summen!$B$44</f>
        <v>0</v>
      </c>
      <c r="X34" s="68">
        <f>V34+W34</f>
        <v>0</v>
      </c>
      <c r="Y34" s="87"/>
      <c r="Z34" s="171"/>
      <c r="AA34" s="171"/>
      <c r="AB34" s="171"/>
      <c r="AC34" s="171"/>
      <c r="AD34" s="171"/>
      <c r="AE34" s="171"/>
      <c r="AF34" s="171"/>
      <c r="AG34" s="171"/>
      <c r="AH34" s="171"/>
      <c r="AI34" s="171"/>
      <c r="AJ34" s="124">
        <f>SUM(AJ4:AJ33)</f>
        <v>94.833333333333329</v>
      </c>
      <c r="AL34" s="37">
        <f t="shared" si="6"/>
        <v>8.4566666666666777</v>
      </c>
    </row>
    <row r="35" spans="1:38" ht="12.75" customHeight="1">
      <c r="A35" s="71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L35" s="7"/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L37" s="72"/>
      <c r="M37" s="72"/>
      <c r="N37" s="72"/>
      <c r="O37" s="72"/>
      <c r="P37" s="72"/>
      <c r="Q37" s="72"/>
      <c r="R37" s="72"/>
      <c r="S37" s="74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4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F63D00F-2866-4C07-8D4D-0E0846FFE8E2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497912F9-FC92-4773-B98E-ADB0AC911802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1000"/>
  <sheetViews>
    <sheetView topLeftCell="A9" zoomScale="135" zoomScaleNormal="100" workbookViewId="0">
      <selection activeCell="I32" sqref="I32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Jun!P1+30</f>
        <v>46204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Jun!X1+1</f>
        <v>7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Jun!H2+(Jun!Q34/Summen!B9)</f>
        <v>1</v>
      </c>
      <c r="I2" s="11" t="s">
        <v>7</v>
      </c>
      <c r="J2" s="13">
        <f>E2-H2</f>
        <v>9.8000000000000007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Jun!U34</f>
        <v>2.4899999999999967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25"/>
      <c r="AG2" s="126"/>
      <c r="AH2" s="15"/>
      <c r="AI2" s="15"/>
      <c r="AJ2" s="127"/>
      <c r="AK2" s="7"/>
      <c r="AL2" s="7"/>
    </row>
    <row r="3" spans="1:38" ht="69.75" customHeight="1">
      <c r="A3" s="22" t="s">
        <v>10</v>
      </c>
      <c r="B3" s="147"/>
      <c r="C3" s="93" t="s">
        <v>40</v>
      </c>
      <c r="D3" s="94" t="s">
        <v>38</v>
      </c>
      <c r="E3" s="146" t="s">
        <v>41</v>
      </c>
      <c r="F3" s="146" t="s">
        <v>42</v>
      </c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84" t="s">
        <v>26</v>
      </c>
      <c r="AG3" s="106" t="s">
        <v>27</v>
      </c>
      <c r="AH3" s="178" t="s">
        <v>28</v>
      </c>
      <c r="AI3" s="178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46204</v>
      </c>
      <c r="B4" s="159" t="str">
        <f>IFERROR(VLOOKUP(A4, Feiertage!$B:$C, 2, 0), IF(OR(WEEKDAY(A4,2)=6, WEEKDAY(A4,2)=7), Feiertage!$C$23, ""))</f>
        <v/>
      </c>
      <c r="C4" s="83">
        <v>7.75</v>
      </c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107">
        <f>IF(OR(WEEKDAY(A4,2)=6,WEEKDAY(A4,2)=7),0,IFERROR(IF(VLOOKUP(A4,Feiertage!$B:$D,3,0)="ja",0,Summen!$B$9),Summen!$B$9))</f>
        <v>8.4</v>
      </c>
      <c r="S4" s="31">
        <f t="shared" ref="S4:S34" si="0">SUM(C4:Q4)</f>
        <v>7.75</v>
      </c>
      <c r="T4" s="31">
        <f t="shared" ref="T4:T34" si="1">S4-R4</f>
        <v>-0.65000000000000036</v>
      </c>
      <c r="U4" s="32">
        <f>U2+T4</f>
        <v>1.8399999999999963</v>
      </c>
      <c r="V4" s="159"/>
      <c r="W4" s="161"/>
      <c r="X4" s="33">
        <f>V4+W4*Summen!$B$44</f>
        <v>0</v>
      </c>
      <c r="Y4" s="34">
        <v>0.28125</v>
      </c>
      <c r="Z4" s="35">
        <v>0.60416666666666663</v>
      </c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0.32291666666666663</v>
      </c>
      <c r="AH4" s="31">
        <f t="shared" ref="AH4:AH34" si="3">HOUR(AG4)</f>
        <v>7</v>
      </c>
      <c r="AI4" s="31">
        <f t="shared" ref="AI4:AI34" si="4">MINUTE(AG4)/60</f>
        <v>0.75</v>
      </c>
      <c r="AJ4" s="32">
        <f t="shared" ref="AJ4:AJ34" si="5">AH4+AI4</f>
        <v>7.75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46205</v>
      </c>
      <c r="B5" s="42" t="str">
        <f>IFERROR(VLOOKUP(A5, Feiertage!$B:$C, 2, 0), IF(OR(WEEKDAY(A5,2)=6, WEEKDAY(A5,2)=7), Feiertage!$C$23, ""))</f>
        <v/>
      </c>
      <c r="C5" s="42">
        <v>6</v>
      </c>
      <c r="D5" s="42">
        <v>0.5</v>
      </c>
      <c r="E5" s="42">
        <v>1.3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8.4</v>
      </c>
      <c r="S5" s="45">
        <f t="shared" si="0"/>
        <v>7.8</v>
      </c>
      <c r="T5" s="45">
        <f t="shared" si="1"/>
        <v>-0.60000000000000053</v>
      </c>
      <c r="U5" s="46">
        <f t="shared" ref="U5:U34" si="8">U4+T5</f>
        <v>1.2399999999999958</v>
      </c>
      <c r="V5" s="42"/>
      <c r="W5" s="47"/>
      <c r="X5" s="48">
        <f>V5+W5*Summen!$B$44</f>
        <v>0</v>
      </c>
      <c r="Y5" s="185">
        <v>0.33333333333333331</v>
      </c>
      <c r="Z5" s="186">
        <v>0.65972222222222221</v>
      </c>
      <c r="AA5" s="186"/>
      <c r="AB5" s="186"/>
      <c r="AC5" s="186"/>
      <c r="AD5" s="186"/>
      <c r="AE5" s="186"/>
      <c r="AF5" s="186"/>
      <c r="AG5" s="50">
        <f t="shared" si="2"/>
        <v>0.3263888888888889</v>
      </c>
      <c r="AH5" s="45">
        <f t="shared" si="3"/>
        <v>7</v>
      </c>
      <c r="AI5" s="45">
        <f t="shared" si="4"/>
        <v>0.83333333333333337</v>
      </c>
      <c r="AJ5" s="46">
        <f t="shared" si="5"/>
        <v>7.833333333333333</v>
      </c>
      <c r="AL5" s="37">
        <f t="shared" si="6"/>
        <v>-3.3333333333333215E-2</v>
      </c>
    </row>
    <row r="6" spans="1:38" ht="13.5" customHeight="1">
      <c r="A6" s="39">
        <f t="shared" si="7"/>
        <v>46206</v>
      </c>
      <c r="B6" s="159" t="str">
        <f>IFERROR(VLOOKUP(A6, Feiertage!$B:$C, 2, 0), IF(OR(WEEKDAY(A6,2)=6, WEEKDAY(A6,2)=7), Feiertage!$C$23, ""))</f>
        <v/>
      </c>
      <c r="C6" s="159"/>
      <c r="D6" s="159"/>
      <c r="E6" s="159">
        <v>7</v>
      </c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8.4</v>
      </c>
      <c r="S6" s="45">
        <f t="shared" si="0"/>
        <v>7</v>
      </c>
      <c r="T6" s="45">
        <f t="shared" si="1"/>
        <v>-1.4000000000000004</v>
      </c>
      <c r="U6" s="46">
        <f t="shared" si="8"/>
        <v>-0.16000000000000458</v>
      </c>
      <c r="V6" s="159"/>
      <c r="W6" s="161"/>
      <c r="X6" s="48">
        <f>V6+W6*Summen!$B$44</f>
        <v>0</v>
      </c>
      <c r="Y6" s="128">
        <v>0.29166666666666669</v>
      </c>
      <c r="Z6" s="129">
        <v>0.47916666666666669</v>
      </c>
      <c r="AA6" s="129">
        <v>0.48958333333333331</v>
      </c>
      <c r="AB6" s="129">
        <v>0.59375</v>
      </c>
      <c r="AC6" s="129"/>
      <c r="AD6" s="129"/>
      <c r="AE6" s="129"/>
      <c r="AF6" s="129"/>
      <c r="AG6" s="50">
        <f t="shared" si="2"/>
        <v>0.29166666666666669</v>
      </c>
      <c r="AH6" s="45">
        <f t="shared" si="3"/>
        <v>7</v>
      </c>
      <c r="AI6" s="45">
        <f t="shared" si="4"/>
        <v>0</v>
      </c>
      <c r="AJ6" s="46">
        <f t="shared" si="5"/>
        <v>7</v>
      </c>
      <c r="AL6" s="37">
        <f t="shared" si="6"/>
        <v>0</v>
      </c>
    </row>
    <row r="7" spans="1:38" ht="13.5" customHeight="1">
      <c r="A7" s="39">
        <f t="shared" si="7"/>
        <v>46207</v>
      </c>
      <c r="B7" s="42" t="str">
        <f>IFERROR(VLOOKUP(A7, Feiertage!$B:$C, 2, 0), IF(OR(WEEKDAY(A7,2)=6, WEEKDAY(A7,2)=7), Feiertage!$C$23, ""))</f>
        <v>* * * * * * * * Wochenende * * * * * * * * * * * * * * * * * * * * * * * * * * * * * * * * * * * * * * * * * * * * * * * *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0</v>
      </c>
      <c r="S7" s="45">
        <f t="shared" si="0"/>
        <v>0</v>
      </c>
      <c r="T7" s="45">
        <f t="shared" si="1"/>
        <v>0</v>
      </c>
      <c r="U7" s="46">
        <f t="shared" si="8"/>
        <v>-0.16000000000000458</v>
      </c>
      <c r="V7" s="42"/>
      <c r="W7" s="47"/>
      <c r="X7" s="48">
        <f>V7+W7*Summen!$B$44</f>
        <v>0</v>
      </c>
      <c r="Y7" s="185"/>
      <c r="Z7" s="186"/>
      <c r="AA7" s="186"/>
      <c r="AB7" s="186"/>
      <c r="AC7" s="186"/>
      <c r="AD7" s="186"/>
      <c r="AE7" s="186"/>
      <c r="AF7" s="186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46208</v>
      </c>
      <c r="B8" s="159" t="str">
        <f>IFERROR(VLOOKUP(A8, Feiertage!$B:$C, 2, 0), IF(OR(WEEKDAY(A8,2)=6, WEEKDAY(A8,2)=7), Feiertage!$C$23, ""))</f>
        <v>* * * * * * * * Wochenende * * * * * * * * * * * * * * * * * * * * * * * * * * * * * * * * * * * * * * * * * * * * * * * *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56">
        <f>IF(OR(WEEKDAY(A8,2)=6,WEEKDAY(A8,2)=7),0,IFERROR(IF(VLOOKUP(A8,Feiertage!$B:$D,3,0)="ja",0,Summen!$B$9),Summen!$B$9))</f>
        <v>0</v>
      </c>
      <c r="S8" s="45">
        <f t="shared" si="0"/>
        <v>0</v>
      </c>
      <c r="T8" s="45">
        <f t="shared" si="1"/>
        <v>0</v>
      </c>
      <c r="U8" s="46">
        <f t="shared" si="8"/>
        <v>-0.16000000000000458</v>
      </c>
      <c r="V8" s="159"/>
      <c r="W8" s="161"/>
      <c r="X8" s="48">
        <f>V8+W8*Summen!$B$44</f>
        <v>0</v>
      </c>
      <c r="Y8" s="128"/>
      <c r="Z8" s="129"/>
      <c r="AA8" s="129"/>
      <c r="AB8" s="129"/>
      <c r="AC8" s="129"/>
      <c r="AD8" s="129"/>
      <c r="AE8" s="129"/>
      <c r="AF8" s="129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46209</v>
      </c>
      <c r="B9" s="42" t="str">
        <f>IFERROR(VLOOKUP(A9, Feiertage!$B:$C, 2, 0), IF(OR(WEEKDAY(A9,2)=6, WEEKDAY(A9,2)=7), Feiertage!$C$23, ""))</f>
        <v/>
      </c>
      <c r="C9" s="42">
        <v>1</v>
      </c>
      <c r="D9" s="42"/>
      <c r="E9" s="42">
        <v>7.4</v>
      </c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56">
        <f>IF(OR(WEEKDAY(A9,2)=6,WEEKDAY(A9,2)=7),0,IFERROR(IF(VLOOKUP(A9,Feiertage!$B:$D,3,0)="ja",0,Summen!$B$9),Summen!$B$9))</f>
        <v>8.4</v>
      </c>
      <c r="S9" s="45">
        <f t="shared" si="0"/>
        <v>8.4</v>
      </c>
      <c r="T9" s="45">
        <f t="shared" si="1"/>
        <v>0</v>
      </c>
      <c r="U9" s="46">
        <f t="shared" si="8"/>
        <v>-0.16000000000000458</v>
      </c>
      <c r="V9" s="42"/>
      <c r="W9" s="47"/>
      <c r="X9" s="48">
        <f>V9+W9*Summen!$B$44</f>
        <v>0</v>
      </c>
      <c r="Y9" s="185">
        <v>0.34027777777777779</v>
      </c>
      <c r="Z9" s="186">
        <v>0.47916666666666669</v>
      </c>
      <c r="AA9" s="186">
        <v>0.49652777777777779</v>
      </c>
      <c r="AB9" s="186">
        <v>0.70833333333333337</v>
      </c>
      <c r="AC9" s="186"/>
      <c r="AD9" s="186"/>
      <c r="AE9" s="186"/>
      <c r="AF9" s="186"/>
      <c r="AG9" s="50">
        <f t="shared" si="2"/>
        <v>0.35069444444444448</v>
      </c>
      <c r="AH9" s="45">
        <f t="shared" si="3"/>
        <v>8</v>
      </c>
      <c r="AI9" s="45">
        <f t="shared" si="4"/>
        <v>0.41666666666666669</v>
      </c>
      <c r="AJ9" s="46">
        <f t="shared" si="5"/>
        <v>8.4166666666666661</v>
      </c>
      <c r="AL9" s="37">
        <f t="shared" si="6"/>
        <v>-1.6666666666665719E-2</v>
      </c>
    </row>
    <row r="10" spans="1:38" ht="13.5" customHeight="1">
      <c r="A10" s="39">
        <f t="shared" si="7"/>
        <v>46210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>
        <v>8.4</v>
      </c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8.4</v>
      </c>
      <c r="S10" s="45">
        <f t="shared" si="0"/>
        <v>8.4</v>
      </c>
      <c r="T10" s="45">
        <f t="shared" si="1"/>
        <v>0</v>
      </c>
      <c r="U10" s="46">
        <f t="shared" si="8"/>
        <v>-0.16000000000000458</v>
      </c>
      <c r="V10" s="159"/>
      <c r="W10" s="161"/>
      <c r="X10" s="48">
        <f>V10+W10*Summen!$B$44</f>
        <v>0</v>
      </c>
      <c r="Y10" s="128"/>
      <c r="Z10" s="129"/>
      <c r="AA10" s="129"/>
      <c r="AB10" s="129"/>
      <c r="AC10" s="129"/>
      <c r="AD10" s="129"/>
      <c r="AE10" s="129"/>
      <c r="AF10" s="129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8.4</v>
      </c>
    </row>
    <row r="11" spans="1:38" ht="13.5" customHeight="1">
      <c r="A11" s="39">
        <f t="shared" si="7"/>
        <v>46211</v>
      </c>
      <c r="B11" s="42" t="str">
        <f>IFERROR(VLOOKUP(A11, Feiertage!$B:$C, 2, 0), IF(OR(WEEKDAY(A11,2)=6, WEEKDAY(A11,2)=7), Feiertage!$C$23, ""))</f>
        <v/>
      </c>
      <c r="C11" s="42">
        <v>0.5</v>
      </c>
      <c r="D11" s="42"/>
      <c r="E11" s="42">
        <v>8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8.4</v>
      </c>
      <c r="S11" s="45">
        <f t="shared" si="0"/>
        <v>8.5</v>
      </c>
      <c r="T11" s="45">
        <f t="shared" si="1"/>
        <v>9.9999999999999645E-2</v>
      </c>
      <c r="U11" s="46">
        <f t="shared" si="8"/>
        <v>-6.0000000000004938E-2</v>
      </c>
      <c r="V11" s="42"/>
      <c r="W11" s="47"/>
      <c r="X11" s="48">
        <f>V11+W11*Summen!$B$44</f>
        <v>0</v>
      </c>
      <c r="Y11" s="185">
        <v>0.32291666666666669</v>
      </c>
      <c r="Z11" s="186">
        <v>0.5</v>
      </c>
      <c r="AA11" s="186">
        <v>0.51041666666666663</v>
      </c>
      <c r="AB11" s="186">
        <v>0.6875</v>
      </c>
      <c r="AC11" s="186"/>
      <c r="AD11" s="186"/>
      <c r="AE11" s="186"/>
      <c r="AF11" s="186"/>
      <c r="AG11" s="50">
        <f t="shared" si="2"/>
        <v>0.35416666666666669</v>
      </c>
      <c r="AH11" s="45">
        <f t="shared" si="3"/>
        <v>8</v>
      </c>
      <c r="AI11" s="45">
        <f t="shared" si="4"/>
        <v>0.5</v>
      </c>
      <c r="AJ11" s="46">
        <f t="shared" si="5"/>
        <v>8.5</v>
      </c>
      <c r="AL11" s="37">
        <f t="shared" si="6"/>
        <v>0</v>
      </c>
    </row>
    <row r="12" spans="1:38" ht="13.5" customHeight="1">
      <c r="A12" s="39">
        <f t="shared" si="7"/>
        <v>46212</v>
      </c>
      <c r="B12" s="159" t="str">
        <f>IFERROR(VLOOKUP(A12, Feiertage!$B:$C, 2, 0), IF(OR(WEEKDAY(A12,2)=6, WEEKDAY(A12,2)=7), Feiertage!$C$23, ""))</f>
        <v/>
      </c>
      <c r="C12" s="159">
        <v>2.25</v>
      </c>
      <c r="D12" s="159"/>
      <c r="E12" s="159">
        <v>5</v>
      </c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8.4</v>
      </c>
      <c r="S12" s="45">
        <f t="shared" si="0"/>
        <v>7.25</v>
      </c>
      <c r="T12" s="45">
        <f t="shared" si="1"/>
        <v>-1.1500000000000004</v>
      </c>
      <c r="U12" s="46">
        <f t="shared" si="8"/>
        <v>-1.2100000000000053</v>
      </c>
      <c r="V12" s="159"/>
      <c r="W12" s="161"/>
      <c r="X12" s="48">
        <f>V12+W12*Summen!$B$44</f>
        <v>0</v>
      </c>
      <c r="Y12" s="128">
        <v>0.33333333333333331</v>
      </c>
      <c r="Z12" s="129">
        <v>0.5</v>
      </c>
      <c r="AA12" s="129">
        <v>0.51041666666666663</v>
      </c>
      <c r="AB12" s="129">
        <v>0.64583333333333337</v>
      </c>
      <c r="AC12" s="129"/>
      <c r="AD12" s="129"/>
      <c r="AE12" s="129"/>
      <c r="AF12" s="129"/>
      <c r="AG12" s="50">
        <f t="shared" si="2"/>
        <v>0.30208333333333343</v>
      </c>
      <c r="AH12" s="45">
        <f t="shared" si="3"/>
        <v>7</v>
      </c>
      <c r="AI12" s="45">
        <f t="shared" si="4"/>
        <v>0.25</v>
      </c>
      <c r="AJ12" s="46">
        <f t="shared" si="5"/>
        <v>7.25</v>
      </c>
      <c r="AL12" s="37">
        <f t="shared" si="6"/>
        <v>0</v>
      </c>
    </row>
    <row r="13" spans="1:38" ht="13.5" customHeight="1">
      <c r="A13" s="39">
        <f t="shared" si="7"/>
        <v>46213</v>
      </c>
      <c r="B13" s="42" t="str">
        <f>IFERROR(VLOOKUP(A13, Feiertage!$B:$C, 2, 0), IF(OR(WEEKDAY(A13,2)=6, WEEKDAY(A13,2)=7), Feiertage!$C$23, ""))</f>
        <v/>
      </c>
      <c r="C13" s="42"/>
      <c r="D13" s="42">
        <v>4</v>
      </c>
      <c r="E13" s="42">
        <v>5.5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8.4</v>
      </c>
      <c r="S13" s="45">
        <f t="shared" si="0"/>
        <v>9.5</v>
      </c>
      <c r="T13" s="45">
        <f t="shared" si="1"/>
        <v>1.0999999999999996</v>
      </c>
      <c r="U13" s="46">
        <f t="shared" si="8"/>
        <v>-0.11000000000000565</v>
      </c>
      <c r="V13" s="42"/>
      <c r="W13" s="47"/>
      <c r="X13" s="48">
        <f>V13+W13*Summen!$B$44</f>
        <v>0</v>
      </c>
      <c r="Y13" s="185">
        <v>0.29166666666666669</v>
      </c>
      <c r="Z13" s="186">
        <v>0.5</v>
      </c>
      <c r="AA13" s="186">
        <v>0.52083333333333337</v>
      </c>
      <c r="AB13" s="186">
        <v>0.58333333333333337</v>
      </c>
      <c r="AC13" s="186">
        <v>0.79166666666666663</v>
      </c>
      <c r="AD13" s="186">
        <v>0.91666666666666663</v>
      </c>
      <c r="AE13" s="186"/>
      <c r="AF13" s="186"/>
      <c r="AG13" s="50">
        <f t="shared" si="2"/>
        <v>0.39583333333333331</v>
      </c>
      <c r="AH13" s="45">
        <f t="shared" si="3"/>
        <v>9</v>
      </c>
      <c r="AI13" s="45">
        <f t="shared" si="4"/>
        <v>0.5</v>
      </c>
      <c r="AJ13" s="46">
        <f t="shared" si="5"/>
        <v>9.5</v>
      </c>
      <c r="AL13" s="37">
        <f t="shared" si="6"/>
        <v>0</v>
      </c>
    </row>
    <row r="14" spans="1:38" ht="13.5" customHeight="1">
      <c r="A14" s="39">
        <f t="shared" si="7"/>
        <v>46214</v>
      </c>
      <c r="B14" s="159" t="str">
        <f>IFERROR(VLOOKUP(A14, Feiertage!$B:$C, 2, 0), IF(OR(WEEKDAY(A14,2)=6, WEEKDAY(A14,2)=7), Feiertage!$C$23, ""))</f>
        <v>* * * * * * * * Wochenende * * * * * * * * * * * * * * * * * * * * * * * * * * * * * * * * * * * * * * * * * * * * * * * *</v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0</v>
      </c>
      <c r="S14" s="45">
        <f t="shared" si="0"/>
        <v>0</v>
      </c>
      <c r="T14" s="45">
        <f t="shared" si="1"/>
        <v>0</v>
      </c>
      <c r="U14" s="46">
        <f t="shared" si="8"/>
        <v>-0.11000000000000565</v>
      </c>
      <c r="V14" s="159"/>
      <c r="W14" s="161"/>
      <c r="X14" s="48">
        <f>V14+W14*Summen!$B$44</f>
        <v>0</v>
      </c>
      <c r="Y14" s="128"/>
      <c r="Z14" s="129"/>
      <c r="AA14" s="129"/>
      <c r="AB14" s="129"/>
      <c r="AC14" s="129"/>
      <c r="AD14" s="129"/>
      <c r="AE14" s="129"/>
      <c r="AF14" s="129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46215</v>
      </c>
      <c r="B15" s="42" t="str">
        <f>IFERROR(VLOOKUP(A15, Feiertage!$B:$C, 2, 0), IF(OR(WEEKDAY(A15,2)=6, WEEKDAY(A15,2)=7), Feiertage!$C$23, ""))</f>
        <v>* * * * * * * * Wochenende * * * * * * * * * * * * * * * * * * * * * * * * * * * * * * * * * * * * * * * * * * * * * * * *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56">
        <f>IF(OR(WEEKDAY(A15,2)=6,WEEKDAY(A15,2)=7),0,IFERROR(IF(VLOOKUP(A15,Feiertage!$B:$D,3,0)="ja",0,Summen!$B$9),Summen!$B$9))</f>
        <v>0</v>
      </c>
      <c r="S15" s="45">
        <f t="shared" si="0"/>
        <v>0</v>
      </c>
      <c r="T15" s="45">
        <f t="shared" si="1"/>
        <v>0</v>
      </c>
      <c r="U15" s="46">
        <f t="shared" si="8"/>
        <v>-0.11000000000000565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46216</v>
      </c>
      <c r="B16" s="159" t="str">
        <f>IFERROR(VLOOKUP(A16, Feiertage!$B:$C, 2, 0), IF(OR(WEEKDAY(A16,2)=6, WEEKDAY(A16,2)=7), Feiertage!$C$23, ""))</f>
        <v/>
      </c>
      <c r="C16" s="159">
        <v>5.2</v>
      </c>
      <c r="D16" s="159">
        <v>2</v>
      </c>
      <c r="E16" s="159">
        <v>3</v>
      </c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56">
        <f>IF(OR(WEEKDAY(A16,2)=6,WEEKDAY(A16,2)=7),0,IFERROR(IF(VLOOKUP(A16,Feiertage!$B:$D,3,0)="ja",0,Summen!$B$9),Summen!$B$9))</f>
        <v>8.4</v>
      </c>
      <c r="S16" s="45">
        <f t="shared" si="0"/>
        <v>10.199999999999999</v>
      </c>
      <c r="T16" s="45">
        <f t="shared" si="1"/>
        <v>1.7999999999999989</v>
      </c>
      <c r="U16" s="46">
        <f t="shared" si="8"/>
        <v>1.6899999999999933</v>
      </c>
      <c r="V16" s="159"/>
      <c r="W16" s="161"/>
      <c r="X16" s="48">
        <f>V16+W16*Summen!$B$44</f>
        <v>0</v>
      </c>
      <c r="Y16" s="128">
        <v>0.29166666666666669</v>
      </c>
      <c r="Z16" s="129">
        <v>0.5</v>
      </c>
      <c r="AA16" s="129">
        <v>0.51388888888888884</v>
      </c>
      <c r="AB16" s="129">
        <v>0.66666666666666663</v>
      </c>
      <c r="AC16" s="129">
        <v>0.79166666666666663</v>
      </c>
      <c r="AD16" s="129">
        <v>0.85416666666666663</v>
      </c>
      <c r="AE16" s="129"/>
      <c r="AF16" s="129"/>
      <c r="AG16" s="50">
        <f t="shared" si="2"/>
        <v>0.4236111111111111</v>
      </c>
      <c r="AH16" s="45">
        <f t="shared" si="3"/>
        <v>10</v>
      </c>
      <c r="AI16" s="45">
        <f t="shared" si="4"/>
        <v>0.16666666666666666</v>
      </c>
      <c r="AJ16" s="46">
        <f t="shared" si="5"/>
        <v>10.166666666666666</v>
      </c>
      <c r="AL16" s="37">
        <f t="shared" si="6"/>
        <v>3.3333333333333215E-2</v>
      </c>
    </row>
    <row r="17" spans="1:38" ht="13.5" customHeight="1">
      <c r="A17" s="39">
        <f t="shared" si="7"/>
        <v>46217</v>
      </c>
      <c r="B17" s="42" t="str">
        <f>IFERROR(VLOOKUP(A17, Feiertage!$B:$C, 2, 0), IF(OR(WEEKDAY(A17,2)=6, WEEKDAY(A17,2)=7), Feiertage!$C$23, ""))</f>
        <v/>
      </c>
      <c r="C17" s="42">
        <v>3.5</v>
      </c>
      <c r="D17" s="42"/>
      <c r="E17" s="42">
        <v>7.2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8.4</v>
      </c>
      <c r="S17" s="45">
        <f t="shared" si="0"/>
        <v>10.7</v>
      </c>
      <c r="T17" s="45">
        <f t="shared" si="1"/>
        <v>2.2999999999999989</v>
      </c>
      <c r="U17" s="46">
        <f t="shared" si="8"/>
        <v>3.9899999999999922</v>
      </c>
      <c r="V17" s="42"/>
      <c r="W17" s="47"/>
      <c r="X17" s="48">
        <f>V17+W17*Summen!$B$44</f>
        <v>0</v>
      </c>
      <c r="Y17" s="185">
        <v>0.29166666666666669</v>
      </c>
      <c r="Z17" s="186">
        <v>0.5</v>
      </c>
      <c r="AA17" s="186">
        <v>0.51388888888888884</v>
      </c>
      <c r="AB17" s="186">
        <v>0.75</v>
      </c>
      <c r="AC17" s="186"/>
      <c r="AD17" s="186"/>
      <c r="AE17" s="186"/>
      <c r="AF17" s="186"/>
      <c r="AG17" s="50">
        <f t="shared" si="2"/>
        <v>0.44444444444444448</v>
      </c>
      <c r="AH17" s="45">
        <f t="shared" si="3"/>
        <v>10</v>
      </c>
      <c r="AI17" s="45">
        <f t="shared" si="4"/>
        <v>0.66666666666666663</v>
      </c>
      <c r="AJ17" s="46">
        <f t="shared" si="5"/>
        <v>10.666666666666666</v>
      </c>
      <c r="AL17" s="37">
        <f t="shared" si="6"/>
        <v>3.3333333333333215E-2</v>
      </c>
    </row>
    <row r="18" spans="1:38" ht="13.5" customHeight="1">
      <c r="A18" s="39">
        <f t="shared" si="7"/>
        <v>46218</v>
      </c>
      <c r="B18" s="159" t="str">
        <f>IFERROR(VLOOKUP(A18, Feiertage!$B:$C, 2, 0), IF(OR(WEEKDAY(A18,2)=6, WEEKDAY(A18,2)=7), Feiertage!$C$23, ""))</f>
        <v/>
      </c>
      <c r="C18" s="159">
        <v>3</v>
      </c>
      <c r="D18" s="159"/>
      <c r="E18" s="159">
        <v>5.5</v>
      </c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8.4</v>
      </c>
      <c r="S18" s="45">
        <f t="shared" si="0"/>
        <v>8.5</v>
      </c>
      <c r="T18" s="45">
        <f t="shared" si="1"/>
        <v>9.9999999999999645E-2</v>
      </c>
      <c r="U18" s="46">
        <f t="shared" si="8"/>
        <v>4.0899999999999919</v>
      </c>
      <c r="V18" s="159"/>
      <c r="W18" s="161"/>
      <c r="X18" s="48">
        <f>V18+W18*Summen!$B$44</f>
        <v>0</v>
      </c>
      <c r="Y18" s="128">
        <v>0.29166666666666669</v>
      </c>
      <c r="Z18" s="129">
        <v>0.5</v>
      </c>
      <c r="AA18" s="129">
        <v>0.52083333333333337</v>
      </c>
      <c r="AB18" s="129">
        <v>0.66666666666666663</v>
      </c>
      <c r="AC18" s="129"/>
      <c r="AD18" s="129"/>
      <c r="AE18" s="129"/>
      <c r="AF18" s="129"/>
      <c r="AG18" s="50">
        <f t="shared" si="2"/>
        <v>0.35416666666666657</v>
      </c>
      <c r="AH18" s="45">
        <f t="shared" si="3"/>
        <v>8</v>
      </c>
      <c r="AI18" s="45">
        <f t="shared" si="4"/>
        <v>0.5</v>
      </c>
      <c r="AJ18" s="46">
        <f t="shared" si="5"/>
        <v>8.5</v>
      </c>
      <c r="AL18" s="37">
        <f t="shared" si="6"/>
        <v>0</v>
      </c>
    </row>
    <row r="19" spans="1:38" ht="13.5" customHeight="1">
      <c r="A19" s="39">
        <f t="shared" si="7"/>
        <v>46219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>
        <v>7.3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7.3</v>
      </c>
      <c r="T19" s="45">
        <f t="shared" si="1"/>
        <v>-1.1000000000000005</v>
      </c>
      <c r="U19" s="46">
        <f t="shared" si="8"/>
        <v>2.9899999999999913</v>
      </c>
      <c r="V19" s="42"/>
      <c r="W19" s="47"/>
      <c r="X19" s="48">
        <f>V19+W19*Summen!$B$44</f>
        <v>0</v>
      </c>
      <c r="Y19" s="185">
        <v>0.32291666666666669</v>
      </c>
      <c r="Z19" s="186">
        <v>0.47916666666666669</v>
      </c>
      <c r="AA19" s="186">
        <v>0.49305555555555558</v>
      </c>
      <c r="AB19" s="186">
        <v>0.64236111111111116</v>
      </c>
      <c r="AC19" s="186"/>
      <c r="AD19" s="186"/>
      <c r="AE19" s="186"/>
      <c r="AF19" s="186"/>
      <c r="AG19" s="50">
        <f t="shared" si="2"/>
        <v>0.30555555555555558</v>
      </c>
      <c r="AH19" s="45">
        <f t="shared" si="3"/>
        <v>7</v>
      </c>
      <c r="AI19" s="45">
        <f t="shared" si="4"/>
        <v>0.33333333333333331</v>
      </c>
      <c r="AJ19" s="46">
        <f t="shared" si="5"/>
        <v>7.333333333333333</v>
      </c>
      <c r="AL19" s="37">
        <f t="shared" si="6"/>
        <v>-3.3333333333333215E-2</v>
      </c>
    </row>
    <row r="20" spans="1:38" ht="13.5" customHeight="1">
      <c r="A20" s="39">
        <f t="shared" si="7"/>
        <v>46220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>
        <v>5.75</v>
      </c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5.75</v>
      </c>
      <c r="T20" s="45">
        <f t="shared" si="1"/>
        <v>-2.6500000000000004</v>
      </c>
      <c r="U20" s="46">
        <f t="shared" si="8"/>
        <v>0.33999999999999098</v>
      </c>
      <c r="V20" s="159"/>
      <c r="W20" s="161"/>
      <c r="X20" s="48">
        <f>V20+W20*Summen!$B$44</f>
        <v>0</v>
      </c>
      <c r="Y20" s="128">
        <v>0.27083333333333331</v>
      </c>
      <c r="Z20" s="129">
        <v>0.47916666666666669</v>
      </c>
      <c r="AA20" s="129">
        <v>0.48958333333333331</v>
      </c>
      <c r="AB20" s="129">
        <v>0.52083333333333337</v>
      </c>
      <c r="AC20" s="129"/>
      <c r="AD20" s="129"/>
      <c r="AE20" s="129"/>
      <c r="AF20" s="129"/>
      <c r="AG20" s="50">
        <f t="shared" si="2"/>
        <v>0.23958333333333343</v>
      </c>
      <c r="AH20" s="45">
        <f t="shared" si="3"/>
        <v>5</v>
      </c>
      <c r="AI20" s="45">
        <f t="shared" si="4"/>
        <v>0.75</v>
      </c>
      <c r="AJ20" s="46">
        <f t="shared" si="5"/>
        <v>5.75</v>
      </c>
      <c r="AL20" s="37">
        <f t="shared" si="6"/>
        <v>0</v>
      </c>
    </row>
    <row r="21" spans="1:38" ht="13.5" customHeight="1">
      <c r="A21" s="39">
        <f t="shared" si="7"/>
        <v>46221</v>
      </c>
      <c r="B21" s="42" t="str">
        <f>IFERROR(VLOOKUP(A21, Feiertage!$B:$C, 2, 0), IF(OR(WEEKDAY(A21,2)=6, WEEKDAY(A21,2)=7), Feiertage!$C$23, ""))</f>
        <v>* * * * * * * * Wochenende * * * * * * * * * * * * * * * * * * * * * * * * * * * * * * * * * * * * * * * * * * * * * * * *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0</v>
      </c>
      <c r="S21" s="45">
        <f t="shared" si="0"/>
        <v>0</v>
      </c>
      <c r="T21" s="45">
        <f t="shared" si="1"/>
        <v>0</v>
      </c>
      <c r="U21" s="46">
        <f t="shared" si="8"/>
        <v>0.33999999999999098</v>
      </c>
      <c r="V21" s="42"/>
      <c r="W21" s="47"/>
      <c r="X21" s="48">
        <f>V21+W21*Summen!$B$44</f>
        <v>0</v>
      </c>
      <c r="Y21" s="185"/>
      <c r="Z21" s="186"/>
      <c r="AA21" s="186"/>
      <c r="AB21" s="186"/>
      <c r="AC21" s="186"/>
      <c r="AD21" s="186"/>
      <c r="AE21" s="186"/>
      <c r="AF21" s="186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46222</v>
      </c>
      <c r="B22" s="159" t="str">
        <f>IFERROR(VLOOKUP(A22, Feiertage!$B:$C, 2, 0), IF(OR(WEEKDAY(A22,2)=6, WEEKDAY(A22,2)=7), Feiertage!$C$23, ""))</f>
        <v>* * * * * * * * Wochenende * * * * * * * * * * * * * * * * * * * * * * * * * * * * * * * * * * * * * * * * * * * * * * * *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56">
        <f>IF(OR(WEEKDAY(A22,2)=6,WEEKDAY(A22,2)=7),0,IFERROR(IF(VLOOKUP(A22,Feiertage!$B:$D,3,0)="ja",0,Summen!$B$9),Summen!$B$9))</f>
        <v>0</v>
      </c>
      <c r="S22" s="45">
        <f t="shared" si="0"/>
        <v>0</v>
      </c>
      <c r="T22" s="45">
        <f t="shared" si="1"/>
        <v>0</v>
      </c>
      <c r="U22" s="46">
        <f t="shared" si="8"/>
        <v>0.33999999999999098</v>
      </c>
      <c r="V22" s="159"/>
      <c r="W22" s="161"/>
      <c r="X22" s="48">
        <f>V22+W22*Summen!$B$44</f>
        <v>0</v>
      </c>
      <c r="Y22" s="128"/>
      <c r="Z22" s="129"/>
      <c r="AA22" s="129"/>
      <c r="AB22" s="129"/>
      <c r="AC22" s="129"/>
      <c r="AD22" s="129"/>
      <c r="AE22" s="129"/>
      <c r="AF22" s="129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46223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>
        <v>8.75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56">
        <f>IF(OR(WEEKDAY(A23,2)=6,WEEKDAY(A23,2)=7),0,IFERROR(IF(VLOOKUP(A23,Feiertage!$B:$D,3,0)="ja",0,Summen!$B$9),Summen!$B$9))</f>
        <v>8.4</v>
      </c>
      <c r="S23" s="45">
        <f t="shared" si="0"/>
        <v>8.75</v>
      </c>
      <c r="T23" s="45">
        <f t="shared" si="1"/>
        <v>0.34999999999999964</v>
      </c>
      <c r="U23" s="46">
        <f t="shared" si="8"/>
        <v>0.68999999999999062</v>
      </c>
      <c r="V23" s="42"/>
      <c r="W23" s="47"/>
      <c r="X23" s="48">
        <f>V23+W23*Summen!$B$44</f>
        <v>0</v>
      </c>
      <c r="Y23" s="185">
        <v>0.28125</v>
      </c>
      <c r="Z23" s="186">
        <v>0.4861111111111111</v>
      </c>
      <c r="AA23" s="186">
        <v>0.49305555555555558</v>
      </c>
      <c r="AB23" s="186">
        <v>0.65277777777777779</v>
      </c>
      <c r="AC23" s="186"/>
      <c r="AD23" s="186"/>
      <c r="AE23" s="186"/>
      <c r="AF23" s="186"/>
      <c r="AG23" s="50">
        <f t="shared" si="2"/>
        <v>0.36458333333333331</v>
      </c>
      <c r="AH23" s="45">
        <f t="shared" si="3"/>
        <v>8</v>
      </c>
      <c r="AI23" s="45">
        <f t="shared" si="4"/>
        <v>0.75</v>
      </c>
      <c r="AJ23" s="46">
        <f t="shared" si="5"/>
        <v>8.75</v>
      </c>
      <c r="AL23" s="37">
        <f t="shared" si="6"/>
        <v>0</v>
      </c>
    </row>
    <row r="24" spans="1:38" ht="13.5" customHeight="1">
      <c r="A24" s="39">
        <f t="shared" si="7"/>
        <v>46224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>
        <v>9.25</v>
      </c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8.4</v>
      </c>
      <c r="S24" s="45">
        <f t="shared" si="0"/>
        <v>9.25</v>
      </c>
      <c r="T24" s="45">
        <f t="shared" si="1"/>
        <v>0.84999999999999964</v>
      </c>
      <c r="U24" s="46">
        <f t="shared" si="8"/>
        <v>1.5399999999999903</v>
      </c>
      <c r="V24" s="159"/>
      <c r="W24" s="161"/>
      <c r="X24" s="48">
        <f>V24+W24*Summen!$B$44</f>
        <v>0</v>
      </c>
      <c r="Y24" s="128">
        <v>0.3125</v>
      </c>
      <c r="Z24" s="129">
        <v>0.4826388888888889</v>
      </c>
      <c r="AA24" s="129">
        <v>0.49305555555555558</v>
      </c>
      <c r="AB24" s="129">
        <v>0.70833333333333337</v>
      </c>
      <c r="AC24" s="129"/>
      <c r="AD24" s="129"/>
      <c r="AE24" s="129"/>
      <c r="AF24" s="129"/>
      <c r="AG24" s="50">
        <f t="shared" si="2"/>
        <v>0.38541666666666669</v>
      </c>
      <c r="AH24" s="45">
        <f t="shared" si="3"/>
        <v>9</v>
      </c>
      <c r="AI24" s="45">
        <f t="shared" si="4"/>
        <v>0.25</v>
      </c>
      <c r="AJ24" s="46">
        <f t="shared" si="5"/>
        <v>9.25</v>
      </c>
      <c r="AL24" s="37">
        <f t="shared" si="6"/>
        <v>0</v>
      </c>
    </row>
    <row r="25" spans="1:38" ht="13.5" customHeight="1">
      <c r="A25" s="39">
        <f t="shared" si="7"/>
        <v>46225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>
        <v>6.6</v>
      </c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8.4</v>
      </c>
      <c r="S25" s="45">
        <f t="shared" si="0"/>
        <v>6.6</v>
      </c>
      <c r="T25" s="45">
        <f t="shared" si="1"/>
        <v>-1.8000000000000007</v>
      </c>
      <c r="U25" s="46">
        <f t="shared" si="8"/>
        <v>-0.26000000000001044</v>
      </c>
      <c r="V25" s="42"/>
      <c r="W25" s="47"/>
      <c r="X25" s="48">
        <f>V25+W25*Summen!$B$44</f>
        <v>0</v>
      </c>
      <c r="Y25" s="185">
        <v>0.34027777777777779</v>
      </c>
      <c r="Z25" s="186">
        <v>0.47916666666666669</v>
      </c>
      <c r="AA25" s="186">
        <v>0.49305555555555558</v>
      </c>
      <c r="AB25" s="186">
        <v>0.62847222222222221</v>
      </c>
      <c r="AC25" s="186"/>
      <c r="AD25" s="186"/>
      <c r="AE25" s="186"/>
      <c r="AF25" s="186"/>
      <c r="AG25" s="50">
        <f t="shared" si="2"/>
        <v>0.27430555555555552</v>
      </c>
      <c r="AH25" s="45">
        <f t="shared" si="3"/>
        <v>6</v>
      </c>
      <c r="AI25" s="45">
        <f t="shared" si="4"/>
        <v>0.58333333333333337</v>
      </c>
      <c r="AJ25" s="46">
        <f t="shared" si="5"/>
        <v>6.583333333333333</v>
      </c>
      <c r="AL25" s="37">
        <f t="shared" si="6"/>
        <v>1.6666666666666607E-2</v>
      </c>
    </row>
    <row r="26" spans="1:38" ht="13.5" customHeight="1">
      <c r="A26" s="39">
        <f t="shared" si="7"/>
        <v>46226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>
        <v>8.8000000000000007</v>
      </c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8.8000000000000007</v>
      </c>
      <c r="T26" s="45">
        <f t="shared" si="1"/>
        <v>0.40000000000000036</v>
      </c>
      <c r="U26" s="46">
        <f t="shared" si="8"/>
        <v>0.13999999999998991</v>
      </c>
      <c r="V26" s="159"/>
      <c r="W26" s="161"/>
      <c r="X26" s="48">
        <f>V26+W26*Summen!$B$44</f>
        <v>0</v>
      </c>
      <c r="Y26" s="128">
        <v>0.30208333333333331</v>
      </c>
      <c r="Z26" s="129">
        <v>0.38194444444444442</v>
      </c>
      <c r="AA26" s="129">
        <v>0.3888888888888889</v>
      </c>
      <c r="AB26" s="129">
        <v>0.67708333333333337</v>
      </c>
      <c r="AC26" s="129"/>
      <c r="AD26" s="129"/>
      <c r="AE26" s="129"/>
      <c r="AF26" s="129"/>
      <c r="AG26" s="50">
        <f t="shared" si="2"/>
        <v>0.36805555555555558</v>
      </c>
      <c r="AH26" s="45">
        <f t="shared" si="3"/>
        <v>8</v>
      </c>
      <c r="AI26" s="45">
        <f t="shared" si="4"/>
        <v>0.83333333333333337</v>
      </c>
      <c r="AJ26" s="46">
        <f t="shared" si="5"/>
        <v>8.8333333333333339</v>
      </c>
      <c r="AL26" s="37">
        <f t="shared" si="6"/>
        <v>-3.3333333333333215E-2</v>
      </c>
    </row>
    <row r="27" spans="1:38" ht="13.5" customHeight="1">
      <c r="A27" s="39">
        <f t="shared" si="7"/>
        <v>46227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>
        <v>6.7</v>
      </c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6.7</v>
      </c>
      <c r="T27" s="45">
        <f t="shared" si="1"/>
        <v>-1.7000000000000002</v>
      </c>
      <c r="U27" s="46">
        <f t="shared" si="8"/>
        <v>-1.5600000000000103</v>
      </c>
      <c r="V27" s="42"/>
      <c r="W27" s="47"/>
      <c r="X27" s="48">
        <f>V27+W27*Summen!$B$44</f>
        <v>0</v>
      </c>
      <c r="Y27" s="185">
        <v>0.34722222222222221</v>
      </c>
      <c r="Z27" s="186">
        <v>0.625</v>
      </c>
      <c r="AA27" s="186"/>
      <c r="AB27" s="186"/>
      <c r="AC27" s="186"/>
      <c r="AD27" s="186"/>
      <c r="AE27" s="186"/>
      <c r="AF27" s="186"/>
      <c r="AG27" s="50">
        <f t="shared" si="2"/>
        <v>0.27777777777777779</v>
      </c>
      <c r="AH27" s="45">
        <f t="shared" si="3"/>
        <v>6</v>
      </c>
      <c r="AI27" s="45">
        <f t="shared" si="4"/>
        <v>0.66666666666666663</v>
      </c>
      <c r="AJ27" s="46">
        <f t="shared" si="5"/>
        <v>6.666666666666667</v>
      </c>
      <c r="AL27" s="37">
        <f t="shared" si="6"/>
        <v>3.3333333333333215E-2</v>
      </c>
    </row>
    <row r="28" spans="1:38" ht="13.5" customHeight="1">
      <c r="A28" s="39">
        <f t="shared" si="7"/>
        <v>46228</v>
      </c>
      <c r="B28" s="159" t="str">
        <f>IFERROR(VLOOKUP(A28, Feiertage!$B:$C, 2, 0), IF(OR(WEEKDAY(A28,2)=6, WEEKDAY(A28,2)=7), Feiertage!$C$23, ""))</f>
        <v>* * * * * * * * Wochenende * * * * * * * * * * * * * * * * * * * * * * * * * * * * * * * * * * * * * * * * * * * * * * * *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0</v>
      </c>
      <c r="S28" s="45">
        <f t="shared" si="0"/>
        <v>0</v>
      </c>
      <c r="T28" s="45">
        <f t="shared" si="1"/>
        <v>0</v>
      </c>
      <c r="U28" s="46">
        <f t="shared" si="8"/>
        <v>-1.5600000000000103</v>
      </c>
      <c r="V28" s="159"/>
      <c r="W28" s="161"/>
      <c r="X28" s="48">
        <f>V28+W28*Summen!$B$44</f>
        <v>0</v>
      </c>
      <c r="Y28" s="128"/>
      <c r="Z28" s="129"/>
      <c r="AA28" s="129"/>
      <c r="AB28" s="129"/>
      <c r="AC28" s="129"/>
      <c r="AD28" s="129"/>
      <c r="AE28" s="129"/>
      <c r="AF28" s="129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46229</v>
      </c>
      <c r="B29" s="42" t="str">
        <f>IFERROR(VLOOKUP(A29, Feiertage!$B:$C, 2, 0), IF(OR(WEEKDAY(A29,2)=6, WEEKDAY(A29,2)=7), Feiertage!$C$23, ""))</f>
        <v>* * * * * * * * Wochenende * * * * * * * * * * * * * * * * * * * * * * * * * * * * * * * * * * * * * * * * * * * * * * * *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56">
        <f>IF(OR(WEEKDAY(A29,2)=6,WEEKDAY(A29,2)=7),0,IFERROR(IF(VLOOKUP(A29,Feiertage!$B:$D,3,0)="ja",0,Summen!$B$9),Summen!$B$9))</f>
        <v>0</v>
      </c>
      <c r="S29" s="45">
        <f t="shared" si="0"/>
        <v>0</v>
      </c>
      <c r="T29" s="45">
        <f t="shared" si="1"/>
        <v>0</v>
      </c>
      <c r="U29" s="46">
        <f t="shared" si="8"/>
        <v>-1.5600000000000103</v>
      </c>
      <c r="V29" s="42"/>
      <c r="W29" s="47"/>
      <c r="X29" s="48">
        <f>V29+W29*Summen!$B$44</f>
        <v>0</v>
      </c>
      <c r="Y29" s="185"/>
      <c r="Z29" s="186"/>
      <c r="AA29" s="186"/>
      <c r="AB29" s="186"/>
      <c r="AC29" s="186"/>
      <c r="AD29" s="186"/>
      <c r="AE29" s="186"/>
      <c r="AF29" s="186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46230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>
        <v>8.5</v>
      </c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56">
        <f>IF(OR(WEEKDAY(A30,2)=6,WEEKDAY(A30,2)=7),0,IFERROR(IF(VLOOKUP(A30,Feiertage!$B:$D,3,0)="ja",0,Summen!$B$9),Summen!$B$9))</f>
        <v>8.4</v>
      </c>
      <c r="S30" s="45">
        <f t="shared" si="0"/>
        <v>8.5</v>
      </c>
      <c r="T30" s="45">
        <f t="shared" si="1"/>
        <v>9.9999999999999645E-2</v>
      </c>
      <c r="U30" s="46">
        <f t="shared" si="8"/>
        <v>-1.4600000000000106</v>
      </c>
      <c r="V30" s="159"/>
      <c r="W30" s="161"/>
      <c r="X30" s="48">
        <f>V30+W30*Summen!$B$44</f>
        <v>0</v>
      </c>
      <c r="Y30" s="128">
        <v>0.35416666666666669</v>
      </c>
      <c r="Z30" s="129">
        <v>0.47916666666666669</v>
      </c>
      <c r="AA30" s="129">
        <v>0.5</v>
      </c>
      <c r="AB30" s="129">
        <v>0.72916666666666663</v>
      </c>
      <c r="AC30" s="129"/>
      <c r="AD30" s="129"/>
      <c r="AE30" s="129"/>
      <c r="AF30" s="129"/>
      <c r="AG30" s="50">
        <f t="shared" si="2"/>
        <v>0.35416666666666663</v>
      </c>
      <c r="AH30" s="45">
        <f t="shared" si="3"/>
        <v>8</v>
      </c>
      <c r="AI30" s="45">
        <f t="shared" si="4"/>
        <v>0.5</v>
      </c>
      <c r="AJ30" s="46">
        <f t="shared" si="5"/>
        <v>8.5</v>
      </c>
      <c r="AL30" s="37">
        <f t="shared" si="6"/>
        <v>0</v>
      </c>
    </row>
    <row r="31" spans="1:38" ht="13.5" customHeight="1">
      <c r="A31" s="39">
        <f t="shared" si="7"/>
        <v>46231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>
        <v>8.4</v>
      </c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8.4</v>
      </c>
      <c r="S31" s="45">
        <f t="shared" si="0"/>
        <v>8.4</v>
      </c>
      <c r="T31" s="45">
        <f t="shared" si="1"/>
        <v>0</v>
      </c>
      <c r="U31" s="46">
        <f t="shared" si="8"/>
        <v>-1.4600000000000106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8.4</v>
      </c>
    </row>
    <row r="32" spans="1:38" ht="13.5" customHeight="1">
      <c r="A32" s="39">
        <f t="shared" si="7"/>
        <v>46232</v>
      </c>
      <c r="B32" s="159" t="str">
        <f>IFERROR(VLOOKUP(A32, Feiertage!$B:$C, 2, 0), IF(OR(WEEKDAY(A32,2)=6, WEEKDAY(A32,2)=7), Feiertage!$C$23, ""))</f>
        <v/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>
        <v>8.4</v>
      </c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8.4</v>
      </c>
      <c r="S32" s="45">
        <f t="shared" si="0"/>
        <v>8.4</v>
      </c>
      <c r="T32" s="45">
        <f t="shared" si="1"/>
        <v>0</v>
      </c>
      <c r="U32" s="46">
        <f t="shared" si="8"/>
        <v>-1.4600000000000106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8.4</v>
      </c>
    </row>
    <row r="33" spans="1:38" ht="13.5" customHeight="1">
      <c r="A33" s="39">
        <f t="shared" si="7"/>
        <v>46233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>
        <v>7.6</v>
      </c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45">
        <f t="shared" si="0"/>
        <v>7.6</v>
      </c>
      <c r="T33" s="45">
        <f t="shared" si="1"/>
        <v>-0.80000000000000071</v>
      </c>
      <c r="U33" s="46">
        <f t="shared" si="8"/>
        <v>-2.2600000000000113</v>
      </c>
      <c r="V33" s="42"/>
      <c r="W33" s="47"/>
      <c r="X33" s="48">
        <f>V33+W33*Summen!$B$44</f>
        <v>0</v>
      </c>
      <c r="Y33" s="185">
        <v>0.3125</v>
      </c>
      <c r="Z33" s="186">
        <v>0.38194444444444442</v>
      </c>
      <c r="AA33" s="186">
        <v>0.3888888888888889</v>
      </c>
      <c r="AB33" s="186">
        <v>0.63541666666666663</v>
      </c>
      <c r="AC33" s="186"/>
      <c r="AD33" s="186"/>
      <c r="AE33" s="186"/>
      <c r="AF33" s="186"/>
      <c r="AG33" s="50">
        <f t="shared" si="2"/>
        <v>0.31597222222222215</v>
      </c>
      <c r="AH33" s="45">
        <f t="shared" si="3"/>
        <v>7</v>
      </c>
      <c r="AI33" s="45">
        <f t="shared" si="4"/>
        <v>0.58333333333333337</v>
      </c>
      <c r="AJ33" s="46">
        <f t="shared" si="5"/>
        <v>7.583333333333333</v>
      </c>
      <c r="AL33" s="37">
        <f t="shared" si="6"/>
        <v>1.6666666666666607E-2</v>
      </c>
    </row>
    <row r="34" spans="1:38" ht="13.5" customHeight="1">
      <c r="A34" s="60">
        <f t="shared" si="7"/>
        <v>46234</v>
      </c>
      <c r="B34" s="159" t="str">
        <f>IFERROR(VLOOKUP(A34, Feiertage!$B:$C, 2, 0), IF(OR(WEEKDAY(A34,2)=6, WEEKDAY(A34,2)=7), Feiertage!$C$23, ""))</f>
        <v/>
      </c>
      <c r="C34" s="130"/>
      <c r="D34" s="131"/>
      <c r="E34" s="130"/>
      <c r="F34" s="130">
        <v>6.3</v>
      </c>
      <c r="G34" s="159"/>
      <c r="H34" s="159"/>
      <c r="I34" s="159"/>
      <c r="J34" s="159"/>
      <c r="K34" s="166"/>
      <c r="L34" s="166"/>
      <c r="M34" s="166"/>
      <c r="N34" s="166"/>
      <c r="O34" s="166"/>
      <c r="P34" s="166"/>
      <c r="Q34" s="167"/>
      <c r="R34" s="44">
        <f>IF(OR(WEEKDAY(A34,2)=6,WEEKDAY(A34,2)=7),0,IFERROR(IF(VLOOKUP(A34,Feiertage!$B:$D,3,0)="ja",0,Summen!$B$9),Summen!$B$9))</f>
        <v>8.4</v>
      </c>
      <c r="S34" s="61">
        <f t="shared" si="0"/>
        <v>6.3</v>
      </c>
      <c r="T34" s="61">
        <f t="shared" si="1"/>
        <v>-2.1000000000000005</v>
      </c>
      <c r="U34" s="62">
        <f t="shared" si="8"/>
        <v>-4.3600000000000119</v>
      </c>
      <c r="V34" s="159"/>
      <c r="W34" s="161"/>
      <c r="X34" s="48">
        <f>V34+W34*Summen!$B$44</f>
        <v>0</v>
      </c>
      <c r="Y34" s="128">
        <v>0.34375</v>
      </c>
      <c r="Z34" s="129">
        <v>0.38194444444444442</v>
      </c>
      <c r="AA34" s="129">
        <v>0.3888888888888889</v>
      </c>
      <c r="AB34" s="129">
        <v>0.61458333333333337</v>
      </c>
      <c r="AC34" s="129"/>
      <c r="AD34" s="129"/>
      <c r="AE34" s="129"/>
      <c r="AF34" s="129"/>
      <c r="AG34" s="63">
        <f t="shared" si="2"/>
        <v>0.2638888888888889</v>
      </c>
      <c r="AH34" s="61">
        <f t="shared" si="3"/>
        <v>6</v>
      </c>
      <c r="AI34" s="61">
        <f t="shared" si="4"/>
        <v>0.33333333333333331</v>
      </c>
      <c r="AJ34" s="62">
        <f t="shared" si="5"/>
        <v>6.333333333333333</v>
      </c>
      <c r="AL34" s="37">
        <f t="shared" si="6"/>
        <v>-3.3333333333333215E-2</v>
      </c>
    </row>
    <row r="35" spans="1:38" ht="18" customHeight="1">
      <c r="A35" s="64" t="s">
        <v>32</v>
      </c>
      <c r="B35" s="108"/>
      <c r="C35" s="168">
        <f t="shared" ref="C35:T35" si="9">SUM(C4:C34)</f>
        <v>29.2</v>
      </c>
      <c r="D35" s="168">
        <f t="shared" si="9"/>
        <v>6.5</v>
      </c>
      <c r="E35" s="168">
        <f t="shared" si="9"/>
        <v>49.900000000000006</v>
      </c>
      <c r="F35" s="168">
        <f t="shared" si="9"/>
        <v>75.55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25.200000000000003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193.20000000000007</v>
      </c>
      <c r="S35" s="169">
        <f t="shared" si="9"/>
        <v>186.35000000000002</v>
      </c>
      <c r="T35" s="169">
        <f t="shared" si="9"/>
        <v>-6.8500000000000085</v>
      </c>
      <c r="U35" s="67">
        <f>U34</f>
        <v>-4.3600000000000119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87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67">
        <f>SUM(AJ4:AJ34)</f>
        <v>161.16666666666669</v>
      </c>
      <c r="AL35" s="37">
        <f t="shared" si="6"/>
        <v>25.183333333333337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DBECDB8-EF03-4E09-8524-D3B43B185AF8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2C2499B2-BC31-49CD-A3A0-158BE34BABE3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L1000"/>
  <sheetViews>
    <sheetView topLeftCell="A6" zoomScale="120" zoomScaleNormal="85" workbookViewId="0">
      <selection activeCell="I28" sqref="I28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5" t="s">
        <v>0</v>
      </c>
      <c r="G1" s="189"/>
      <c r="H1" s="196" t="s">
        <v>1</v>
      </c>
      <c r="I1" s="191"/>
      <c r="J1" s="197" t="str">
        <f>Summen!B3</f>
        <v>Michael Küng</v>
      </c>
      <c r="K1" s="191"/>
      <c r="L1" s="191"/>
      <c r="M1" s="189"/>
      <c r="N1" s="198" t="s">
        <v>2</v>
      </c>
      <c r="O1" s="191"/>
      <c r="P1" s="188">
        <f>Jul!P1+31</f>
        <v>46235</v>
      </c>
      <c r="Q1" s="189"/>
      <c r="R1" s="1"/>
      <c r="S1" s="2" t="s">
        <v>3</v>
      </c>
      <c r="T1" s="2"/>
      <c r="U1" s="3">
        <f>Summen!B5</f>
        <v>1</v>
      </c>
      <c r="V1" s="1"/>
      <c r="W1" s="4" t="s">
        <v>4</v>
      </c>
      <c r="X1" s="5">
        <f>Jul!X1+1</f>
        <v>8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Jul!H2+(Jul!Q35/Summen!B9)</f>
        <v>1</v>
      </c>
      <c r="I2" s="11" t="s">
        <v>7</v>
      </c>
      <c r="J2" s="13">
        <f>E2-H2</f>
        <v>9.8000000000000007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Jul!U35</f>
        <v>-4.3600000000000119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25"/>
      <c r="AG2" s="9"/>
      <c r="AH2" s="75"/>
      <c r="AI2" s="75"/>
      <c r="AJ2" s="127"/>
      <c r="AK2" s="7"/>
      <c r="AL2" s="7"/>
    </row>
    <row r="3" spans="1:38" ht="69.75" customHeight="1">
      <c r="A3" s="22" t="s">
        <v>10</v>
      </c>
      <c r="B3" s="147"/>
      <c r="C3" s="93" t="s">
        <v>42</v>
      </c>
      <c r="D3" s="94" t="s">
        <v>43</v>
      </c>
      <c r="E3" s="146" t="s">
        <v>44</v>
      </c>
      <c r="F3" s="146"/>
      <c r="G3" s="146"/>
      <c r="H3" s="146"/>
      <c r="I3" s="146"/>
      <c r="J3" s="146"/>
      <c r="K3" s="147" t="s">
        <v>45</v>
      </c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84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46235</v>
      </c>
      <c r="B4" s="159" t="str">
        <f>IFERROR(VLOOKUP(A4, Feiertage!$B:$C, 2, 0), IF(OR(WEEKDAY(A4,2)=6, WEEKDAY(A4,2)=7), Feiertage!$C$23, ""))</f>
        <v>* * * * * * * * Nationalfeiertag * * * * * * * * * * * * * * * * * * * * * * * * * * * * * * * * * * * * * * * * * * * * * *</v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60"/>
      <c r="R4" s="44">
        <f>IF(OR(WEEKDAY(A4,2)=6,WEEKDAY(A4,2)=7),0,IFERROR(IF(VLOOKUP(A4,Feiertage!$B:$D,3,0)="ja",0,Summen!$B$9),Summen!$B$9))</f>
        <v>0</v>
      </c>
      <c r="S4" s="31">
        <f t="shared" ref="S4:S34" si="0">SUM(C4:Q4)</f>
        <v>0</v>
      </c>
      <c r="T4" s="31">
        <f t="shared" ref="T4:T34" si="1">S4-R4</f>
        <v>0</v>
      </c>
      <c r="U4" s="32">
        <f>U2+T4</f>
        <v>-4.3600000000000119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46236</v>
      </c>
      <c r="B5" s="42" t="str">
        <f>IFERROR(VLOOKUP(A5, Feiertage!$B:$C, 2, 0), IF(OR(WEEKDAY(A5,2)=6, WEEKDAY(A5,2)=7), Feiertage!$C$23, ""))</f>
        <v>* * * * * * * * Wochenende * * * * * * * * * * * * * * * * * * * * * * * * * * * * * * * * * * * * * * * * * * * * * * * *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0</v>
      </c>
      <c r="S5" s="45">
        <f t="shared" si="0"/>
        <v>0</v>
      </c>
      <c r="T5" s="45">
        <f t="shared" si="1"/>
        <v>0</v>
      </c>
      <c r="U5" s="46">
        <f t="shared" ref="U5:U34" si="8">U4+T5</f>
        <v>-4.3600000000000119</v>
      </c>
      <c r="V5" s="42"/>
      <c r="W5" s="47"/>
      <c r="X5" s="48">
        <f>V5+W5*Summen!$B$44</f>
        <v>0</v>
      </c>
      <c r="Y5" s="185"/>
      <c r="Z5" s="186"/>
      <c r="AA5" s="186"/>
      <c r="AB5" s="186"/>
      <c r="AC5" s="186"/>
      <c r="AD5" s="186"/>
      <c r="AE5" s="186"/>
      <c r="AF5" s="186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46237</v>
      </c>
      <c r="B6" s="159" t="str">
        <f>IFERROR(VLOOKUP(A6, Feiertage!$B:$C, 2, 0), IF(OR(WEEKDAY(A6,2)=6, WEEKDAY(A6,2)=7), Feiertage!$C$23, ""))</f>
        <v/>
      </c>
      <c r="C6" s="159">
        <v>10</v>
      </c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8.4</v>
      </c>
      <c r="S6" s="45">
        <f t="shared" si="0"/>
        <v>10</v>
      </c>
      <c r="T6" s="45">
        <f t="shared" si="1"/>
        <v>1.5999999999999996</v>
      </c>
      <c r="U6" s="46">
        <f t="shared" si="8"/>
        <v>-2.7600000000000122</v>
      </c>
      <c r="V6" s="159"/>
      <c r="W6" s="161"/>
      <c r="X6" s="48">
        <f>V6+W6*Summen!$B$44</f>
        <v>0</v>
      </c>
      <c r="Y6" s="128">
        <v>0.31597222222222221</v>
      </c>
      <c r="Z6" s="129">
        <v>0.375</v>
      </c>
      <c r="AA6" s="129">
        <v>0.38194444444444442</v>
      </c>
      <c r="AB6" s="129">
        <v>0.48958333333333331</v>
      </c>
      <c r="AC6" s="129">
        <v>0.5</v>
      </c>
      <c r="AD6" s="129">
        <v>0.75</v>
      </c>
      <c r="AE6" s="129"/>
      <c r="AF6" s="129"/>
      <c r="AG6" s="50">
        <f t="shared" si="2"/>
        <v>0.41666666666666669</v>
      </c>
      <c r="AH6" s="45">
        <f t="shared" si="3"/>
        <v>10</v>
      </c>
      <c r="AI6" s="45">
        <f t="shared" si="4"/>
        <v>0</v>
      </c>
      <c r="AJ6" s="46">
        <f t="shared" si="5"/>
        <v>10</v>
      </c>
      <c r="AL6" s="37">
        <f t="shared" si="6"/>
        <v>0</v>
      </c>
    </row>
    <row r="7" spans="1:38" ht="13.5" customHeight="1">
      <c r="A7" s="39">
        <f t="shared" si="7"/>
        <v>46238</v>
      </c>
      <c r="B7" s="42" t="str">
        <f>IFERROR(VLOOKUP(A7, Feiertage!$B:$C, 2, 0), IF(OR(WEEKDAY(A7,2)=6, WEEKDAY(A7,2)=7), Feiertage!$C$23, ""))</f>
        <v/>
      </c>
      <c r="C7" s="42">
        <v>7.5</v>
      </c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8.4</v>
      </c>
      <c r="S7" s="45">
        <f t="shared" si="0"/>
        <v>7.5</v>
      </c>
      <c r="T7" s="45">
        <f t="shared" si="1"/>
        <v>-0.90000000000000036</v>
      </c>
      <c r="U7" s="46">
        <f t="shared" si="8"/>
        <v>-3.6600000000000126</v>
      </c>
      <c r="V7" s="42"/>
      <c r="W7" s="47"/>
      <c r="X7" s="48">
        <f>V7+W7*Summen!$B$44</f>
        <v>0</v>
      </c>
      <c r="Y7" s="185">
        <v>0.33333333333333331</v>
      </c>
      <c r="Z7" s="186">
        <v>0.47916666666666669</v>
      </c>
      <c r="AA7" s="186">
        <v>0.48958333333333331</v>
      </c>
      <c r="AB7" s="186">
        <v>0.65625</v>
      </c>
      <c r="AC7" s="186"/>
      <c r="AD7" s="186"/>
      <c r="AE7" s="186"/>
      <c r="AF7" s="186"/>
      <c r="AG7" s="50">
        <f t="shared" si="2"/>
        <v>0.31250000000000006</v>
      </c>
      <c r="AH7" s="45">
        <f t="shared" si="3"/>
        <v>7</v>
      </c>
      <c r="AI7" s="45">
        <f t="shared" si="4"/>
        <v>0.5</v>
      </c>
      <c r="AJ7" s="46">
        <f t="shared" si="5"/>
        <v>7.5</v>
      </c>
      <c r="AL7" s="37">
        <f t="shared" si="6"/>
        <v>0</v>
      </c>
    </row>
    <row r="8" spans="1:38" ht="13.5" customHeight="1">
      <c r="A8" s="39">
        <f t="shared" si="7"/>
        <v>46239</v>
      </c>
      <c r="B8" s="159" t="str">
        <f>IFERROR(VLOOKUP(A8, Feiertage!$B:$C, 2, 0), IF(OR(WEEKDAY(A8,2)=6, WEEKDAY(A8,2)=7), Feiertage!$C$23, ""))</f>
        <v/>
      </c>
      <c r="C8" s="159">
        <v>7.5</v>
      </c>
      <c r="D8" s="159"/>
      <c r="E8" s="159"/>
      <c r="F8" s="159"/>
      <c r="G8" s="159"/>
      <c r="H8" s="159"/>
      <c r="I8" s="159"/>
      <c r="J8" s="159"/>
      <c r="K8" s="159"/>
      <c r="L8" s="159"/>
      <c r="M8" s="159">
        <v>0.3</v>
      </c>
      <c r="N8" s="159"/>
      <c r="O8" s="159"/>
      <c r="P8" s="159"/>
      <c r="Q8" s="160"/>
      <c r="R8" s="44">
        <f>IF(OR(WEEKDAY(A8,2)=6,WEEKDAY(A8,2)=7),0,IFERROR(IF(VLOOKUP(A8,Feiertage!$B:$D,3,0)="ja",0,Summen!$B$9),Summen!$B$9))</f>
        <v>8.4</v>
      </c>
      <c r="S8" s="45">
        <f t="shared" si="0"/>
        <v>7.8</v>
      </c>
      <c r="T8" s="45">
        <f t="shared" si="1"/>
        <v>-0.60000000000000053</v>
      </c>
      <c r="U8" s="46">
        <f t="shared" si="8"/>
        <v>-4.2600000000000131</v>
      </c>
      <c r="V8" s="159"/>
      <c r="W8" s="161"/>
      <c r="X8" s="48">
        <f>V8+W8*Summen!$B$44</f>
        <v>0</v>
      </c>
      <c r="Y8" s="128">
        <v>0.33333333333333331</v>
      </c>
      <c r="Z8" s="129">
        <v>0.5</v>
      </c>
      <c r="AA8" s="129">
        <v>0.52083333333333337</v>
      </c>
      <c r="AB8" s="129">
        <v>0.66666666666666663</v>
      </c>
      <c r="AC8" s="129"/>
      <c r="AD8" s="129"/>
      <c r="AE8" s="129"/>
      <c r="AF8" s="129"/>
      <c r="AG8" s="50">
        <f t="shared" si="2"/>
        <v>0.31249999999999994</v>
      </c>
      <c r="AH8" s="45">
        <f t="shared" si="3"/>
        <v>7</v>
      </c>
      <c r="AI8" s="45">
        <f t="shared" si="4"/>
        <v>0.5</v>
      </c>
      <c r="AJ8" s="46">
        <f t="shared" si="5"/>
        <v>7.5</v>
      </c>
      <c r="AL8" s="37">
        <f t="shared" si="6"/>
        <v>0.29999999999999982</v>
      </c>
    </row>
    <row r="9" spans="1:38" ht="13.5" customHeight="1">
      <c r="A9" s="39">
        <f t="shared" si="7"/>
        <v>46240</v>
      </c>
      <c r="B9" s="42" t="str">
        <f>IFERROR(VLOOKUP(A9, Feiertage!$B:$C, 2, 0), IF(OR(WEEKDAY(A9,2)=6, WEEKDAY(A9,2)=7), Feiertage!$C$23, ""))</f>
        <v/>
      </c>
      <c r="C9" s="42">
        <v>8.8000000000000007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8.4</v>
      </c>
      <c r="S9" s="45">
        <f t="shared" si="0"/>
        <v>8.8000000000000007</v>
      </c>
      <c r="T9" s="45">
        <f t="shared" si="1"/>
        <v>0.40000000000000036</v>
      </c>
      <c r="U9" s="46">
        <f t="shared" si="8"/>
        <v>-3.8600000000000128</v>
      </c>
      <c r="V9" s="42"/>
      <c r="W9" s="47"/>
      <c r="X9" s="48">
        <f>V9+W9*Summen!$B$44</f>
        <v>0</v>
      </c>
      <c r="Y9" s="185">
        <v>0.31944444444444442</v>
      </c>
      <c r="Z9" s="186">
        <v>0.375</v>
      </c>
      <c r="AA9" s="186">
        <v>0.38194444444444442</v>
      </c>
      <c r="AB9" s="186">
        <v>0.4826388888888889</v>
      </c>
      <c r="AC9" s="186">
        <v>0.49305555555555558</v>
      </c>
      <c r="AD9" s="186">
        <v>0.70138888888888884</v>
      </c>
      <c r="AE9" s="186"/>
      <c r="AF9" s="186"/>
      <c r="AG9" s="50">
        <f t="shared" si="2"/>
        <v>0.36458333333333331</v>
      </c>
      <c r="AH9" s="45">
        <f t="shared" si="3"/>
        <v>8</v>
      </c>
      <c r="AI9" s="45">
        <f t="shared" si="4"/>
        <v>0.75</v>
      </c>
      <c r="AJ9" s="46">
        <f t="shared" si="5"/>
        <v>8.75</v>
      </c>
      <c r="AL9" s="37">
        <f t="shared" si="6"/>
        <v>5.0000000000000711E-2</v>
      </c>
    </row>
    <row r="10" spans="1:38" ht="13.5" customHeight="1">
      <c r="A10" s="39">
        <f t="shared" si="7"/>
        <v>46241</v>
      </c>
      <c r="B10" s="159" t="str">
        <f>IFERROR(VLOOKUP(A10, Feiertage!$B:$C, 2, 0), IF(OR(WEEKDAY(A10,2)=6, WEEKDAY(A10,2)=7), Feiertage!$C$23, ""))</f>
        <v/>
      </c>
      <c r="C10" s="159">
        <v>6.6</v>
      </c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8.4</v>
      </c>
      <c r="S10" s="45">
        <f t="shared" si="0"/>
        <v>6.6</v>
      </c>
      <c r="T10" s="45">
        <f t="shared" si="1"/>
        <v>-1.8000000000000007</v>
      </c>
      <c r="U10" s="46">
        <f t="shared" si="8"/>
        <v>-5.6600000000000135</v>
      </c>
      <c r="V10" s="159"/>
      <c r="W10" s="161"/>
      <c r="X10" s="48">
        <f>V10+W10*Summen!$B$44</f>
        <v>0</v>
      </c>
      <c r="Y10" s="128">
        <v>0.3125</v>
      </c>
      <c r="Z10" s="129">
        <v>0.47916666666666669</v>
      </c>
      <c r="AA10" s="129">
        <v>0.4861111111111111</v>
      </c>
      <c r="AB10" s="129">
        <v>0.59375</v>
      </c>
      <c r="AC10" s="129"/>
      <c r="AD10" s="129"/>
      <c r="AE10" s="129"/>
      <c r="AF10" s="129"/>
      <c r="AG10" s="50">
        <f t="shared" si="2"/>
        <v>0.27430555555555558</v>
      </c>
      <c r="AH10" s="45">
        <f t="shared" si="3"/>
        <v>6</v>
      </c>
      <c r="AI10" s="45">
        <f t="shared" si="4"/>
        <v>0.58333333333333337</v>
      </c>
      <c r="AJ10" s="46">
        <f t="shared" si="5"/>
        <v>6.583333333333333</v>
      </c>
      <c r="AL10" s="37">
        <f t="shared" si="6"/>
        <v>1.6666666666666607E-2</v>
      </c>
    </row>
    <row r="11" spans="1:38" ht="13.5" customHeight="1">
      <c r="A11" s="39">
        <f t="shared" si="7"/>
        <v>46242</v>
      </c>
      <c r="B11" s="42" t="str">
        <f>IFERROR(VLOOKUP(A11, Feiertage!$B:$C, 2, 0), IF(OR(WEEKDAY(A11,2)=6, WEEKDAY(A11,2)=7), Feiertage!$C$23, ""))</f>
        <v>* * * * * * * * Wochenende * * * * * * * * * * * * * * * * * * * * * * * * * * * * * * * * * * * * * * * * * * * * * * * *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0</v>
      </c>
      <c r="S11" s="45">
        <f t="shared" si="0"/>
        <v>0</v>
      </c>
      <c r="T11" s="45">
        <f t="shared" si="1"/>
        <v>0</v>
      </c>
      <c r="U11" s="46">
        <f t="shared" si="8"/>
        <v>-5.6600000000000135</v>
      </c>
      <c r="V11" s="42"/>
      <c r="W11" s="47"/>
      <c r="X11" s="48">
        <f>V11+W11*Summen!$B$44</f>
        <v>0</v>
      </c>
      <c r="Y11" s="185"/>
      <c r="Z11" s="186"/>
      <c r="AA11" s="186"/>
      <c r="AB11" s="186"/>
      <c r="AC11" s="186"/>
      <c r="AD11" s="186"/>
      <c r="AE11" s="186"/>
      <c r="AF11" s="186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46243</v>
      </c>
      <c r="B12" s="159" t="str">
        <f>IFERROR(VLOOKUP(A12, Feiertage!$B:$C, 2, 0), IF(OR(WEEKDAY(A12,2)=6, WEEKDAY(A12,2)=7), Feiertage!$C$23, ""))</f>
        <v>* * * * * * * * Wochenende * * * * * * * * * * * * * * * * * * * * * * * * * * * * * * * * * * * * * * * * * * * * * * * *</v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0</v>
      </c>
      <c r="S12" s="45">
        <f t="shared" si="0"/>
        <v>0</v>
      </c>
      <c r="T12" s="45">
        <f t="shared" si="1"/>
        <v>0</v>
      </c>
      <c r="U12" s="46">
        <f t="shared" si="8"/>
        <v>-5.6600000000000135</v>
      </c>
      <c r="V12" s="159"/>
      <c r="W12" s="161"/>
      <c r="X12" s="48">
        <f>V12+W12*Summen!$B$44</f>
        <v>0</v>
      </c>
      <c r="Y12" s="128"/>
      <c r="Z12" s="129"/>
      <c r="AA12" s="129"/>
      <c r="AB12" s="129"/>
      <c r="AC12" s="129"/>
      <c r="AD12" s="129"/>
      <c r="AE12" s="129"/>
      <c r="AF12" s="129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46244</v>
      </c>
      <c r="B13" s="42" t="str">
        <f>IFERROR(VLOOKUP(A13, Feiertage!$B:$C, 2, 0), IF(OR(WEEKDAY(A13,2)=6, WEEKDAY(A13,2)=7), Feiertage!$C$23, ""))</f>
        <v/>
      </c>
      <c r="C13" s="42">
        <v>4.3</v>
      </c>
      <c r="D13" s="42"/>
      <c r="E13" s="42"/>
      <c r="F13" s="42"/>
      <c r="G13" s="42"/>
      <c r="H13" s="42"/>
      <c r="I13" s="42"/>
      <c r="J13" s="42"/>
      <c r="K13" s="42">
        <v>4.2</v>
      </c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8.4</v>
      </c>
      <c r="S13" s="45">
        <f t="shared" si="0"/>
        <v>8.5</v>
      </c>
      <c r="T13" s="45">
        <f t="shared" si="1"/>
        <v>9.9999999999999645E-2</v>
      </c>
      <c r="U13" s="46">
        <f t="shared" si="8"/>
        <v>-5.5600000000000138</v>
      </c>
      <c r="V13" s="42"/>
      <c r="W13" s="47"/>
      <c r="X13" s="48">
        <f>V13+W13*Summen!$B$44</f>
        <v>0</v>
      </c>
      <c r="Y13" s="185">
        <v>0.30902777777777779</v>
      </c>
      <c r="Z13" s="186">
        <v>0.375</v>
      </c>
      <c r="AA13" s="186">
        <v>0.38541666666666669</v>
      </c>
      <c r="AB13" s="186">
        <v>0.5</v>
      </c>
      <c r="AC13" s="186"/>
      <c r="AD13" s="186"/>
      <c r="AE13" s="186"/>
      <c r="AF13" s="186"/>
      <c r="AG13" s="50">
        <f t="shared" si="2"/>
        <v>0.18055555555555552</v>
      </c>
      <c r="AH13" s="45">
        <f t="shared" si="3"/>
        <v>4</v>
      </c>
      <c r="AI13" s="45">
        <f t="shared" si="4"/>
        <v>0.33333333333333331</v>
      </c>
      <c r="AJ13" s="46">
        <f t="shared" si="5"/>
        <v>4.333333333333333</v>
      </c>
      <c r="AL13" s="37">
        <f t="shared" si="6"/>
        <v>4.166666666666667</v>
      </c>
    </row>
    <row r="14" spans="1:38" ht="13.5" customHeight="1">
      <c r="A14" s="39">
        <f t="shared" si="7"/>
        <v>46245</v>
      </c>
      <c r="B14" s="159" t="str">
        <f>IFERROR(VLOOKUP(A14, Feiertage!$B:$C, 2, 0), IF(OR(WEEKDAY(A14,2)=6, WEEKDAY(A14,2)=7), Feiertage!$C$23, ""))</f>
        <v/>
      </c>
      <c r="C14" s="159">
        <v>5.4</v>
      </c>
      <c r="D14" s="159"/>
      <c r="E14" s="159"/>
      <c r="F14" s="159"/>
      <c r="G14" s="159"/>
      <c r="H14" s="159"/>
      <c r="I14" s="159"/>
      <c r="J14" s="159"/>
      <c r="K14" s="159">
        <v>4.2</v>
      </c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8.4</v>
      </c>
      <c r="S14" s="45">
        <f t="shared" si="0"/>
        <v>9.6000000000000014</v>
      </c>
      <c r="T14" s="45">
        <f t="shared" si="1"/>
        <v>1.2000000000000011</v>
      </c>
      <c r="U14" s="46">
        <f t="shared" si="8"/>
        <v>-4.3600000000000128</v>
      </c>
      <c r="V14" s="159"/>
      <c r="W14" s="161"/>
      <c r="X14" s="48">
        <f>V14+W14*Summen!$B$44</f>
        <v>0</v>
      </c>
      <c r="Y14" s="128">
        <v>0.31944444444444442</v>
      </c>
      <c r="Z14" s="129">
        <v>0.53125</v>
      </c>
      <c r="AA14" s="129">
        <v>0.5625</v>
      </c>
      <c r="AB14" s="129">
        <v>0.57638888888888884</v>
      </c>
      <c r="AC14" s="129"/>
      <c r="AD14" s="129"/>
      <c r="AE14" s="129"/>
      <c r="AF14" s="129"/>
      <c r="AG14" s="50">
        <f t="shared" si="2"/>
        <v>0.22569444444444442</v>
      </c>
      <c r="AH14" s="45">
        <f t="shared" si="3"/>
        <v>5</v>
      </c>
      <c r="AI14" s="45">
        <f t="shared" si="4"/>
        <v>0.41666666666666669</v>
      </c>
      <c r="AJ14" s="46">
        <f t="shared" si="5"/>
        <v>5.416666666666667</v>
      </c>
      <c r="AL14" s="37">
        <f t="shared" si="6"/>
        <v>4.1833333333333345</v>
      </c>
    </row>
    <row r="15" spans="1:38" ht="13.5" customHeight="1">
      <c r="A15" s="39">
        <f t="shared" si="7"/>
        <v>46246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>
        <v>8.4</v>
      </c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8.4</v>
      </c>
      <c r="S15" s="45">
        <f t="shared" si="0"/>
        <v>8.4</v>
      </c>
      <c r="T15" s="45">
        <f t="shared" si="1"/>
        <v>0</v>
      </c>
      <c r="U15" s="46">
        <f t="shared" si="8"/>
        <v>-4.3600000000000128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8.4</v>
      </c>
    </row>
    <row r="16" spans="1:38" ht="13.5" customHeight="1">
      <c r="A16" s="39">
        <f t="shared" si="7"/>
        <v>46247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>
        <v>8.4</v>
      </c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8.4</v>
      </c>
      <c r="S16" s="45">
        <f t="shared" si="0"/>
        <v>8.4</v>
      </c>
      <c r="T16" s="45">
        <f t="shared" si="1"/>
        <v>0</v>
      </c>
      <c r="U16" s="46">
        <f t="shared" si="8"/>
        <v>-4.3600000000000128</v>
      </c>
      <c r="V16" s="159"/>
      <c r="W16" s="161"/>
      <c r="X16" s="48">
        <f>V16+W16*Summen!$B$44</f>
        <v>0</v>
      </c>
      <c r="Y16" s="128"/>
      <c r="Z16" s="129"/>
      <c r="AA16" s="129"/>
      <c r="AB16" s="129"/>
      <c r="AC16" s="129"/>
      <c r="AD16" s="129"/>
      <c r="AE16" s="129"/>
      <c r="AF16" s="129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8.4</v>
      </c>
    </row>
    <row r="17" spans="1:38" ht="13.5" customHeight="1">
      <c r="A17" s="39">
        <f t="shared" si="7"/>
        <v>46248</v>
      </c>
      <c r="B17" s="42" t="str">
        <f>IFERROR(VLOOKUP(A17, Feiertage!$B:$C, 2, 0), IF(OR(WEEKDAY(A17,2)=6, WEEKDAY(A17,2)=7), Feiertage!$C$23, ""))</f>
        <v/>
      </c>
      <c r="C17" s="42"/>
      <c r="D17" s="42"/>
      <c r="E17" s="42"/>
      <c r="F17" s="42"/>
      <c r="G17" s="42"/>
      <c r="H17" s="42"/>
      <c r="I17" s="42"/>
      <c r="J17" s="42"/>
      <c r="K17" s="42">
        <v>8.4</v>
      </c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8.4</v>
      </c>
      <c r="S17" s="45">
        <f t="shared" si="0"/>
        <v>8.4</v>
      </c>
      <c r="T17" s="45">
        <f t="shared" si="1"/>
        <v>0</v>
      </c>
      <c r="U17" s="46">
        <f t="shared" si="8"/>
        <v>-4.3600000000000128</v>
      </c>
      <c r="V17" s="42"/>
      <c r="W17" s="47"/>
      <c r="X17" s="48">
        <f>V17+W17*Summen!$B$44</f>
        <v>0</v>
      </c>
      <c r="Y17" s="185"/>
      <c r="Z17" s="186"/>
      <c r="AA17" s="186"/>
      <c r="AB17" s="186"/>
      <c r="AC17" s="186"/>
      <c r="AD17" s="186"/>
      <c r="AE17" s="186"/>
      <c r="AF17" s="186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8.4</v>
      </c>
    </row>
    <row r="18" spans="1:38" ht="13.5" customHeight="1">
      <c r="A18" s="39">
        <f t="shared" si="7"/>
        <v>46249</v>
      </c>
      <c r="B18" s="159" t="str">
        <f>IFERROR(VLOOKUP(A18, Feiertage!$B:$C, 2, 0), IF(OR(WEEKDAY(A18,2)=6, WEEKDAY(A18,2)=7), Feiertage!$C$23, ""))</f>
        <v>* * * * * * * * Maria Himmelfahrt * * * * * * * * * * * * * * * * * * * * * * * * * * * * * * * * * * * * * * * * * * * *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0</v>
      </c>
      <c r="S18" s="45">
        <f t="shared" si="0"/>
        <v>0</v>
      </c>
      <c r="T18" s="45">
        <f t="shared" si="1"/>
        <v>0</v>
      </c>
      <c r="U18" s="46">
        <f t="shared" si="8"/>
        <v>-4.3600000000000128</v>
      </c>
      <c r="V18" s="159"/>
      <c r="W18" s="161"/>
      <c r="X18" s="48">
        <f>V18+W18*Summen!$B$44</f>
        <v>0</v>
      </c>
      <c r="Y18" s="128"/>
      <c r="Z18" s="129"/>
      <c r="AA18" s="129"/>
      <c r="AB18" s="129"/>
      <c r="AC18" s="129"/>
      <c r="AD18" s="129"/>
      <c r="AE18" s="129"/>
      <c r="AF18" s="129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46250</v>
      </c>
      <c r="B19" s="42" t="str">
        <f>IFERROR(VLOOKUP(A19, Feiertage!$B:$C, 2, 0), IF(OR(WEEKDAY(A19,2)=6, WEEKDAY(A19,2)=7), Feiertage!$C$23, ""))</f>
        <v>* * * * * * * * Wochenende * * * * * * * * * * * * * * * * * * * * * * * * * * * * * * * * * * * * * * * * * * * * * * * *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0</v>
      </c>
      <c r="S19" s="45">
        <f t="shared" si="0"/>
        <v>0</v>
      </c>
      <c r="T19" s="45">
        <f t="shared" si="1"/>
        <v>0</v>
      </c>
      <c r="U19" s="46">
        <f t="shared" si="8"/>
        <v>-4.3600000000000128</v>
      </c>
      <c r="V19" s="42"/>
      <c r="W19" s="47"/>
      <c r="X19" s="48">
        <f>V19+W19*Summen!$B$44</f>
        <v>0</v>
      </c>
      <c r="Y19" s="185"/>
      <c r="Z19" s="186"/>
      <c r="AA19" s="186"/>
      <c r="AB19" s="186"/>
      <c r="AC19" s="186"/>
      <c r="AD19" s="186"/>
      <c r="AE19" s="186"/>
      <c r="AF19" s="186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46251</v>
      </c>
      <c r="B20" s="159" t="str">
        <f>IFERROR(VLOOKUP(A20, Feiertage!$B:$C, 2, 0), IF(OR(WEEKDAY(A20,2)=6, WEEKDAY(A20,2)=7), Feiertage!$C$23, ""))</f>
        <v/>
      </c>
      <c r="C20" s="159"/>
      <c r="D20" s="159">
        <v>8.0500000000000007</v>
      </c>
      <c r="E20" s="159"/>
      <c r="F20" s="159"/>
      <c r="G20" s="159"/>
      <c r="H20" s="159"/>
      <c r="I20" s="159"/>
      <c r="J20" s="159"/>
      <c r="K20" s="159"/>
      <c r="L20" s="159"/>
      <c r="M20" s="159">
        <v>1.1000000000000001</v>
      </c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9.15</v>
      </c>
      <c r="T20" s="45">
        <f t="shared" si="1"/>
        <v>0.75</v>
      </c>
      <c r="U20" s="46">
        <f t="shared" si="8"/>
        <v>-3.6100000000000128</v>
      </c>
      <c r="V20" s="159"/>
      <c r="W20" s="161"/>
      <c r="X20" s="48">
        <f>V20+W20*Summen!$B$44</f>
        <v>0</v>
      </c>
      <c r="Y20" s="128">
        <v>0.32291666666666669</v>
      </c>
      <c r="Z20" s="129">
        <v>0.4826388888888889</v>
      </c>
      <c r="AA20" s="129">
        <v>0.49652777777777779</v>
      </c>
      <c r="AB20" s="129">
        <v>0.54513888888888884</v>
      </c>
      <c r="AC20" s="129">
        <v>0.55000000000000004</v>
      </c>
      <c r="AD20" s="129">
        <v>0.67708333333333337</v>
      </c>
      <c r="AE20" s="129"/>
      <c r="AF20" s="129"/>
      <c r="AG20" s="50">
        <f t="shared" si="2"/>
        <v>0.33541666666666659</v>
      </c>
      <c r="AH20" s="45">
        <f t="shared" si="3"/>
        <v>8</v>
      </c>
      <c r="AI20" s="45">
        <f t="shared" si="4"/>
        <v>0.05</v>
      </c>
      <c r="AJ20" s="46">
        <f t="shared" si="5"/>
        <v>8.0500000000000007</v>
      </c>
      <c r="AL20" s="37">
        <f t="shared" si="6"/>
        <v>1.0999999999999996</v>
      </c>
    </row>
    <row r="21" spans="1:38" ht="13.5" customHeight="1">
      <c r="A21" s="39">
        <f t="shared" si="7"/>
        <v>46252</v>
      </c>
      <c r="B21" s="42" t="str">
        <f>IFERROR(VLOOKUP(A21, Feiertage!$B:$C, 2, 0), IF(OR(WEEKDAY(A21,2)=6, WEEKDAY(A21,2)=7), Feiertage!$C$23, ""))</f>
        <v/>
      </c>
      <c r="C21" s="42"/>
      <c r="D21" s="42">
        <v>8</v>
      </c>
      <c r="E21" s="42">
        <v>1.75</v>
      </c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8.4</v>
      </c>
      <c r="S21" s="45">
        <f t="shared" si="0"/>
        <v>9.75</v>
      </c>
      <c r="T21" s="45">
        <f t="shared" si="1"/>
        <v>1.3499999999999996</v>
      </c>
      <c r="U21" s="46">
        <f t="shared" si="8"/>
        <v>-2.2600000000000131</v>
      </c>
      <c r="V21" s="42"/>
      <c r="W21" s="47"/>
      <c r="X21" s="48">
        <f>V21+W21*Summen!$B$44</f>
        <v>0</v>
      </c>
      <c r="Y21" s="185">
        <v>0.27083333333333331</v>
      </c>
      <c r="Z21" s="186">
        <v>0.5</v>
      </c>
      <c r="AA21" s="186">
        <v>0.52083333333333337</v>
      </c>
      <c r="AB21" s="186">
        <v>0.66666666666666663</v>
      </c>
      <c r="AC21" s="186">
        <v>0.8125</v>
      </c>
      <c r="AD21" s="186">
        <v>0.84375</v>
      </c>
      <c r="AE21" s="186"/>
      <c r="AF21" s="186"/>
      <c r="AG21" s="50">
        <f t="shared" si="2"/>
        <v>0.40624999999999994</v>
      </c>
      <c r="AH21" s="45">
        <f t="shared" si="3"/>
        <v>9</v>
      </c>
      <c r="AI21" s="45">
        <f t="shared" si="4"/>
        <v>0.75</v>
      </c>
      <c r="AJ21" s="46">
        <f t="shared" si="5"/>
        <v>9.75</v>
      </c>
      <c r="AL21" s="37">
        <f t="shared" si="6"/>
        <v>0</v>
      </c>
    </row>
    <row r="22" spans="1:38" ht="13.5" customHeight="1">
      <c r="A22" s="39">
        <f t="shared" si="7"/>
        <v>46253</v>
      </c>
      <c r="B22" s="159" t="str">
        <f>IFERROR(VLOOKUP(A22, Feiertage!$B:$C, 2, 0), IF(OR(WEEKDAY(A22,2)=6, WEEKDAY(A22,2)=7), Feiertage!$C$23, ""))</f>
        <v/>
      </c>
      <c r="C22" s="159"/>
      <c r="D22" s="159">
        <v>8</v>
      </c>
      <c r="E22" s="159">
        <v>0.6</v>
      </c>
      <c r="F22" s="159"/>
      <c r="G22" s="159"/>
      <c r="H22" s="159"/>
      <c r="I22" s="159"/>
      <c r="J22" s="159"/>
      <c r="K22" s="159"/>
      <c r="L22" s="159"/>
      <c r="M22" s="159" t="s">
        <v>46</v>
      </c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8.4</v>
      </c>
      <c r="S22" s="45">
        <f t="shared" si="0"/>
        <v>8.6</v>
      </c>
      <c r="T22" s="45">
        <f t="shared" si="1"/>
        <v>0.19999999999999929</v>
      </c>
      <c r="U22" s="46">
        <f t="shared" si="8"/>
        <v>-2.0600000000000138</v>
      </c>
      <c r="V22" s="159"/>
      <c r="W22" s="161"/>
      <c r="X22" s="48">
        <f>V22+W22*Summen!$B$44</f>
        <v>0</v>
      </c>
      <c r="Y22" s="128">
        <v>0.32291666666666669</v>
      </c>
      <c r="Z22" s="129">
        <v>0.47569444444444442</v>
      </c>
      <c r="AA22" s="129">
        <v>0.49652777777777779</v>
      </c>
      <c r="AB22" s="129">
        <v>0.52777777777777779</v>
      </c>
      <c r="AC22" s="129">
        <v>0.55555555555555558</v>
      </c>
      <c r="AD22" s="129">
        <v>0.72916666666666663</v>
      </c>
      <c r="AE22" s="129"/>
      <c r="AF22" s="129"/>
      <c r="AG22" s="50">
        <f t="shared" si="2"/>
        <v>0.35763888888888878</v>
      </c>
      <c r="AH22" s="45">
        <f t="shared" si="3"/>
        <v>8</v>
      </c>
      <c r="AI22" s="45">
        <f t="shared" si="4"/>
        <v>0.58333333333333337</v>
      </c>
      <c r="AJ22" s="46">
        <f t="shared" si="5"/>
        <v>8.5833333333333339</v>
      </c>
      <c r="AL22" s="37">
        <f t="shared" si="6"/>
        <v>1.6666666666665719E-2</v>
      </c>
    </row>
    <row r="23" spans="1:38" ht="13.5" customHeight="1">
      <c r="A23" s="39">
        <f t="shared" si="7"/>
        <v>46254</v>
      </c>
      <c r="B23" s="42" t="str">
        <f>IFERROR(VLOOKUP(A23, Feiertage!$B:$C, 2, 0), IF(OR(WEEKDAY(A23,2)=6, WEEKDAY(A23,2)=7), Feiertage!$C$23, ""))</f>
        <v/>
      </c>
      <c r="C23" s="42"/>
      <c r="D23" s="42">
        <v>10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8.4</v>
      </c>
      <c r="S23" s="45">
        <f t="shared" si="0"/>
        <v>10</v>
      </c>
      <c r="T23" s="45">
        <f t="shared" si="1"/>
        <v>1.5999999999999996</v>
      </c>
      <c r="U23" s="46">
        <f t="shared" si="8"/>
        <v>-0.46000000000001418</v>
      </c>
      <c r="V23" s="42"/>
      <c r="W23" s="47"/>
      <c r="X23" s="48">
        <f>V23+W23*Summen!$B$44</f>
        <v>0</v>
      </c>
      <c r="Y23" s="185">
        <v>0.29166666666666669</v>
      </c>
      <c r="Z23" s="186">
        <v>0.5</v>
      </c>
      <c r="AA23" s="186">
        <v>0.52083333333333337</v>
      </c>
      <c r="AB23" s="186">
        <v>0.66666666666666663</v>
      </c>
      <c r="AC23" s="186">
        <v>0.79166666666666663</v>
      </c>
      <c r="AD23" s="186">
        <v>0.85416666666666663</v>
      </c>
      <c r="AE23" s="186"/>
      <c r="AF23" s="186"/>
      <c r="AG23" s="50">
        <f t="shared" si="2"/>
        <v>0.41666666666666657</v>
      </c>
      <c r="AH23" s="45">
        <f t="shared" si="3"/>
        <v>10</v>
      </c>
      <c r="AI23" s="45">
        <f t="shared" si="4"/>
        <v>0</v>
      </c>
      <c r="AJ23" s="46">
        <f t="shared" si="5"/>
        <v>10</v>
      </c>
      <c r="AL23" s="37">
        <f t="shared" si="6"/>
        <v>0</v>
      </c>
    </row>
    <row r="24" spans="1:38" ht="13.5" customHeight="1">
      <c r="A24" s="39">
        <f t="shared" si="7"/>
        <v>46255</v>
      </c>
      <c r="B24" s="159" t="str">
        <f>IFERROR(VLOOKUP(A24, Feiertage!$B:$C, 2, 0), IF(OR(WEEKDAY(A24,2)=6, WEEKDAY(A24,2)=7), Feiertage!$C$23, ""))</f>
        <v/>
      </c>
      <c r="C24" s="159"/>
      <c r="D24" s="159">
        <v>9.5</v>
      </c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8.4</v>
      </c>
      <c r="S24" s="45">
        <f t="shared" si="0"/>
        <v>9.5</v>
      </c>
      <c r="T24" s="45">
        <f t="shared" si="1"/>
        <v>1.0999999999999996</v>
      </c>
      <c r="U24" s="46">
        <f t="shared" si="8"/>
        <v>0.63999999999998547</v>
      </c>
      <c r="V24" s="159"/>
      <c r="W24" s="161"/>
      <c r="X24" s="48">
        <f>V24+W24*Summen!$B$44</f>
        <v>0</v>
      </c>
      <c r="Y24" s="128">
        <v>0.29166666666666669</v>
      </c>
      <c r="Z24" s="129">
        <v>0.5</v>
      </c>
      <c r="AA24" s="129">
        <v>0.52083333333333337</v>
      </c>
      <c r="AB24" s="129">
        <v>0.70833333333333337</v>
      </c>
      <c r="AC24" s="129"/>
      <c r="AD24" s="129"/>
      <c r="AE24" s="129"/>
      <c r="AF24" s="129"/>
      <c r="AG24" s="50">
        <f t="shared" si="2"/>
        <v>0.39583333333333331</v>
      </c>
      <c r="AH24" s="45">
        <f t="shared" si="3"/>
        <v>9</v>
      </c>
      <c r="AI24" s="45">
        <f t="shared" si="4"/>
        <v>0.5</v>
      </c>
      <c r="AJ24" s="46">
        <f t="shared" si="5"/>
        <v>9.5</v>
      </c>
      <c r="AL24" s="37">
        <f t="shared" si="6"/>
        <v>0</v>
      </c>
    </row>
    <row r="25" spans="1:38" ht="13.5" customHeight="1">
      <c r="A25" s="39">
        <f t="shared" si="7"/>
        <v>46256</v>
      </c>
      <c r="B25" s="42" t="str">
        <f>IFERROR(VLOOKUP(A25, Feiertage!$B:$C, 2, 0), IF(OR(WEEKDAY(A25,2)=6, WEEKDAY(A25,2)=7), Feiertage!$C$23, ""))</f>
        <v>* * * * * * * * Wochenende * * * * * * * * * * * * * * * * * * * * * * * * * * * * * * * * * * * * * * * * * * * * * * * *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0</v>
      </c>
      <c r="S25" s="45">
        <f t="shared" si="0"/>
        <v>0</v>
      </c>
      <c r="T25" s="45">
        <f t="shared" si="1"/>
        <v>0</v>
      </c>
      <c r="U25" s="46">
        <f t="shared" si="8"/>
        <v>0.63999999999998547</v>
      </c>
      <c r="V25" s="42"/>
      <c r="W25" s="47"/>
      <c r="X25" s="48">
        <f>V25+W25*Summen!$B$44</f>
        <v>0</v>
      </c>
      <c r="Y25" s="185"/>
      <c r="Z25" s="186"/>
      <c r="AA25" s="186"/>
      <c r="AB25" s="186"/>
      <c r="AC25" s="186"/>
      <c r="AD25" s="186"/>
      <c r="AE25" s="186"/>
      <c r="AF25" s="186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46257</v>
      </c>
      <c r="B26" s="159" t="str">
        <f>IFERROR(VLOOKUP(A26, Feiertage!$B:$C, 2, 0), IF(OR(WEEKDAY(A26,2)=6, WEEKDAY(A26,2)=7), Feiertage!$C$23, ""))</f>
        <v>* * * * * * * * Wochenende * * * * * * * * * * * * * * * * * * * * * * * * * * * * * * * * * * * * * * * * * * * * * * * *</v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0</v>
      </c>
      <c r="S26" s="45">
        <f t="shared" si="0"/>
        <v>0</v>
      </c>
      <c r="T26" s="45">
        <f t="shared" si="1"/>
        <v>0</v>
      </c>
      <c r="U26" s="46">
        <f t="shared" si="8"/>
        <v>0.63999999999998547</v>
      </c>
      <c r="V26" s="159"/>
      <c r="W26" s="161"/>
      <c r="X26" s="48">
        <f>V26+W26*Summen!$B$44</f>
        <v>0</v>
      </c>
      <c r="Y26" s="128"/>
      <c r="Z26" s="129"/>
      <c r="AA26" s="129"/>
      <c r="AB26" s="129"/>
      <c r="AC26" s="129"/>
      <c r="AD26" s="129"/>
      <c r="AE26" s="129"/>
      <c r="AF26" s="129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46258</v>
      </c>
      <c r="B27" s="42" t="str">
        <f>IFERROR(VLOOKUP(A27, Feiertage!$B:$C, 2, 0), IF(OR(WEEKDAY(A27,2)=6, WEEKDAY(A27,2)=7), Feiertage!$C$23, ""))</f>
        <v/>
      </c>
      <c r="C27" s="42"/>
      <c r="D27" s="42" t="s">
        <v>47</v>
      </c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0</v>
      </c>
      <c r="T27" s="45">
        <f t="shared" si="1"/>
        <v>-8.4</v>
      </c>
      <c r="U27" s="46">
        <f t="shared" si="8"/>
        <v>-7.7600000000000149</v>
      </c>
      <c r="V27" s="42"/>
      <c r="W27" s="47"/>
      <c r="X27" s="48">
        <f>V27+W27*Summen!$B$44</f>
        <v>0</v>
      </c>
      <c r="Y27" s="185">
        <v>0.27083333333333331</v>
      </c>
      <c r="Z27" s="186">
        <v>0.5</v>
      </c>
      <c r="AA27" s="186">
        <v>0.52083333333333337</v>
      </c>
      <c r="AB27" s="186">
        <v>0.61458333333333337</v>
      </c>
      <c r="AC27" s="186">
        <v>0.79166666666666663</v>
      </c>
      <c r="AD27" s="186">
        <v>0.83333333333333337</v>
      </c>
      <c r="AE27" s="186"/>
      <c r="AF27" s="186"/>
      <c r="AG27" s="50">
        <f t="shared" si="2"/>
        <v>0.36458333333333343</v>
      </c>
      <c r="AH27" s="45">
        <f t="shared" si="3"/>
        <v>8</v>
      </c>
      <c r="AI27" s="45">
        <f t="shared" si="4"/>
        <v>0.75</v>
      </c>
      <c r="AJ27" s="46">
        <f t="shared" si="5"/>
        <v>8.75</v>
      </c>
      <c r="AL27" s="37">
        <f t="shared" si="6"/>
        <v>-8.75</v>
      </c>
    </row>
    <row r="28" spans="1:38" ht="13.5" customHeight="1">
      <c r="A28" s="39">
        <f t="shared" si="7"/>
        <v>46259</v>
      </c>
      <c r="B28" s="159" t="str">
        <f>IFERROR(VLOOKUP(A28, Feiertage!$B:$C, 2, 0), IF(OR(WEEKDAY(A28,2)=6, WEEKDAY(A28,2)=7), Feiertage!$C$23, ""))</f>
        <v/>
      </c>
      <c r="C28" s="159"/>
      <c r="D28" s="159" t="s">
        <v>48</v>
      </c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8.4</v>
      </c>
      <c r="S28" s="45">
        <f t="shared" si="0"/>
        <v>0</v>
      </c>
      <c r="T28" s="45">
        <f t="shared" si="1"/>
        <v>-8.4</v>
      </c>
      <c r="U28" s="46">
        <f t="shared" si="8"/>
        <v>-16.160000000000014</v>
      </c>
      <c r="V28" s="159"/>
      <c r="W28" s="161"/>
      <c r="X28" s="48">
        <f>V28+W28*Summen!$B$44</f>
        <v>0</v>
      </c>
      <c r="Y28" s="128">
        <v>0.27083333333333331</v>
      </c>
      <c r="Z28" s="129">
        <v>0.5</v>
      </c>
      <c r="AA28" s="129">
        <v>0.52083333333333337</v>
      </c>
      <c r="AB28" s="129">
        <v>0.64583333333333337</v>
      </c>
      <c r="AC28" s="129">
        <v>0.79166666666666663</v>
      </c>
      <c r="AD28" s="129">
        <v>0.875</v>
      </c>
      <c r="AE28" s="129"/>
      <c r="AF28" s="129"/>
      <c r="AG28" s="50">
        <f t="shared" si="2"/>
        <v>0.43750000000000006</v>
      </c>
      <c r="AH28" s="45">
        <f t="shared" si="3"/>
        <v>10</v>
      </c>
      <c r="AI28" s="45">
        <f t="shared" si="4"/>
        <v>0.5</v>
      </c>
      <c r="AJ28" s="46">
        <f t="shared" si="5"/>
        <v>10.5</v>
      </c>
      <c r="AL28" s="37">
        <f t="shared" si="6"/>
        <v>-10.5</v>
      </c>
    </row>
    <row r="29" spans="1:38" ht="13.5" customHeight="1">
      <c r="A29" s="39">
        <f t="shared" si="7"/>
        <v>46260</v>
      </c>
      <c r="B29" s="42" t="str">
        <f>IFERROR(VLOOKUP(A29, Feiertage!$B:$C, 2, 0), IF(OR(WEEKDAY(A29,2)=6, WEEKDAY(A29,2)=7), Feiertage!$C$23, ""))</f>
        <v/>
      </c>
      <c r="C29" s="42"/>
      <c r="D29" s="42" t="s">
        <v>49</v>
      </c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8.4</v>
      </c>
      <c r="S29" s="45">
        <f t="shared" si="0"/>
        <v>0</v>
      </c>
      <c r="T29" s="45">
        <f t="shared" si="1"/>
        <v>-8.4</v>
      </c>
      <c r="U29" s="46">
        <f t="shared" si="8"/>
        <v>-24.560000000000016</v>
      </c>
      <c r="V29" s="42"/>
      <c r="W29" s="47"/>
      <c r="X29" s="48">
        <f>V29+W29*Summen!$B$44</f>
        <v>0</v>
      </c>
      <c r="Y29" s="185">
        <v>0.27083333333333331</v>
      </c>
      <c r="Z29" s="186">
        <v>0.45833333333333331</v>
      </c>
      <c r="AA29" s="186">
        <v>0.54166666666666663</v>
      </c>
      <c r="AB29" s="186">
        <v>0.625</v>
      </c>
      <c r="AC29" s="186">
        <v>0.79166666666666663</v>
      </c>
      <c r="AD29" s="186">
        <v>0.875</v>
      </c>
      <c r="AE29" s="186"/>
      <c r="AF29" s="186"/>
      <c r="AG29" s="50">
        <f t="shared" si="2"/>
        <v>0.35416666666666674</v>
      </c>
      <c r="AH29" s="45">
        <f t="shared" si="3"/>
        <v>8</v>
      </c>
      <c r="AI29" s="45">
        <f t="shared" si="4"/>
        <v>0.5</v>
      </c>
      <c r="AJ29" s="46">
        <f t="shared" si="5"/>
        <v>8.5</v>
      </c>
      <c r="AL29" s="37">
        <f t="shared" si="6"/>
        <v>-8.5</v>
      </c>
    </row>
    <row r="30" spans="1:38" ht="13.5" customHeight="1">
      <c r="A30" s="39">
        <f t="shared" si="7"/>
        <v>46261</v>
      </c>
      <c r="B30" s="159" t="str">
        <f>IFERROR(VLOOKUP(A30, Feiertage!$B:$C, 2, 0), IF(OR(WEEKDAY(A30,2)=6, WEEKDAY(A30,2)=7), Feiertage!$C$23, ""))</f>
        <v/>
      </c>
      <c r="C30" s="159"/>
      <c r="D30" s="159" t="s">
        <v>50</v>
      </c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8.4</v>
      </c>
      <c r="S30" s="45">
        <f t="shared" si="0"/>
        <v>0</v>
      </c>
      <c r="T30" s="45">
        <f t="shared" si="1"/>
        <v>-8.4</v>
      </c>
      <c r="U30" s="46">
        <f t="shared" si="8"/>
        <v>-32.960000000000015</v>
      </c>
      <c r="V30" s="159"/>
      <c r="W30" s="161"/>
      <c r="X30" s="48">
        <f>V30+W30*Summen!$B$44</f>
        <v>0</v>
      </c>
      <c r="Y30" s="128">
        <v>0.27083333333333331</v>
      </c>
      <c r="Z30" s="129">
        <v>0.5</v>
      </c>
      <c r="AA30" s="129">
        <v>0.52083333333333337</v>
      </c>
      <c r="AB30" s="129">
        <v>0.65277777777777779</v>
      </c>
      <c r="AC30" s="129"/>
      <c r="AD30" s="129"/>
      <c r="AE30" s="129"/>
      <c r="AF30" s="129"/>
      <c r="AG30" s="50">
        <f t="shared" si="2"/>
        <v>0.3611111111111111</v>
      </c>
      <c r="AH30" s="45">
        <f t="shared" si="3"/>
        <v>8</v>
      </c>
      <c r="AI30" s="45">
        <f t="shared" si="4"/>
        <v>0.66666666666666663</v>
      </c>
      <c r="AJ30" s="46">
        <f t="shared" si="5"/>
        <v>8.6666666666666661</v>
      </c>
      <c r="AL30" s="37">
        <f t="shared" si="6"/>
        <v>-8.6666666666666661</v>
      </c>
    </row>
    <row r="31" spans="1:38" ht="13.5" customHeight="1">
      <c r="A31" s="39">
        <f t="shared" si="7"/>
        <v>46262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>
        <v>8.4</v>
      </c>
      <c r="R31" s="44">
        <f>IF(OR(WEEKDAY(A31,2)=6,WEEKDAY(A31,2)=7),0,IFERROR(IF(VLOOKUP(A31,Feiertage!$B:$D,3,0)="ja",0,Summen!$B$9),Summen!$B$9))</f>
        <v>8.4</v>
      </c>
      <c r="S31" s="45">
        <f t="shared" si="0"/>
        <v>8.4</v>
      </c>
      <c r="T31" s="45">
        <f t="shared" si="1"/>
        <v>0</v>
      </c>
      <c r="U31" s="46">
        <f t="shared" si="8"/>
        <v>-32.960000000000015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8.4</v>
      </c>
    </row>
    <row r="32" spans="1:38" ht="13.5" customHeight="1">
      <c r="A32" s="39">
        <f t="shared" si="7"/>
        <v>46263</v>
      </c>
      <c r="B32" s="159" t="str">
        <f>IFERROR(VLOOKUP(A32, Feiertage!$B:$C, 2, 0), IF(OR(WEEKDAY(A32,2)=6, WEEKDAY(A32,2)=7), Feiertage!$C$23, ""))</f>
        <v>* * * * * * * * Wochenende * * * * * * * * * * * * * * * * * * * * * * * * * * * * * * * * * * * * * * * * * * * * * * * *</v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0</v>
      </c>
      <c r="S32" s="45">
        <f t="shared" si="0"/>
        <v>0</v>
      </c>
      <c r="T32" s="45">
        <f t="shared" si="1"/>
        <v>0</v>
      </c>
      <c r="U32" s="46">
        <f t="shared" si="8"/>
        <v>-32.960000000000015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39">
        <f t="shared" si="7"/>
        <v>46264</v>
      </c>
      <c r="B33" s="42" t="str">
        <f>IFERROR(VLOOKUP(A33, Feiertage!$B:$C, 2, 0), IF(OR(WEEKDAY(A33,2)=6, WEEKDAY(A33,2)=7), Feiertage!$C$23, ""))</f>
        <v>* * * * * * * * Wochenende * * * * * * * * * * * * * * * * * * * * * * * * * * * * * * * * * * * * * * * * * * * * * * * *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0</v>
      </c>
      <c r="S33" s="45">
        <f t="shared" si="0"/>
        <v>0</v>
      </c>
      <c r="T33" s="45">
        <f t="shared" si="1"/>
        <v>0</v>
      </c>
      <c r="U33" s="46">
        <f t="shared" si="8"/>
        <v>-32.960000000000015</v>
      </c>
      <c r="V33" s="42"/>
      <c r="W33" s="47"/>
      <c r="X33" s="48">
        <f>V33+W33*Summen!$B$44</f>
        <v>0</v>
      </c>
      <c r="Y33" s="185"/>
      <c r="Z33" s="186"/>
      <c r="AA33" s="186"/>
      <c r="AB33" s="186"/>
      <c r="AC33" s="186"/>
      <c r="AD33" s="186"/>
      <c r="AE33" s="186"/>
      <c r="AF33" s="186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</row>
    <row r="34" spans="1:38" ht="13.5" customHeight="1">
      <c r="A34" s="60">
        <f t="shared" si="7"/>
        <v>46265</v>
      </c>
      <c r="B34" s="159" t="str">
        <f>IFERROR(VLOOKUP(A34, Feiertage!$B:$C, 2, 0), IF(OR(WEEKDAY(A34,2)=6, WEEKDAY(A34,2)=7), Feiertage!$C$23, ""))</f>
        <v/>
      </c>
      <c r="C34" s="159"/>
      <c r="D34" s="159" t="s">
        <v>51</v>
      </c>
      <c r="E34" s="159"/>
      <c r="F34" s="159"/>
      <c r="G34" s="159"/>
      <c r="H34" s="159"/>
      <c r="I34" s="159"/>
      <c r="J34" s="159"/>
      <c r="K34" s="166"/>
      <c r="L34" s="166"/>
      <c r="M34" s="166"/>
      <c r="N34" s="166"/>
      <c r="O34" s="166"/>
      <c r="P34" s="166"/>
      <c r="Q34" s="167"/>
      <c r="R34" s="44">
        <f>IF(OR(WEEKDAY(A34,2)=6,WEEKDAY(A34,2)=7),0,IFERROR(IF(VLOOKUP(A34,Feiertage!$B:$D,3,0)="ja",0,Summen!$B$9),Summen!$B$9))</f>
        <v>8.4</v>
      </c>
      <c r="S34" s="61">
        <f t="shared" si="0"/>
        <v>0</v>
      </c>
      <c r="T34" s="61">
        <f t="shared" si="1"/>
        <v>-8.4</v>
      </c>
      <c r="U34" s="62">
        <f t="shared" si="8"/>
        <v>-41.360000000000014</v>
      </c>
      <c r="V34" s="159"/>
      <c r="W34" s="161"/>
      <c r="X34" s="48">
        <f>V34+W34*Summen!$B$44</f>
        <v>0</v>
      </c>
      <c r="Y34" s="128">
        <v>0.27083333333333331</v>
      </c>
      <c r="Z34" s="129">
        <v>0.45833333333333331</v>
      </c>
      <c r="AA34" s="129">
        <v>0.5</v>
      </c>
      <c r="AB34" s="129">
        <v>0.70833333333333337</v>
      </c>
      <c r="AC34" s="129"/>
      <c r="AD34" s="129"/>
      <c r="AE34" s="129"/>
      <c r="AF34" s="129"/>
      <c r="AG34" s="63">
        <f t="shared" si="2"/>
        <v>0.39583333333333337</v>
      </c>
      <c r="AH34" s="61">
        <f t="shared" si="3"/>
        <v>9</v>
      </c>
      <c r="AI34" s="61">
        <f t="shared" si="4"/>
        <v>0.5</v>
      </c>
      <c r="AJ34" s="62">
        <f t="shared" si="5"/>
        <v>9.5</v>
      </c>
      <c r="AL34" s="37">
        <f t="shared" si="6"/>
        <v>-9.5</v>
      </c>
    </row>
    <row r="35" spans="1:38" ht="18" customHeight="1">
      <c r="A35" s="64" t="s">
        <v>32</v>
      </c>
      <c r="B35" s="108"/>
      <c r="C35" s="168">
        <f t="shared" ref="C35:T35" si="9">SUM(C4:C34)</f>
        <v>50.099999999999994</v>
      </c>
      <c r="D35" s="168">
        <f t="shared" si="9"/>
        <v>43.55</v>
      </c>
      <c r="E35" s="168">
        <f t="shared" si="9"/>
        <v>2.35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33.6</v>
      </c>
      <c r="L35" s="168">
        <f t="shared" si="9"/>
        <v>0</v>
      </c>
      <c r="M35" s="168">
        <f t="shared" si="9"/>
        <v>1.4000000000000001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8.4</v>
      </c>
      <c r="R35" s="66">
        <f t="shared" si="9"/>
        <v>176.40000000000006</v>
      </c>
      <c r="S35" s="169">
        <f t="shared" si="9"/>
        <v>139.4</v>
      </c>
      <c r="T35" s="169">
        <f t="shared" si="9"/>
        <v>-37</v>
      </c>
      <c r="U35" s="67">
        <f>U34</f>
        <v>-41.360000000000014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87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67">
        <f>SUM(AJ4:AJ34)</f>
        <v>141.88333333333333</v>
      </c>
      <c r="AL35" s="37">
        <f t="shared" si="6"/>
        <v>-2.4833333333333201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1243AC7-3D85-4446-BC9C-DCA7453292D4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B519BFE4-C9F3-4943-9889-4342483086E0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1000"/>
  <sheetViews>
    <sheetView tabSelected="1" zoomScale="85" zoomScaleNormal="85" workbookViewId="0">
      <selection activeCell="G7" sqref="G7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201" t="str">
        <f>Summen!B1</f>
        <v>Alta Engineering AG</v>
      </c>
      <c r="B1" s="191"/>
      <c r="C1" s="191"/>
      <c r="D1" s="191"/>
      <c r="E1" s="189"/>
      <c r="F1" s="195" t="s">
        <v>0</v>
      </c>
      <c r="G1" s="189"/>
      <c r="H1" s="196" t="s">
        <v>1</v>
      </c>
      <c r="I1" s="191"/>
      <c r="J1" s="197" t="str">
        <f>Summen!B3</f>
        <v>Michael Küng</v>
      </c>
      <c r="K1" s="191"/>
      <c r="L1" s="191"/>
      <c r="M1" s="189"/>
      <c r="N1" s="198" t="s">
        <v>2</v>
      </c>
      <c r="O1" s="191"/>
      <c r="P1" s="188">
        <f>Aug!P1+31</f>
        <v>46266</v>
      </c>
      <c r="Q1" s="189"/>
      <c r="R1" s="1"/>
      <c r="S1" s="2" t="s">
        <v>3</v>
      </c>
      <c r="T1" s="2"/>
      <c r="U1" s="3">
        <f>Summen!B5</f>
        <v>1</v>
      </c>
      <c r="V1" s="1"/>
      <c r="W1" s="4" t="s">
        <v>4</v>
      </c>
      <c r="X1" s="5">
        <f>Aug!X1+1</f>
        <v>9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5" t="s">
        <v>5</v>
      </c>
      <c r="D2" s="11"/>
      <c r="E2" s="12">
        <f>Summen!B18</f>
        <v>10.8</v>
      </c>
      <c r="F2" s="11" t="s">
        <v>6</v>
      </c>
      <c r="G2" s="11"/>
      <c r="H2" s="12">
        <f>Aug!H2+(Aug!Q35/Summen!B9)</f>
        <v>2</v>
      </c>
      <c r="I2" s="11" t="s">
        <v>7</v>
      </c>
      <c r="J2" s="13">
        <f>E2-H2</f>
        <v>8.8000000000000007</v>
      </c>
      <c r="K2" s="11"/>
      <c r="L2" s="11"/>
      <c r="M2" s="11"/>
      <c r="N2" s="11"/>
      <c r="O2" s="11"/>
      <c r="P2" s="11"/>
      <c r="Q2" s="11"/>
      <c r="R2" s="14"/>
      <c r="S2" s="15"/>
      <c r="T2" s="16" t="s">
        <v>8</v>
      </c>
      <c r="U2" s="76">
        <f>Aug!U35</f>
        <v>-41.360000000000014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25"/>
      <c r="AG2" s="9"/>
      <c r="AH2" s="75"/>
      <c r="AI2" s="75"/>
      <c r="AJ2" s="127"/>
      <c r="AK2" s="7"/>
      <c r="AL2" s="7"/>
    </row>
    <row r="3" spans="1:38" ht="69.75" customHeight="1">
      <c r="A3" s="22" t="s">
        <v>10</v>
      </c>
      <c r="B3" s="147"/>
      <c r="C3" s="93" t="s">
        <v>52</v>
      </c>
      <c r="D3" s="94" t="s">
        <v>53</v>
      </c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84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46266</v>
      </c>
      <c r="B4" s="159" t="str">
        <f>IFERROR(VLOOKUP(A4, Feiertage!$B:$C, 2, 0), IF(OR(WEEKDAY(A4,2)=6, WEEKDAY(A4,2)=7), Feiertage!$C$23, ""))</f>
        <v/>
      </c>
      <c r="C4" s="83">
        <v>3</v>
      </c>
      <c r="D4" s="83">
        <v>6</v>
      </c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107">
        <f>IF(OR(WEEKDAY(A4,2)=6,WEEKDAY(A4,2)=7),0,IFERROR(IF(VLOOKUP(A4,Feiertage!$B:$D,3,0)="ja",0,Summen!$B$9),Summen!$B$9))</f>
        <v>8.4</v>
      </c>
      <c r="S4" s="31">
        <f t="shared" ref="S4:S33" si="0">SUM(C4:Q4)</f>
        <v>9</v>
      </c>
      <c r="T4" s="31">
        <f t="shared" ref="T4:T33" si="1">S4-R4</f>
        <v>0.59999999999999964</v>
      </c>
      <c r="U4" s="32">
        <f>U2+T4</f>
        <v>-40.760000000000012</v>
      </c>
      <c r="V4" s="159"/>
      <c r="W4" s="161"/>
      <c r="X4" s="33">
        <f>V4+W4*Summen!$B$44</f>
        <v>0</v>
      </c>
      <c r="Y4" s="34">
        <v>0.27083333333333331</v>
      </c>
      <c r="Z4" s="35">
        <v>0.45833333333333331</v>
      </c>
      <c r="AA4" s="35">
        <v>0.52083333333333337</v>
      </c>
      <c r="AB4" s="35">
        <v>0.70833333333333337</v>
      </c>
      <c r="AC4" s="35"/>
      <c r="AD4" s="35"/>
      <c r="AE4" s="35"/>
      <c r="AF4" s="35"/>
      <c r="AG4" s="36">
        <f t="shared" ref="AG4:AG33" si="2">(Z4-Y4)+(AB4-AA4)+(AD4-AC4)+(AF4-AE4)</f>
        <v>0.375</v>
      </c>
      <c r="AH4" s="31">
        <f t="shared" ref="AH4:AH33" si="3">HOUR(AG4)</f>
        <v>9</v>
      </c>
      <c r="AI4" s="31">
        <f t="shared" ref="AI4:AI33" si="4">MINUTE(AG4)/60</f>
        <v>0</v>
      </c>
      <c r="AJ4" s="32">
        <f t="shared" ref="AJ4:AJ33" si="5">AH4+AI4</f>
        <v>9</v>
      </c>
      <c r="AL4" s="37">
        <f t="shared" ref="AL4:AL34" si="6">SUM(C4:Q4)-AJ4</f>
        <v>0</v>
      </c>
    </row>
    <row r="5" spans="1:38" ht="13.5" customHeight="1">
      <c r="A5" s="39">
        <f t="shared" ref="A5:A33" si="7">A4+1</f>
        <v>46267</v>
      </c>
      <c r="B5" s="42" t="str">
        <f>IFERROR(VLOOKUP(A5, Feiertage!$B:$C, 2, 0), IF(OR(WEEKDAY(A5,2)=6, WEEKDAY(A5,2)=7), Feiertage!$C$23, ""))</f>
        <v>* * * * * * * * Justustag * * * * * * * * * * * * * * * * * * * * * * * * * * * * * * * * * * * * * * * * * * * * * * * * * *</v>
      </c>
      <c r="C5" s="42"/>
      <c r="D5" s="42">
        <v>4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0</v>
      </c>
      <c r="S5" s="45">
        <f t="shared" si="0"/>
        <v>4</v>
      </c>
      <c r="T5" s="45">
        <f t="shared" si="1"/>
        <v>4</v>
      </c>
      <c r="U5" s="46">
        <f t="shared" ref="U5:U33" si="8">U4+T5</f>
        <v>-36.760000000000012</v>
      </c>
      <c r="V5" s="42"/>
      <c r="W5" s="47"/>
      <c r="X5" s="48">
        <f>V5+W5*Summen!$B$44</f>
        <v>0</v>
      </c>
      <c r="Y5" s="185">
        <v>0.54166666666666663</v>
      </c>
      <c r="Z5" s="186">
        <v>0.70833333333333337</v>
      </c>
      <c r="AA5" s="186"/>
      <c r="AB5" s="186"/>
      <c r="AC5" s="186"/>
      <c r="AD5" s="186"/>
      <c r="AE5" s="186"/>
      <c r="AF5" s="186"/>
      <c r="AG5" s="50">
        <f t="shared" si="2"/>
        <v>0.16666666666666674</v>
      </c>
      <c r="AH5" s="45">
        <f t="shared" si="3"/>
        <v>4</v>
      </c>
      <c r="AI5" s="45">
        <f t="shared" si="4"/>
        <v>0</v>
      </c>
      <c r="AJ5" s="46">
        <f t="shared" si="5"/>
        <v>4</v>
      </c>
      <c r="AL5" s="37">
        <f t="shared" si="6"/>
        <v>0</v>
      </c>
    </row>
    <row r="6" spans="1:38" ht="13.5" customHeight="1">
      <c r="A6" s="39">
        <f t="shared" si="7"/>
        <v>46268</v>
      </c>
      <c r="B6" s="159" t="str">
        <f>IFERROR(VLOOKUP(A6, Feiertage!$B:$C, 2, 0), IF(OR(WEEKDAY(A6,2)=6, WEEKDAY(A6,2)=7), Feiertage!$C$23, ""))</f>
        <v/>
      </c>
      <c r="C6" s="159">
        <v>5</v>
      </c>
      <c r="D6" s="159">
        <v>4</v>
      </c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8.4</v>
      </c>
      <c r="S6" s="45">
        <f t="shared" si="0"/>
        <v>9</v>
      </c>
      <c r="T6" s="45">
        <f t="shared" si="1"/>
        <v>0.59999999999999964</v>
      </c>
      <c r="U6" s="46">
        <f t="shared" si="8"/>
        <v>-36.160000000000011</v>
      </c>
      <c r="V6" s="159"/>
      <c r="W6" s="161"/>
      <c r="X6" s="48">
        <f>V6+W6*Summen!$B$44</f>
        <v>0</v>
      </c>
      <c r="Y6" s="128">
        <v>0.27083333333333331</v>
      </c>
      <c r="Z6" s="129">
        <v>0.45833333333333331</v>
      </c>
      <c r="AA6" s="129">
        <v>0.52083333333333337</v>
      </c>
      <c r="AB6" s="129">
        <v>0.70833333333333337</v>
      </c>
      <c r="AC6" s="129"/>
      <c r="AD6" s="129"/>
      <c r="AE6" s="129"/>
      <c r="AF6" s="129"/>
      <c r="AG6" s="50">
        <f t="shared" si="2"/>
        <v>0.375</v>
      </c>
      <c r="AH6" s="45">
        <f t="shared" si="3"/>
        <v>9</v>
      </c>
      <c r="AI6" s="45">
        <f t="shared" si="4"/>
        <v>0</v>
      </c>
      <c r="AJ6" s="46">
        <f t="shared" si="5"/>
        <v>9</v>
      </c>
      <c r="AL6" s="37">
        <f t="shared" si="6"/>
        <v>0</v>
      </c>
    </row>
    <row r="7" spans="1:38" ht="13.5" customHeight="1">
      <c r="A7" s="39">
        <f t="shared" si="7"/>
        <v>46269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8.4</v>
      </c>
      <c r="S7" s="45">
        <f t="shared" si="0"/>
        <v>0</v>
      </c>
      <c r="T7" s="45">
        <f t="shared" si="1"/>
        <v>-8.4</v>
      </c>
      <c r="U7" s="46">
        <f t="shared" si="8"/>
        <v>-44.560000000000009</v>
      </c>
      <c r="V7" s="42"/>
      <c r="W7" s="47"/>
      <c r="X7" s="48">
        <f>V7+W7*Summen!$B$44</f>
        <v>0</v>
      </c>
      <c r="Y7" s="185"/>
      <c r="Z7" s="186"/>
      <c r="AA7" s="186"/>
      <c r="AB7" s="186"/>
      <c r="AC7" s="186"/>
      <c r="AD7" s="186"/>
      <c r="AE7" s="186"/>
      <c r="AF7" s="186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46270</v>
      </c>
      <c r="B8" s="159" t="str">
        <f>IFERROR(VLOOKUP(A8, Feiertage!$B:$C, 2, 0), IF(OR(WEEKDAY(A8,2)=6, WEEKDAY(A8,2)=7), Feiertage!$C$23, ""))</f>
        <v>* * * * * * * * Wochenende * * * * * * * * * * * * * * * * * * * * * * * * * * * * * * * * * * * * * * * * * * * * * * * *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f>IF(OR(WEEKDAY(A8,2)=6,WEEKDAY(A8,2)=7),0,IFERROR(IF(VLOOKUP(A8,Feiertage!$B:$D,3,0)="ja",0,Summen!$B$9),Summen!$B$9))</f>
        <v>0</v>
      </c>
      <c r="S8" s="45">
        <f t="shared" si="0"/>
        <v>0</v>
      </c>
      <c r="T8" s="45">
        <f t="shared" si="1"/>
        <v>0</v>
      </c>
      <c r="U8" s="46">
        <f t="shared" si="8"/>
        <v>-44.560000000000009</v>
      </c>
      <c r="V8" s="159"/>
      <c r="W8" s="161"/>
      <c r="X8" s="48">
        <f>V8+W8*Summen!$B$44</f>
        <v>0</v>
      </c>
      <c r="Y8" s="128"/>
      <c r="Z8" s="129"/>
      <c r="AA8" s="129"/>
      <c r="AB8" s="129"/>
      <c r="AC8" s="129"/>
      <c r="AD8" s="129"/>
      <c r="AE8" s="129"/>
      <c r="AF8" s="129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46271</v>
      </c>
      <c r="B9" s="42" t="str">
        <f>IFERROR(VLOOKUP(A9, Feiertage!$B:$C, 2, 0), IF(OR(WEEKDAY(A9,2)=6, WEEKDAY(A9,2)=7), Feiertage!$C$23, ""))</f>
        <v>* * * * * * * * Wochenende * * * * * * * * * * * * * * * * * * * * * * * * * * * * * * * * * * * * * * * * * * * * * * * *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0</v>
      </c>
      <c r="S9" s="45">
        <f t="shared" si="0"/>
        <v>0</v>
      </c>
      <c r="T9" s="45">
        <f t="shared" si="1"/>
        <v>0</v>
      </c>
      <c r="U9" s="46">
        <f t="shared" si="8"/>
        <v>-44.560000000000009</v>
      </c>
      <c r="V9" s="42"/>
      <c r="W9" s="47"/>
      <c r="X9" s="48">
        <f>V9+W9*Summen!$B$44</f>
        <v>0</v>
      </c>
      <c r="Y9" s="185"/>
      <c r="Z9" s="186"/>
      <c r="AA9" s="186"/>
      <c r="AB9" s="186"/>
      <c r="AC9" s="186"/>
      <c r="AD9" s="186"/>
      <c r="AE9" s="186"/>
      <c r="AF9" s="186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46272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8.4</v>
      </c>
      <c r="S10" s="45">
        <f t="shared" si="0"/>
        <v>0</v>
      </c>
      <c r="T10" s="45">
        <f t="shared" si="1"/>
        <v>-8.4</v>
      </c>
      <c r="U10" s="46">
        <f t="shared" si="8"/>
        <v>-52.960000000000008</v>
      </c>
      <c r="V10" s="159"/>
      <c r="W10" s="161"/>
      <c r="X10" s="48">
        <f>V10+W10*Summen!$B$44</f>
        <v>0</v>
      </c>
      <c r="Y10" s="128"/>
      <c r="Z10" s="129"/>
      <c r="AA10" s="129"/>
      <c r="AB10" s="129"/>
      <c r="AC10" s="129"/>
      <c r="AD10" s="129"/>
      <c r="AE10" s="129"/>
      <c r="AF10" s="129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46273</v>
      </c>
      <c r="B11" s="42" t="str">
        <f>IFERROR(VLOOKUP(A11, Feiertage!$B:$C, 2, 0), IF(OR(WEEKDAY(A11,2)=6, WEEKDAY(A11,2)=7), Feiertage!$C$23, ""))</f>
        <v/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8.4</v>
      </c>
      <c r="S11" s="45">
        <f t="shared" si="0"/>
        <v>0</v>
      </c>
      <c r="T11" s="45">
        <f t="shared" si="1"/>
        <v>-8.4</v>
      </c>
      <c r="U11" s="46">
        <f t="shared" si="8"/>
        <v>-61.360000000000007</v>
      </c>
      <c r="V11" s="42"/>
      <c r="W11" s="47"/>
      <c r="X11" s="48">
        <f>V11+W11*Summen!$B$44</f>
        <v>0</v>
      </c>
      <c r="Y11" s="185"/>
      <c r="Z11" s="186"/>
      <c r="AA11" s="186"/>
      <c r="AB11" s="186"/>
      <c r="AC11" s="186"/>
      <c r="AD11" s="186"/>
      <c r="AE11" s="186"/>
      <c r="AF11" s="186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46274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8.4</v>
      </c>
      <c r="S12" s="45">
        <f t="shared" si="0"/>
        <v>0</v>
      </c>
      <c r="T12" s="45">
        <f t="shared" si="1"/>
        <v>-8.4</v>
      </c>
      <c r="U12" s="46">
        <f t="shared" si="8"/>
        <v>-69.760000000000005</v>
      </c>
      <c r="V12" s="159"/>
      <c r="W12" s="161"/>
      <c r="X12" s="48">
        <f>V12+W12*Summen!$B$44</f>
        <v>0</v>
      </c>
      <c r="Y12" s="128"/>
      <c r="Z12" s="129"/>
      <c r="AA12" s="129"/>
      <c r="AB12" s="129"/>
      <c r="AC12" s="129"/>
      <c r="AD12" s="129"/>
      <c r="AE12" s="129"/>
      <c r="AF12" s="129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46275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8.4</v>
      </c>
      <c r="S13" s="45">
        <f t="shared" si="0"/>
        <v>0</v>
      </c>
      <c r="T13" s="45">
        <f t="shared" si="1"/>
        <v>-8.4</v>
      </c>
      <c r="U13" s="46">
        <f t="shared" si="8"/>
        <v>-78.160000000000011</v>
      </c>
      <c r="V13" s="42"/>
      <c r="W13" s="47"/>
      <c r="X13" s="48">
        <f>V13+W13*Summen!$B$44</f>
        <v>0</v>
      </c>
      <c r="Y13" s="185"/>
      <c r="Z13" s="186"/>
      <c r="AA13" s="186"/>
      <c r="AB13" s="186"/>
      <c r="AC13" s="186"/>
      <c r="AD13" s="186"/>
      <c r="AE13" s="186"/>
      <c r="AF13" s="186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46276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8.4</v>
      </c>
      <c r="S14" s="45">
        <f t="shared" si="0"/>
        <v>0</v>
      </c>
      <c r="T14" s="45">
        <f t="shared" si="1"/>
        <v>-8.4</v>
      </c>
      <c r="U14" s="46">
        <f t="shared" si="8"/>
        <v>-86.560000000000016</v>
      </c>
      <c r="V14" s="159"/>
      <c r="W14" s="161"/>
      <c r="X14" s="48">
        <f>V14+W14*Summen!$B$44</f>
        <v>0</v>
      </c>
      <c r="Y14" s="128"/>
      <c r="Z14" s="129"/>
      <c r="AA14" s="129"/>
      <c r="AB14" s="129"/>
      <c r="AC14" s="129"/>
      <c r="AD14" s="129"/>
      <c r="AE14" s="129"/>
      <c r="AF14" s="129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46277</v>
      </c>
      <c r="B15" s="42" t="str">
        <f>IFERROR(VLOOKUP(A15, Feiertage!$B:$C, 2, 0), IF(OR(WEEKDAY(A15,2)=6, WEEKDAY(A15,2)=7), Feiertage!$C$23, ""))</f>
        <v>* * * * * * * * Wochenende * * * * * * * * * * * * * * * * * * * * * * * * * * * * * * * * * * * * * * * * * * * * * * * *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0</v>
      </c>
      <c r="S15" s="45">
        <f t="shared" si="0"/>
        <v>0</v>
      </c>
      <c r="T15" s="45">
        <f t="shared" si="1"/>
        <v>0</v>
      </c>
      <c r="U15" s="46">
        <f t="shared" si="8"/>
        <v>-86.560000000000016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46278</v>
      </c>
      <c r="B16" s="159" t="str">
        <f>IFERROR(VLOOKUP(A16, Feiertage!$B:$C, 2, 0), IF(OR(WEEKDAY(A16,2)=6, WEEKDAY(A16,2)=7), Feiertage!$C$23, ""))</f>
        <v>* * * * * * * * Wochenende * * * * * * * * * * * * * * * * * * * * * * * * * * * * * * * * * * * * * * * * * * * * * * * *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0</v>
      </c>
      <c r="S16" s="45">
        <f t="shared" si="0"/>
        <v>0</v>
      </c>
      <c r="T16" s="45">
        <f t="shared" si="1"/>
        <v>0</v>
      </c>
      <c r="U16" s="46">
        <f t="shared" si="8"/>
        <v>-86.560000000000016</v>
      </c>
      <c r="V16" s="159"/>
      <c r="W16" s="161"/>
      <c r="X16" s="48">
        <f>V16+W16*Summen!$B$44</f>
        <v>0</v>
      </c>
      <c r="Y16" s="128"/>
      <c r="Z16" s="129"/>
      <c r="AA16" s="129"/>
      <c r="AB16" s="129"/>
      <c r="AC16" s="129"/>
      <c r="AD16" s="129"/>
      <c r="AE16" s="129"/>
      <c r="AF16" s="129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46279</v>
      </c>
      <c r="B17" s="42" t="str">
        <f>IFERROR(VLOOKUP(A17, Feiertage!$B:$C, 2, 0), IF(OR(WEEKDAY(A17,2)=6, WEEKDAY(A17,2)=7), Feiertage!$C$23, ""))</f>
        <v/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8.4</v>
      </c>
      <c r="S17" s="45">
        <f t="shared" si="0"/>
        <v>0</v>
      </c>
      <c r="T17" s="45">
        <f t="shared" si="1"/>
        <v>-8.4</v>
      </c>
      <c r="U17" s="46">
        <f t="shared" si="8"/>
        <v>-94.960000000000022</v>
      </c>
      <c r="V17" s="42"/>
      <c r="W17" s="47"/>
      <c r="X17" s="48">
        <f>V17+W17*Summen!$B$44</f>
        <v>0</v>
      </c>
      <c r="Y17" s="185"/>
      <c r="Z17" s="186"/>
      <c r="AA17" s="186"/>
      <c r="AB17" s="186"/>
      <c r="AC17" s="186"/>
      <c r="AD17" s="186"/>
      <c r="AE17" s="186"/>
      <c r="AF17" s="186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46280</v>
      </c>
      <c r="B18" s="159" t="str">
        <f>IFERROR(VLOOKUP(A18, Feiertage!$B:$C, 2, 0), IF(OR(WEEKDAY(A18,2)=6, WEEKDAY(A18,2)=7), Feiertage!$C$23, ""))</f>
        <v/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8.4</v>
      </c>
      <c r="S18" s="45">
        <f t="shared" si="0"/>
        <v>0</v>
      </c>
      <c r="T18" s="45">
        <f t="shared" si="1"/>
        <v>-8.4</v>
      </c>
      <c r="U18" s="46">
        <f t="shared" si="8"/>
        <v>-103.36000000000003</v>
      </c>
      <c r="V18" s="159"/>
      <c r="W18" s="161"/>
      <c r="X18" s="48">
        <f>V18+W18*Summen!$B$44</f>
        <v>0</v>
      </c>
      <c r="Y18" s="128"/>
      <c r="Z18" s="129"/>
      <c r="AA18" s="129"/>
      <c r="AB18" s="129"/>
      <c r="AC18" s="129"/>
      <c r="AD18" s="129"/>
      <c r="AE18" s="129"/>
      <c r="AF18" s="129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46281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0</v>
      </c>
      <c r="T19" s="45">
        <f t="shared" si="1"/>
        <v>-8.4</v>
      </c>
      <c r="U19" s="46">
        <f t="shared" si="8"/>
        <v>-111.76000000000003</v>
      </c>
      <c r="V19" s="42"/>
      <c r="W19" s="47"/>
      <c r="X19" s="48">
        <f>V19+W19*Summen!$B$44</f>
        <v>0</v>
      </c>
      <c r="Y19" s="185"/>
      <c r="Z19" s="186"/>
      <c r="AA19" s="186"/>
      <c r="AB19" s="186"/>
      <c r="AC19" s="186"/>
      <c r="AD19" s="186"/>
      <c r="AE19" s="186"/>
      <c r="AF19" s="186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46282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0</v>
      </c>
      <c r="T20" s="45">
        <f t="shared" si="1"/>
        <v>-8.4</v>
      </c>
      <c r="U20" s="46">
        <f t="shared" si="8"/>
        <v>-120.16000000000004</v>
      </c>
      <c r="V20" s="159"/>
      <c r="W20" s="161"/>
      <c r="X20" s="48">
        <f>V20+W20*Summen!$B$44</f>
        <v>0</v>
      </c>
      <c r="Y20" s="128"/>
      <c r="Z20" s="129"/>
      <c r="AA20" s="129"/>
      <c r="AB20" s="129"/>
      <c r="AC20" s="129"/>
      <c r="AD20" s="129"/>
      <c r="AE20" s="129"/>
      <c r="AF20" s="129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46283</v>
      </c>
      <c r="B21" s="42" t="str">
        <f>IFERROR(VLOOKUP(A21, Feiertage!$B:$C, 2, 0), IF(OR(WEEKDAY(A21,2)=6, WEEKDAY(A21,2)=7), Feiertage!$C$23, ""))</f>
        <v/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8.4</v>
      </c>
      <c r="S21" s="45">
        <f t="shared" si="0"/>
        <v>0</v>
      </c>
      <c r="T21" s="45">
        <f t="shared" si="1"/>
        <v>-8.4</v>
      </c>
      <c r="U21" s="46">
        <f t="shared" si="8"/>
        <v>-128.56000000000003</v>
      </c>
      <c r="V21" s="42"/>
      <c r="W21" s="47"/>
      <c r="X21" s="48">
        <f>V21+W21*Summen!$B$44</f>
        <v>0</v>
      </c>
      <c r="Y21" s="185"/>
      <c r="Z21" s="186"/>
      <c r="AA21" s="186"/>
      <c r="AB21" s="186"/>
      <c r="AC21" s="186"/>
      <c r="AD21" s="186"/>
      <c r="AE21" s="186"/>
      <c r="AF21" s="186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46284</v>
      </c>
      <c r="B22" s="159" t="str">
        <f>IFERROR(VLOOKUP(A22, Feiertage!$B:$C, 2, 0), IF(OR(WEEKDAY(A22,2)=6, WEEKDAY(A22,2)=7), Feiertage!$C$23, ""))</f>
        <v>* * * * * * * * Wochenende * * * * * * * * * * * * * * * * * * * * * * * * * * * * * * * * * * * * * * * * * * * * * * * *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0</v>
      </c>
      <c r="S22" s="45">
        <f t="shared" si="0"/>
        <v>0</v>
      </c>
      <c r="T22" s="45">
        <f t="shared" si="1"/>
        <v>0</v>
      </c>
      <c r="U22" s="46">
        <f t="shared" si="8"/>
        <v>-128.56000000000003</v>
      </c>
      <c r="V22" s="159"/>
      <c r="W22" s="161"/>
      <c r="X22" s="48">
        <f>V22+W22*Summen!$B$44</f>
        <v>0</v>
      </c>
      <c r="Y22" s="128"/>
      <c r="Z22" s="129"/>
      <c r="AA22" s="129"/>
      <c r="AB22" s="129"/>
      <c r="AC22" s="129"/>
      <c r="AD22" s="129"/>
      <c r="AE22" s="129"/>
      <c r="AF22" s="129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46285</v>
      </c>
      <c r="B23" s="42" t="str">
        <f>IFERROR(VLOOKUP(A23, Feiertage!$B:$C, 2, 0), IF(OR(WEEKDAY(A23,2)=6, WEEKDAY(A23,2)=7), Feiertage!$C$23, ""))</f>
        <v>* * * * * * * * Wochenende * * * * * * * * * * * * * * * * * * * * * * * * * * * * * * * * * * * * * * * * * * * * * * * *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0</v>
      </c>
      <c r="S23" s="45">
        <f t="shared" si="0"/>
        <v>0</v>
      </c>
      <c r="T23" s="45">
        <f t="shared" si="1"/>
        <v>0</v>
      </c>
      <c r="U23" s="46">
        <f t="shared" si="8"/>
        <v>-128.56000000000003</v>
      </c>
      <c r="V23" s="42"/>
      <c r="W23" s="47"/>
      <c r="X23" s="48">
        <f>V23+W23*Summen!$B$44</f>
        <v>0</v>
      </c>
      <c r="Y23" s="185"/>
      <c r="Z23" s="186"/>
      <c r="AA23" s="186"/>
      <c r="AB23" s="186"/>
      <c r="AC23" s="186"/>
      <c r="AD23" s="186"/>
      <c r="AE23" s="186"/>
      <c r="AF23" s="186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46286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8.4</v>
      </c>
      <c r="S24" s="45">
        <f t="shared" si="0"/>
        <v>0</v>
      </c>
      <c r="T24" s="45">
        <f t="shared" si="1"/>
        <v>-8.4</v>
      </c>
      <c r="U24" s="46">
        <f t="shared" si="8"/>
        <v>-136.96000000000004</v>
      </c>
      <c r="V24" s="159"/>
      <c r="W24" s="161"/>
      <c r="X24" s="48">
        <f>V24+W24*Summen!$B$44</f>
        <v>0</v>
      </c>
      <c r="Y24" s="128"/>
      <c r="Z24" s="129"/>
      <c r="AA24" s="129"/>
      <c r="AB24" s="129"/>
      <c r="AC24" s="129"/>
      <c r="AD24" s="129"/>
      <c r="AE24" s="129"/>
      <c r="AF24" s="129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46287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8.4</v>
      </c>
      <c r="S25" s="45">
        <f t="shared" si="0"/>
        <v>0</v>
      </c>
      <c r="T25" s="45">
        <f t="shared" si="1"/>
        <v>-8.4</v>
      </c>
      <c r="U25" s="46">
        <f t="shared" si="8"/>
        <v>-145.36000000000004</v>
      </c>
      <c r="V25" s="42"/>
      <c r="W25" s="47"/>
      <c r="X25" s="48">
        <f>V25+W25*Summen!$B$44</f>
        <v>0</v>
      </c>
      <c r="Y25" s="185"/>
      <c r="Z25" s="186"/>
      <c r="AA25" s="186"/>
      <c r="AB25" s="186"/>
      <c r="AC25" s="186"/>
      <c r="AD25" s="186"/>
      <c r="AE25" s="186"/>
      <c r="AF25" s="186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46288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0</v>
      </c>
      <c r="T26" s="45">
        <f t="shared" si="1"/>
        <v>-8.4</v>
      </c>
      <c r="U26" s="46">
        <f t="shared" si="8"/>
        <v>-153.76000000000005</v>
      </c>
      <c r="V26" s="159"/>
      <c r="W26" s="161"/>
      <c r="X26" s="48">
        <f>V26+W26*Summen!$B$44</f>
        <v>0</v>
      </c>
      <c r="Y26" s="128"/>
      <c r="Z26" s="129"/>
      <c r="AA26" s="129"/>
      <c r="AB26" s="129"/>
      <c r="AC26" s="129"/>
      <c r="AD26" s="129"/>
      <c r="AE26" s="129"/>
      <c r="AF26" s="129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46289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0</v>
      </c>
      <c r="T27" s="45">
        <f t="shared" si="1"/>
        <v>-8.4</v>
      </c>
      <c r="U27" s="46">
        <f t="shared" si="8"/>
        <v>-162.16000000000005</v>
      </c>
      <c r="V27" s="42"/>
      <c r="W27" s="47"/>
      <c r="X27" s="48">
        <f>V27+W27*Summen!$B$44</f>
        <v>0</v>
      </c>
      <c r="Y27" s="185"/>
      <c r="Z27" s="186"/>
      <c r="AA27" s="186"/>
      <c r="AB27" s="186"/>
      <c r="AC27" s="186"/>
      <c r="AD27" s="186"/>
      <c r="AE27" s="186"/>
      <c r="AF27" s="186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46290</v>
      </c>
      <c r="B28" s="159" t="str">
        <f>IFERROR(VLOOKUP(A28, Feiertage!$B:$C, 2, 0), IF(OR(WEEKDAY(A28,2)=6, WEEKDAY(A28,2)=7), Feiertage!$C$23, ""))</f>
        <v/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8.4</v>
      </c>
      <c r="S28" s="45">
        <f t="shared" si="0"/>
        <v>0</v>
      </c>
      <c r="T28" s="45">
        <f t="shared" si="1"/>
        <v>-8.4</v>
      </c>
      <c r="U28" s="46">
        <f t="shared" si="8"/>
        <v>-170.56000000000006</v>
      </c>
      <c r="V28" s="159"/>
      <c r="W28" s="161"/>
      <c r="X28" s="48">
        <f>V28+W28*Summen!$B$44</f>
        <v>0</v>
      </c>
      <c r="Y28" s="128"/>
      <c r="Z28" s="129"/>
      <c r="AA28" s="129"/>
      <c r="AB28" s="129"/>
      <c r="AC28" s="129"/>
      <c r="AD28" s="129"/>
      <c r="AE28" s="129"/>
      <c r="AF28" s="129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46291</v>
      </c>
      <c r="B29" s="42" t="str">
        <f>IFERROR(VLOOKUP(A29, Feiertage!$B:$C, 2, 0), IF(OR(WEEKDAY(A29,2)=6, WEEKDAY(A29,2)=7), Feiertage!$C$23, ""))</f>
        <v>* * * * * * * * Wochenende * * * * * * * * * * * * * * * * * * * * * * * * * * * * * * * * * * * * * * * * * * * * * * * *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0</v>
      </c>
      <c r="S29" s="45">
        <f t="shared" si="0"/>
        <v>0</v>
      </c>
      <c r="T29" s="45">
        <f t="shared" si="1"/>
        <v>0</v>
      </c>
      <c r="U29" s="46">
        <f t="shared" si="8"/>
        <v>-170.56000000000006</v>
      </c>
      <c r="V29" s="42"/>
      <c r="W29" s="47"/>
      <c r="X29" s="48">
        <f>V29+W29*Summen!$B$44</f>
        <v>0</v>
      </c>
      <c r="Y29" s="185"/>
      <c r="Z29" s="186"/>
      <c r="AA29" s="186"/>
      <c r="AB29" s="186"/>
      <c r="AC29" s="186"/>
      <c r="AD29" s="186"/>
      <c r="AE29" s="186"/>
      <c r="AF29" s="186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46292</v>
      </c>
      <c r="B30" s="159" t="str">
        <f>IFERROR(VLOOKUP(A30, Feiertage!$B:$C, 2, 0), IF(OR(WEEKDAY(A30,2)=6, WEEKDAY(A30,2)=7), Feiertage!$C$23, ""))</f>
        <v>* * * * * * * * Wochenende * * * * * * * * * * * * * * * * * * * * * * * * * * * * * * * * * * * * * * * * * * * * * * * *</v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0</v>
      </c>
      <c r="S30" s="45">
        <f t="shared" si="0"/>
        <v>0</v>
      </c>
      <c r="T30" s="45">
        <f t="shared" si="1"/>
        <v>0</v>
      </c>
      <c r="U30" s="46">
        <f t="shared" si="8"/>
        <v>-170.56000000000006</v>
      </c>
      <c r="V30" s="159"/>
      <c r="W30" s="161"/>
      <c r="X30" s="48">
        <f>V30+W30*Summen!$B$44</f>
        <v>0</v>
      </c>
      <c r="Y30" s="128"/>
      <c r="Z30" s="129"/>
      <c r="AA30" s="129"/>
      <c r="AB30" s="129"/>
      <c r="AC30" s="129"/>
      <c r="AD30" s="129"/>
      <c r="AE30" s="129"/>
      <c r="AF30" s="129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46293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8.4</v>
      </c>
      <c r="S31" s="45">
        <f t="shared" si="0"/>
        <v>0</v>
      </c>
      <c r="T31" s="45">
        <f t="shared" si="1"/>
        <v>-8.4</v>
      </c>
      <c r="U31" s="46">
        <f t="shared" si="8"/>
        <v>-178.96000000000006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46294</v>
      </c>
      <c r="B32" s="159" t="str">
        <f>IFERROR(VLOOKUP(A32, Feiertage!$B:$C, 2, 0), IF(OR(WEEKDAY(A32,2)=6, WEEKDAY(A32,2)=7), Feiertage!$C$23, ""))</f>
        <v/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8.4</v>
      </c>
      <c r="S32" s="45">
        <f t="shared" si="0"/>
        <v>0</v>
      </c>
      <c r="T32" s="45">
        <f t="shared" si="1"/>
        <v>-8.4</v>
      </c>
      <c r="U32" s="46">
        <f t="shared" si="8"/>
        <v>-187.36000000000007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60">
        <f t="shared" si="7"/>
        <v>46295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61">
        <f t="shared" si="0"/>
        <v>0</v>
      </c>
      <c r="T33" s="61">
        <f t="shared" si="1"/>
        <v>-8.4</v>
      </c>
      <c r="U33" s="62">
        <f t="shared" si="8"/>
        <v>-195.76000000000008</v>
      </c>
      <c r="V33" s="42"/>
      <c r="W33" s="47"/>
      <c r="X33" s="48">
        <f>V33+W33*Summen!$B$44</f>
        <v>0</v>
      </c>
      <c r="Y33" s="185"/>
      <c r="Z33" s="186"/>
      <c r="AA33" s="186"/>
      <c r="AB33" s="186"/>
      <c r="AC33" s="186"/>
      <c r="AD33" s="186"/>
      <c r="AE33" s="186"/>
      <c r="AF33" s="186"/>
      <c r="AG33" s="63">
        <f t="shared" si="2"/>
        <v>0</v>
      </c>
      <c r="AH33" s="61">
        <f t="shared" si="3"/>
        <v>0</v>
      </c>
      <c r="AI33" s="61">
        <f t="shared" si="4"/>
        <v>0</v>
      </c>
      <c r="AJ33" s="62">
        <f t="shared" si="5"/>
        <v>0</v>
      </c>
      <c r="AL33" s="37">
        <f t="shared" si="6"/>
        <v>0</v>
      </c>
    </row>
    <row r="34" spans="1:38" ht="18" customHeight="1">
      <c r="A34" s="64" t="s">
        <v>32</v>
      </c>
      <c r="B34" s="108"/>
      <c r="C34" s="168">
        <f t="shared" ref="C34:T34" si="9">SUM(C4:C33)</f>
        <v>8</v>
      </c>
      <c r="D34" s="168">
        <f t="shared" si="9"/>
        <v>14</v>
      </c>
      <c r="E34" s="168">
        <f t="shared" si="9"/>
        <v>0</v>
      </c>
      <c r="F34" s="168">
        <f t="shared" si="9"/>
        <v>0</v>
      </c>
      <c r="G34" s="168">
        <f t="shared" si="9"/>
        <v>0</v>
      </c>
      <c r="H34" s="168">
        <f t="shared" si="9"/>
        <v>0</v>
      </c>
      <c r="I34" s="168">
        <f t="shared" si="9"/>
        <v>0</v>
      </c>
      <c r="J34" s="168">
        <f t="shared" si="9"/>
        <v>0</v>
      </c>
      <c r="K34" s="168">
        <f t="shared" si="9"/>
        <v>0</v>
      </c>
      <c r="L34" s="168">
        <f t="shared" si="9"/>
        <v>0</v>
      </c>
      <c r="M34" s="168">
        <f t="shared" si="9"/>
        <v>0</v>
      </c>
      <c r="N34" s="168">
        <f t="shared" si="9"/>
        <v>0</v>
      </c>
      <c r="O34" s="168">
        <f t="shared" si="9"/>
        <v>0</v>
      </c>
      <c r="P34" s="168">
        <f t="shared" si="9"/>
        <v>0</v>
      </c>
      <c r="Q34" s="168">
        <f t="shared" si="9"/>
        <v>0</v>
      </c>
      <c r="R34" s="66">
        <f t="shared" si="9"/>
        <v>176.40000000000006</v>
      </c>
      <c r="S34" s="169">
        <f t="shared" si="9"/>
        <v>22</v>
      </c>
      <c r="T34" s="169">
        <f t="shared" si="9"/>
        <v>-154.40000000000003</v>
      </c>
      <c r="U34" s="67">
        <f>U33</f>
        <v>-195.76000000000008</v>
      </c>
      <c r="V34" s="170">
        <f>SUM(V4:V33)</f>
        <v>0</v>
      </c>
      <c r="W34" s="170">
        <f>SUM(W4:W33)*Summen!$B$44</f>
        <v>0</v>
      </c>
      <c r="X34" s="68">
        <f>V34+W34</f>
        <v>0</v>
      </c>
      <c r="Y34" s="87"/>
      <c r="Z34" s="171"/>
      <c r="AA34" s="171"/>
      <c r="AB34" s="171"/>
      <c r="AC34" s="171"/>
      <c r="AD34" s="171"/>
      <c r="AE34" s="171"/>
      <c r="AF34" s="171"/>
      <c r="AG34" s="171"/>
      <c r="AH34" s="171"/>
      <c r="AI34" s="171"/>
      <c r="AJ34" s="67">
        <f>SUM(AJ4:AJ33)</f>
        <v>22</v>
      </c>
      <c r="AL34" s="37">
        <f t="shared" si="6"/>
        <v>0</v>
      </c>
    </row>
    <row r="35" spans="1:38" ht="12.75" customHeight="1">
      <c r="A35" s="71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L35" s="7"/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4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4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EF6309A-FE2C-4261-8723-E2C0F27C6FEE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25BAF05C-5F72-4936-9E1F-C827FFDD55F8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Sep!P1+30</f>
        <v>46296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Sep!X1+1</f>
        <v>10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19" t="s">
        <v>5</v>
      </c>
      <c r="D2" s="179"/>
      <c r="E2" s="180">
        <f>Summen!B18</f>
        <v>10.8</v>
      </c>
      <c r="F2" s="179" t="s">
        <v>6</v>
      </c>
      <c r="G2" s="179"/>
      <c r="H2" s="180">
        <f>Sep!H2+(Sep!Q34/Summen!B9)</f>
        <v>2</v>
      </c>
      <c r="I2" s="179" t="s">
        <v>7</v>
      </c>
      <c r="J2" s="181">
        <f>E2-H2</f>
        <v>8.8000000000000007</v>
      </c>
      <c r="K2" s="179"/>
      <c r="L2" s="179"/>
      <c r="M2" s="179"/>
      <c r="N2" s="179"/>
      <c r="O2" s="179"/>
      <c r="P2" s="10"/>
      <c r="Q2" s="125"/>
      <c r="R2" s="182"/>
      <c r="S2" s="119"/>
      <c r="T2" s="183" t="s">
        <v>8</v>
      </c>
      <c r="U2" s="120">
        <f>Sep!U34</f>
        <v>-195.76000000000008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25"/>
      <c r="AG2" s="9"/>
      <c r="AH2" s="10"/>
      <c r="AI2" s="10"/>
      <c r="AJ2" s="78"/>
      <c r="AK2" s="7"/>
      <c r="AL2" s="7"/>
    </row>
    <row r="3" spans="1:38" ht="69.75" customHeight="1">
      <c r="A3" s="22" t="s">
        <v>10</v>
      </c>
      <c r="B3" s="147"/>
      <c r="C3" s="93"/>
      <c r="D3" s="94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84" t="s">
        <v>26</v>
      </c>
      <c r="AG3" s="81" t="s">
        <v>27</v>
      </c>
      <c r="AH3" s="173" t="s">
        <v>28</v>
      </c>
      <c r="AI3" s="173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46296</v>
      </c>
      <c r="B4" s="159" t="str">
        <f>IFERROR(VLOOKUP(A4, Feiertage!$B:$C, 2, 0), IF(OR(WEEKDAY(A4,2)=6, WEEKDAY(A4,2)=7), Feiertage!$C$23, ""))</f>
        <v/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107">
        <f>IF(OR(WEEKDAY(A4,2)=6,WEEKDAY(A4,2)=7),0,IFERROR(IF(VLOOKUP(A4,Feiertage!$B:$D,3,0)="ja",0,Summen!$B$9),Summen!$B$9))</f>
        <v>8.4</v>
      </c>
      <c r="S4" s="31">
        <f t="shared" ref="S4:S34" si="0">SUM(C4:Q4)</f>
        <v>0</v>
      </c>
      <c r="T4" s="31">
        <f t="shared" ref="T4:T34" si="1">S4-R4</f>
        <v>-8.4</v>
      </c>
      <c r="U4" s="32">
        <f>U2+T4</f>
        <v>-204.16000000000008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46297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8.4</v>
      </c>
      <c r="S5" s="45">
        <f t="shared" si="0"/>
        <v>0</v>
      </c>
      <c r="T5" s="45">
        <f t="shared" si="1"/>
        <v>-8.4</v>
      </c>
      <c r="U5" s="46">
        <f t="shared" ref="U5:U34" si="8">U4+T5</f>
        <v>-212.56000000000009</v>
      </c>
      <c r="V5" s="42"/>
      <c r="W5" s="47"/>
      <c r="X5" s="48">
        <f>V5+W5*Summen!$B$44</f>
        <v>0</v>
      </c>
      <c r="Y5" s="185"/>
      <c r="Z5" s="186"/>
      <c r="AA5" s="186"/>
      <c r="AB5" s="186"/>
      <c r="AC5" s="186"/>
      <c r="AD5" s="186"/>
      <c r="AE5" s="186"/>
      <c r="AF5" s="186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46298</v>
      </c>
      <c r="B6" s="159" t="str">
        <f>IFERROR(VLOOKUP(A6, Feiertage!$B:$C, 2, 0), IF(OR(WEEKDAY(A6,2)=6, WEEKDAY(A6,2)=7), Feiertage!$C$23, ""))</f>
        <v>* * * * * * * * Wochenende * * * * * * * * * * * * * * * * * * * * * * * * * * * * * * * * * * * * * * * * * * * * * * * *</v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0</v>
      </c>
      <c r="S6" s="45">
        <f t="shared" si="0"/>
        <v>0</v>
      </c>
      <c r="T6" s="45">
        <f t="shared" si="1"/>
        <v>0</v>
      </c>
      <c r="U6" s="46">
        <f t="shared" si="8"/>
        <v>-212.56000000000009</v>
      </c>
      <c r="V6" s="159"/>
      <c r="W6" s="161"/>
      <c r="X6" s="48">
        <f>V6+W6*Summen!$B$44</f>
        <v>0</v>
      </c>
      <c r="Y6" s="128"/>
      <c r="Z6" s="129"/>
      <c r="AA6" s="129"/>
      <c r="AB6" s="129"/>
      <c r="AC6" s="129"/>
      <c r="AD6" s="129"/>
      <c r="AE6" s="129"/>
      <c r="AF6" s="129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46299</v>
      </c>
      <c r="B7" s="42" t="str">
        <f>IFERROR(VLOOKUP(A7, Feiertage!$B:$C, 2, 0), IF(OR(WEEKDAY(A7,2)=6, WEEKDAY(A7,2)=7), Feiertage!$C$23, ""))</f>
        <v>* * * * * * * * Wochenende * * * * * * * * * * * * * * * * * * * * * * * * * * * * * * * * * * * * * * * * * * * * * * * *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0</v>
      </c>
      <c r="S7" s="45">
        <f t="shared" si="0"/>
        <v>0</v>
      </c>
      <c r="T7" s="45">
        <f t="shared" si="1"/>
        <v>0</v>
      </c>
      <c r="U7" s="46">
        <f t="shared" si="8"/>
        <v>-212.56000000000009</v>
      </c>
      <c r="V7" s="42"/>
      <c r="W7" s="47"/>
      <c r="X7" s="48">
        <f>V7+W7*Summen!$B$44</f>
        <v>0</v>
      </c>
      <c r="Y7" s="185"/>
      <c r="Z7" s="186"/>
      <c r="AA7" s="186"/>
      <c r="AB7" s="186"/>
      <c r="AC7" s="186"/>
      <c r="AD7" s="186"/>
      <c r="AE7" s="186"/>
      <c r="AF7" s="186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46300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f>IF(OR(WEEKDAY(A8,2)=6,WEEKDAY(A8,2)=7),0,IFERROR(IF(VLOOKUP(A8,Feiertage!$B:$D,3,0)="ja",0,Summen!$B$9),Summen!$B$9))</f>
        <v>8.4</v>
      </c>
      <c r="S8" s="45">
        <f t="shared" si="0"/>
        <v>0</v>
      </c>
      <c r="T8" s="45">
        <f t="shared" si="1"/>
        <v>-8.4</v>
      </c>
      <c r="U8" s="46">
        <f t="shared" si="8"/>
        <v>-220.96000000000009</v>
      </c>
      <c r="V8" s="159"/>
      <c r="W8" s="161"/>
      <c r="X8" s="48">
        <f>V8+W8*Summen!$B$44</f>
        <v>0</v>
      </c>
      <c r="Y8" s="128"/>
      <c r="Z8" s="129"/>
      <c r="AA8" s="129"/>
      <c r="AB8" s="129"/>
      <c r="AC8" s="129"/>
      <c r="AD8" s="129"/>
      <c r="AE8" s="129"/>
      <c r="AF8" s="129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46301</v>
      </c>
      <c r="B9" s="42" t="str">
        <f>IFERROR(VLOOKUP(A9, Feiertage!$B:$C, 2, 0), IF(OR(WEEKDAY(A9,2)=6, WEEKDAY(A9,2)=7), Feiertage!$C$23, ""))</f>
        <v/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8.4</v>
      </c>
      <c r="S9" s="45">
        <f t="shared" si="0"/>
        <v>0</v>
      </c>
      <c r="T9" s="45">
        <f t="shared" si="1"/>
        <v>-8.4</v>
      </c>
      <c r="U9" s="46">
        <f t="shared" si="8"/>
        <v>-229.3600000000001</v>
      </c>
      <c r="V9" s="42"/>
      <c r="W9" s="47"/>
      <c r="X9" s="48">
        <f>V9+W9*Summen!$B$44</f>
        <v>0</v>
      </c>
      <c r="Y9" s="185"/>
      <c r="Z9" s="186"/>
      <c r="AA9" s="186"/>
      <c r="AB9" s="186"/>
      <c r="AC9" s="186"/>
      <c r="AD9" s="186"/>
      <c r="AE9" s="186"/>
      <c r="AF9" s="186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46302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8.4</v>
      </c>
      <c r="S10" s="45">
        <f t="shared" si="0"/>
        <v>0</v>
      </c>
      <c r="T10" s="45">
        <f t="shared" si="1"/>
        <v>-8.4</v>
      </c>
      <c r="U10" s="46">
        <f t="shared" si="8"/>
        <v>-237.7600000000001</v>
      </c>
      <c r="V10" s="159"/>
      <c r="W10" s="161"/>
      <c r="X10" s="48">
        <f>V10+W10*Summen!$B$44</f>
        <v>0</v>
      </c>
      <c r="Y10" s="128"/>
      <c r="Z10" s="129"/>
      <c r="AA10" s="129"/>
      <c r="AB10" s="129"/>
      <c r="AC10" s="129"/>
      <c r="AD10" s="129"/>
      <c r="AE10" s="129"/>
      <c r="AF10" s="129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46303</v>
      </c>
      <c r="B11" s="42" t="str">
        <f>IFERROR(VLOOKUP(A11, Feiertage!$B:$C, 2, 0), IF(OR(WEEKDAY(A11,2)=6, WEEKDAY(A11,2)=7), Feiertage!$C$23, ""))</f>
        <v/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8.4</v>
      </c>
      <c r="S11" s="45">
        <f t="shared" si="0"/>
        <v>0</v>
      </c>
      <c r="T11" s="45">
        <f t="shared" si="1"/>
        <v>-8.4</v>
      </c>
      <c r="U11" s="46">
        <f t="shared" si="8"/>
        <v>-246.16000000000011</v>
      </c>
      <c r="V11" s="42"/>
      <c r="W11" s="47"/>
      <c r="X11" s="48">
        <f>V11+W11*Summen!$B$44</f>
        <v>0</v>
      </c>
      <c r="Y11" s="185"/>
      <c r="Z11" s="186"/>
      <c r="AA11" s="186"/>
      <c r="AB11" s="186"/>
      <c r="AC11" s="186"/>
      <c r="AD11" s="186"/>
      <c r="AE11" s="186"/>
      <c r="AF11" s="186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46304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8.4</v>
      </c>
      <c r="S12" s="45">
        <f t="shared" si="0"/>
        <v>0</v>
      </c>
      <c r="T12" s="45">
        <f t="shared" si="1"/>
        <v>-8.4</v>
      </c>
      <c r="U12" s="46">
        <f t="shared" si="8"/>
        <v>-254.56000000000012</v>
      </c>
      <c r="V12" s="159"/>
      <c r="W12" s="161"/>
      <c r="X12" s="48">
        <f>V12+W12*Summen!$B$44</f>
        <v>0</v>
      </c>
      <c r="Y12" s="128"/>
      <c r="Z12" s="129"/>
      <c r="AA12" s="129"/>
      <c r="AB12" s="129"/>
      <c r="AC12" s="129"/>
      <c r="AD12" s="129"/>
      <c r="AE12" s="129"/>
      <c r="AF12" s="129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46305</v>
      </c>
      <c r="B13" s="42" t="str">
        <f>IFERROR(VLOOKUP(A13, Feiertage!$B:$C, 2, 0), IF(OR(WEEKDAY(A13,2)=6, WEEKDAY(A13,2)=7), Feiertage!$C$23, ""))</f>
        <v>* * * * * * * * Wochenende * * * * * * * * * * * * * * * * * * * * * * * * * * * * * * * * * * * * * * * * * * * * * * * *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0</v>
      </c>
      <c r="S13" s="45">
        <f t="shared" si="0"/>
        <v>0</v>
      </c>
      <c r="T13" s="45">
        <f t="shared" si="1"/>
        <v>0</v>
      </c>
      <c r="U13" s="46">
        <f t="shared" si="8"/>
        <v>-254.56000000000012</v>
      </c>
      <c r="V13" s="42"/>
      <c r="W13" s="47"/>
      <c r="X13" s="48">
        <f>V13+W13*Summen!$B$44</f>
        <v>0</v>
      </c>
      <c r="Y13" s="185"/>
      <c r="Z13" s="186"/>
      <c r="AA13" s="186"/>
      <c r="AB13" s="186"/>
      <c r="AC13" s="186"/>
      <c r="AD13" s="186"/>
      <c r="AE13" s="186"/>
      <c r="AF13" s="186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46306</v>
      </c>
      <c r="B14" s="159" t="str">
        <f>IFERROR(VLOOKUP(A14, Feiertage!$B:$C, 2, 0), IF(OR(WEEKDAY(A14,2)=6, WEEKDAY(A14,2)=7), Feiertage!$C$23, ""))</f>
        <v>* * * * * * * * Wochenende * * * * * * * * * * * * * * * * * * * * * * * * * * * * * * * * * * * * * * * * * * * * * * * *</v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0</v>
      </c>
      <c r="S14" s="45">
        <f t="shared" si="0"/>
        <v>0</v>
      </c>
      <c r="T14" s="45">
        <f t="shared" si="1"/>
        <v>0</v>
      </c>
      <c r="U14" s="46">
        <f t="shared" si="8"/>
        <v>-254.56000000000012</v>
      </c>
      <c r="V14" s="159"/>
      <c r="W14" s="161"/>
      <c r="X14" s="48">
        <f>V14+W14*Summen!$B$44</f>
        <v>0</v>
      </c>
      <c r="Y14" s="128"/>
      <c r="Z14" s="129"/>
      <c r="AA14" s="129"/>
      <c r="AB14" s="129"/>
      <c r="AC14" s="129"/>
      <c r="AD14" s="129"/>
      <c r="AE14" s="129"/>
      <c r="AF14" s="129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46307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8.4</v>
      </c>
      <c r="S15" s="45">
        <f t="shared" si="0"/>
        <v>0</v>
      </c>
      <c r="T15" s="45">
        <f t="shared" si="1"/>
        <v>-8.4</v>
      </c>
      <c r="U15" s="46">
        <f t="shared" si="8"/>
        <v>-262.96000000000009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46308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8.4</v>
      </c>
      <c r="S16" s="45">
        <f t="shared" si="0"/>
        <v>0</v>
      </c>
      <c r="T16" s="45">
        <f t="shared" si="1"/>
        <v>-8.4</v>
      </c>
      <c r="U16" s="46">
        <f t="shared" si="8"/>
        <v>-271.36000000000007</v>
      </c>
      <c r="V16" s="159"/>
      <c r="W16" s="161"/>
      <c r="X16" s="48">
        <f>V16+W16*Summen!$B$44</f>
        <v>0</v>
      </c>
      <c r="Y16" s="128"/>
      <c r="Z16" s="129"/>
      <c r="AA16" s="129"/>
      <c r="AB16" s="129"/>
      <c r="AC16" s="129"/>
      <c r="AD16" s="129"/>
      <c r="AE16" s="129"/>
      <c r="AF16" s="129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46309</v>
      </c>
      <c r="B17" s="42" t="str">
        <f>IFERROR(VLOOKUP(A17, Feiertage!$B:$C, 2, 0), IF(OR(WEEKDAY(A17,2)=6, WEEKDAY(A17,2)=7), Feiertage!$C$23, ""))</f>
        <v/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8.4</v>
      </c>
      <c r="S17" s="45">
        <f t="shared" si="0"/>
        <v>0</v>
      </c>
      <c r="T17" s="45">
        <f t="shared" si="1"/>
        <v>-8.4</v>
      </c>
      <c r="U17" s="46">
        <f t="shared" si="8"/>
        <v>-279.76000000000005</v>
      </c>
      <c r="V17" s="42"/>
      <c r="W17" s="47"/>
      <c r="X17" s="48">
        <f>V17+W17*Summen!$B$44</f>
        <v>0</v>
      </c>
      <c r="Y17" s="185"/>
      <c r="Z17" s="186"/>
      <c r="AA17" s="186"/>
      <c r="AB17" s="186"/>
      <c r="AC17" s="186"/>
      <c r="AD17" s="186"/>
      <c r="AE17" s="186"/>
      <c r="AF17" s="186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46310</v>
      </c>
      <c r="B18" s="159" t="str">
        <f>IFERROR(VLOOKUP(A18, Feiertage!$B:$C, 2, 0), IF(OR(WEEKDAY(A18,2)=6, WEEKDAY(A18,2)=7), Feiertage!$C$23, ""))</f>
        <v/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8.4</v>
      </c>
      <c r="S18" s="45">
        <f t="shared" si="0"/>
        <v>0</v>
      </c>
      <c r="T18" s="45">
        <f t="shared" si="1"/>
        <v>-8.4</v>
      </c>
      <c r="U18" s="46">
        <f t="shared" si="8"/>
        <v>-288.16000000000003</v>
      </c>
      <c r="V18" s="159"/>
      <c r="W18" s="161"/>
      <c r="X18" s="48">
        <f>V18+W18*Summen!$B$44</f>
        <v>0</v>
      </c>
      <c r="Y18" s="128"/>
      <c r="Z18" s="129"/>
      <c r="AA18" s="129"/>
      <c r="AB18" s="129"/>
      <c r="AC18" s="129"/>
      <c r="AD18" s="129"/>
      <c r="AE18" s="129"/>
      <c r="AF18" s="129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46311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0</v>
      </c>
      <c r="T19" s="45">
        <f t="shared" si="1"/>
        <v>-8.4</v>
      </c>
      <c r="U19" s="46">
        <f t="shared" si="8"/>
        <v>-296.56</v>
      </c>
      <c r="V19" s="42"/>
      <c r="W19" s="47"/>
      <c r="X19" s="48">
        <f>V19+W19*Summen!$B$44</f>
        <v>0</v>
      </c>
      <c r="Y19" s="185"/>
      <c r="Z19" s="186"/>
      <c r="AA19" s="186"/>
      <c r="AB19" s="186"/>
      <c r="AC19" s="186"/>
      <c r="AD19" s="186"/>
      <c r="AE19" s="186"/>
      <c r="AF19" s="186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46312</v>
      </c>
      <c r="B20" s="159" t="str">
        <f>IFERROR(VLOOKUP(A20, Feiertage!$B:$C, 2, 0), IF(OR(WEEKDAY(A20,2)=6, WEEKDAY(A20,2)=7), Feiertage!$C$23, ""))</f>
        <v>* * * * * * * * Wochenende * * * * * * * * * * * * * * * * * * * * * * * * * * * * * * * * * * * * * * * * * * * * * * * *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0</v>
      </c>
      <c r="S20" s="45">
        <f t="shared" si="0"/>
        <v>0</v>
      </c>
      <c r="T20" s="45">
        <f t="shared" si="1"/>
        <v>0</v>
      </c>
      <c r="U20" s="46">
        <f t="shared" si="8"/>
        <v>-296.56</v>
      </c>
      <c r="V20" s="159"/>
      <c r="W20" s="161"/>
      <c r="X20" s="48">
        <f>V20+W20*Summen!$B$44</f>
        <v>0</v>
      </c>
      <c r="Y20" s="128"/>
      <c r="Z20" s="129"/>
      <c r="AA20" s="129"/>
      <c r="AB20" s="129"/>
      <c r="AC20" s="129"/>
      <c r="AD20" s="129"/>
      <c r="AE20" s="129"/>
      <c r="AF20" s="129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46313</v>
      </c>
      <c r="B21" s="42" t="str">
        <f>IFERROR(VLOOKUP(A21, Feiertage!$B:$C, 2, 0), IF(OR(WEEKDAY(A21,2)=6, WEEKDAY(A21,2)=7), Feiertage!$C$23, ""))</f>
        <v>* * * * * * * * Wochenende * * * * * * * * * * * * * * * * * * * * * * * * * * * * * * * * * * * * * * * * * * * * * * * *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0</v>
      </c>
      <c r="S21" s="45">
        <f t="shared" si="0"/>
        <v>0</v>
      </c>
      <c r="T21" s="45">
        <f t="shared" si="1"/>
        <v>0</v>
      </c>
      <c r="U21" s="46">
        <f t="shared" si="8"/>
        <v>-296.56</v>
      </c>
      <c r="V21" s="42"/>
      <c r="W21" s="47"/>
      <c r="X21" s="48">
        <f>V21+W21*Summen!$B$44</f>
        <v>0</v>
      </c>
      <c r="Y21" s="185"/>
      <c r="Z21" s="186"/>
      <c r="AA21" s="186"/>
      <c r="AB21" s="186"/>
      <c r="AC21" s="186"/>
      <c r="AD21" s="186"/>
      <c r="AE21" s="186"/>
      <c r="AF21" s="186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46314</v>
      </c>
      <c r="B22" s="159" t="str">
        <f>IFERROR(VLOOKUP(A22, Feiertage!$B:$C, 2, 0), IF(OR(WEEKDAY(A22,2)=6, WEEKDAY(A22,2)=7), Feiertage!$C$23, ""))</f>
        <v/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8.4</v>
      </c>
      <c r="S22" s="45">
        <f t="shared" si="0"/>
        <v>0</v>
      </c>
      <c r="T22" s="45">
        <f t="shared" si="1"/>
        <v>-8.4</v>
      </c>
      <c r="U22" s="46">
        <f t="shared" si="8"/>
        <v>-304.95999999999998</v>
      </c>
      <c r="V22" s="159"/>
      <c r="W22" s="161"/>
      <c r="X22" s="48">
        <f>V22+W22*Summen!$B$44</f>
        <v>0</v>
      </c>
      <c r="Y22" s="128"/>
      <c r="Z22" s="129"/>
      <c r="AA22" s="129"/>
      <c r="AB22" s="129"/>
      <c r="AC22" s="129"/>
      <c r="AD22" s="129"/>
      <c r="AE22" s="129"/>
      <c r="AF22" s="129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46315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8.4</v>
      </c>
      <c r="S23" s="45">
        <f t="shared" si="0"/>
        <v>0</v>
      </c>
      <c r="T23" s="45">
        <f t="shared" si="1"/>
        <v>-8.4</v>
      </c>
      <c r="U23" s="46">
        <f t="shared" si="8"/>
        <v>-313.35999999999996</v>
      </c>
      <c r="V23" s="42"/>
      <c r="W23" s="47"/>
      <c r="X23" s="48">
        <f>V23+W23*Summen!$B$44</f>
        <v>0</v>
      </c>
      <c r="Y23" s="185"/>
      <c r="Z23" s="186"/>
      <c r="AA23" s="186"/>
      <c r="AB23" s="186"/>
      <c r="AC23" s="186"/>
      <c r="AD23" s="186"/>
      <c r="AE23" s="186"/>
      <c r="AF23" s="186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46316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8.4</v>
      </c>
      <c r="S24" s="45">
        <f t="shared" si="0"/>
        <v>0</v>
      </c>
      <c r="T24" s="45">
        <f t="shared" si="1"/>
        <v>-8.4</v>
      </c>
      <c r="U24" s="46">
        <f t="shared" si="8"/>
        <v>-321.75999999999993</v>
      </c>
      <c r="V24" s="159"/>
      <c r="W24" s="161"/>
      <c r="X24" s="48">
        <f>V24+W24*Summen!$B$44</f>
        <v>0</v>
      </c>
      <c r="Y24" s="128"/>
      <c r="Z24" s="129"/>
      <c r="AA24" s="129"/>
      <c r="AB24" s="129"/>
      <c r="AC24" s="129"/>
      <c r="AD24" s="129"/>
      <c r="AE24" s="129"/>
      <c r="AF24" s="129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46317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8.4</v>
      </c>
      <c r="S25" s="45">
        <f t="shared" si="0"/>
        <v>0</v>
      </c>
      <c r="T25" s="45">
        <f t="shared" si="1"/>
        <v>-8.4</v>
      </c>
      <c r="U25" s="46">
        <f t="shared" si="8"/>
        <v>-330.15999999999991</v>
      </c>
      <c r="V25" s="42"/>
      <c r="W25" s="47"/>
      <c r="X25" s="48">
        <f>V25+W25*Summen!$B$44</f>
        <v>0</v>
      </c>
      <c r="Y25" s="185"/>
      <c r="Z25" s="186"/>
      <c r="AA25" s="186"/>
      <c r="AB25" s="186"/>
      <c r="AC25" s="186"/>
      <c r="AD25" s="186"/>
      <c r="AE25" s="186"/>
      <c r="AF25" s="186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46318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0</v>
      </c>
      <c r="T26" s="45">
        <f t="shared" si="1"/>
        <v>-8.4</v>
      </c>
      <c r="U26" s="46">
        <f t="shared" si="8"/>
        <v>-338.55999999999989</v>
      </c>
      <c r="V26" s="159"/>
      <c r="W26" s="161"/>
      <c r="X26" s="48">
        <f>V26+W26*Summen!$B$44</f>
        <v>0</v>
      </c>
      <c r="Y26" s="128"/>
      <c r="Z26" s="129"/>
      <c r="AA26" s="129"/>
      <c r="AB26" s="129"/>
      <c r="AC26" s="129"/>
      <c r="AD26" s="129"/>
      <c r="AE26" s="129"/>
      <c r="AF26" s="129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46319</v>
      </c>
      <c r="B27" s="42" t="str">
        <f>IFERROR(VLOOKUP(A27, Feiertage!$B:$C, 2, 0), IF(OR(WEEKDAY(A27,2)=6, WEEKDAY(A27,2)=7), Feiertage!$C$23, ""))</f>
        <v>* * * * * * * * Wochenende * * * * * * * * * * * * * * * * * * * * * * * * * * * * * * * * * * * * * * * * * * * * * * * *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0</v>
      </c>
      <c r="S27" s="45">
        <f t="shared" si="0"/>
        <v>0</v>
      </c>
      <c r="T27" s="45">
        <f t="shared" si="1"/>
        <v>0</v>
      </c>
      <c r="U27" s="46">
        <f t="shared" si="8"/>
        <v>-338.55999999999989</v>
      </c>
      <c r="V27" s="42"/>
      <c r="W27" s="47"/>
      <c r="X27" s="48">
        <f>V27+W27*Summen!$B$44</f>
        <v>0</v>
      </c>
      <c r="Y27" s="185"/>
      <c r="Z27" s="186"/>
      <c r="AA27" s="186"/>
      <c r="AB27" s="186"/>
      <c r="AC27" s="186"/>
      <c r="AD27" s="186"/>
      <c r="AE27" s="186"/>
      <c r="AF27" s="186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46320</v>
      </c>
      <c r="B28" s="159" t="str">
        <f>IFERROR(VLOOKUP(A28, Feiertage!$B:$C, 2, 0), IF(OR(WEEKDAY(A28,2)=6, WEEKDAY(A28,2)=7), Feiertage!$C$23, ""))</f>
        <v>* * * * * * * * Wochenende * * * * * * * * * * * * * * * * * * * * * * * * * * * * * * * * * * * * * * * * * * * * * * * *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0</v>
      </c>
      <c r="S28" s="45">
        <f t="shared" si="0"/>
        <v>0</v>
      </c>
      <c r="T28" s="45">
        <f t="shared" si="1"/>
        <v>0</v>
      </c>
      <c r="U28" s="46">
        <f t="shared" si="8"/>
        <v>-338.55999999999989</v>
      </c>
      <c r="V28" s="159"/>
      <c r="W28" s="161"/>
      <c r="X28" s="48">
        <f>V28+W28*Summen!$B$44</f>
        <v>0</v>
      </c>
      <c r="Y28" s="128"/>
      <c r="Z28" s="129"/>
      <c r="AA28" s="129"/>
      <c r="AB28" s="129"/>
      <c r="AC28" s="129"/>
      <c r="AD28" s="129"/>
      <c r="AE28" s="129"/>
      <c r="AF28" s="129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46321</v>
      </c>
      <c r="B29" s="42" t="str">
        <f>IFERROR(VLOOKUP(A29, Feiertage!$B:$C, 2, 0), IF(OR(WEEKDAY(A29,2)=6, WEEKDAY(A29,2)=7), Feiertage!$C$23, ""))</f>
        <v/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8.4</v>
      </c>
      <c r="S29" s="45">
        <f t="shared" si="0"/>
        <v>0</v>
      </c>
      <c r="T29" s="45">
        <f t="shared" si="1"/>
        <v>-8.4</v>
      </c>
      <c r="U29" s="46">
        <f t="shared" si="8"/>
        <v>-346.95999999999987</v>
      </c>
      <c r="V29" s="42"/>
      <c r="W29" s="47"/>
      <c r="X29" s="48">
        <f>V29+W29*Summen!$B$44</f>
        <v>0</v>
      </c>
      <c r="Y29" s="185"/>
      <c r="Z29" s="186"/>
      <c r="AA29" s="186"/>
      <c r="AB29" s="186"/>
      <c r="AC29" s="186"/>
      <c r="AD29" s="186"/>
      <c r="AE29" s="186"/>
      <c r="AF29" s="186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46322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8.4</v>
      </c>
      <c r="S30" s="45">
        <f t="shared" si="0"/>
        <v>0</v>
      </c>
      <c r="T30" s="45">
        <f t="shared" si="1"/>
        <v>-8.4</v>
      </c>
      <c r="U30" s="46">
        <f t="shared" si="8"/>
        <v>-355.35999999999984</v>
      </c>
      <c r="V30" s="159"/>
      <c r="W30" s="161"/>
      <c r="X30" s="48">
        <f>V30+W30*Summen!$B$44</f>
        <v>0</v>
      </c>
      <c r="Y30" s="128"/>
      <c r="Z30" s="129"/>
      <c r="AA30" s="129"/>
      <c r="AB30" s="129"/>
      <c r="AC30" s="129"/>
      <c r="AD30" s="129"/>
      <c r="AE30" s="129"/>
      <c r="AF30" s="129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46323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8.4</v>
      </c>
      <c r="S31" s="45">
        <f t="shared" si="0"/>
        <v>0</v>
      </c>
      <c r="T31" s="45">
        <f t="shared" si="1"/>
        <v>-8.4</v>
      </c>
      <c r="U31" s="46">
        <f t="shared" si="8"/>
        <v>-363.75999999999982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46324</v>
      </c>
      <c r="B32" s="159" t="str">
        <f>IFERROR(VLOOKUP(A32, Feiertage!$B:$C, 2, 0), IF(OR(WEEKDAY(A32,2)=6, WEEKDAY(A32,2)=7), Feiertage!$C$23, ""))</f>
        <v/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8.4</v>
      </c>
      <c r="S32" s="45">
        <f t="shared" si="0"/>
        <v>0</v>
      </c>
      <c r="T32" s="45">
        <f t="shared" si="1"/>
        <v>-8.4</v>
      </c>
      <c r="U32" s="46">
        <f t="shared" si="8"/>
        <v>-372.1599999999998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39">
        <f t="shared" si="7"/>
        <v>46325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45">
        <f t="shared" si="0"/>
        <v>0</v>
      </c>
      <c r="T33" s="45">
        <f t="shared" si="1"/>
        <v>-8.4</v>
      </c>
      <c r="U33" s="46">
        <f t="shared" si="8"/>
        <v>-380.55999999999977</v>
      </c>
      <c r="V33" s="42"/>
      <c r="W33" s="47"/>
      <c r="X33" s="48">
        <f>V33+W33*Summen!$B$44</f>
        <v>0</v>
      </c>
      <c r="Y33" s="185"/>
      <c r="Z33" s="186"/>
      <c r="AA33" s="186"/>
      <c r="AB33" s="186"/>
      <c r="AC33" s="186"/>
      <c r="AD33" s="186"/>
      <c r="AE33" s="186"/>
      <c r="AF33" s="186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</row>
    <row r="34" spans="1:38" ht="13.5" customHeight="1">
      <c r="A34" s="60">
        <f t="shared" si="7"/>
        <v>46326</v>
      </c>
      <c r="B34" s="159" t="str">
        <f>IFERROR(VLOOKUP(A34, Feiertage!$B:$C, 2, 0), IF(OR(WEEKDAY(A34,2)=6, WEEKDAY(A34,2)=7), Feiertage!$C$23, ""))</f>
        <v>* * * * * * * * Wochenende * * * * * * * * * * * * * * * * * * * * * * * * * * * * * * * * * * * * * * * * * * * * * * * *</v>
      </c>
      <c r="C34" s="159"/>
      <c r="D34" s="159"/>
      <c r="E34" s="159"/>
      <c r="F34" s="159"/>
      <c r="G34" s="159"/>
      <c r="H34" s="159"/>
      <c r="I34" s="159"/>
      <c r="J34" s="159"/>
      <c r="K34" s="166"/>
      <c r="L34" s="166"/>
      <c r="M34" s="166"/>
      <c r="N34" s="166"/>
      <c r="O34" s="166"/>
      <c r="P34" s="166"/>
      <c r="Q34" s="167"/>
      <c r="R34" s="44">
        <f>IF(OR(WEEKDAY(A34,2)=6,WEEKDAY(A34,2)=7),0,IFERROR(IF(VLOOKUP(A34,Feiertage!$B:$D,3,0)="ja",0,Summen!$B$9),Summen!$B$9))</f>
        <v>0</v>
      </c>
      <c r="S34" s="61">
        <f t="shared" si="0"/>
        <v>0</v>
      </c>
      <c r="T34" s="61">
        <f t="shared" si="1"/>
        <v>0</v>
      </c>
      <c r="U34" s="62">
        <f t="shared" si="8"/>
        <v>-380.55999999999977</v>
      </c>
      <c r="V34" s="159"/>
      <c r="W34" s="161"/>
      <c r="X34" s="48">
        <f>V34+W34*Summen!$B$44</f>
        <v>0</v>
      </c>
      <c r="Y34" s="128"/>
      <c r="Z34" s="129"/>
      <c r="AA34" s="129"/>
      <c r="AB34" s="129"/>
      <c r="AC34" s="129"/>
      <c r="AD34" s="129"/>
      <c r="AE34" s="129"/>
      <c r="AF34" s="129"/>
      <c r="AG34" s="63">
        <f t="shared" si="2"/>
        <v>0</v>
      </c>
      <c r="AH34" s="61">
        <f t="shared" si="3"/>
        <v>0</v>
      </c>
      <c r="AI34" s="61">
        <f t="shared" si="4"/>
        <v>0</v>
      </c>
      <c r="AJ34" s="62">
        <f t="shared" si="5"/>
        <v>0</v>
      </c>
      <c r="AL34" s="37">
        <f t="shared" si="6"/>
        <v>0</v>
      </c>
    </row>
    <row r="35" spans="1:38" ht="18" customHeight="1">
      <c r="A35" s="64" t="s">
        <v>32</v>
      </c>
      <c r="B35" s="108"/>
      <c r="C35" s="168">
        <f t="shared" ref="C35:T35" si="9">SUM(C4:C34)</f>
        <v>0</v>
      </c>
      <c r="D35" s="168">
        <f t="shared" si="9"/>
        <v>0</v>
      </c>
      <c r="E35" s="168">
        <f t="shared" si="9"/>
        <v>0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0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184.80000000000007</v>
      </c>
      <c r="S35" s="169">
        <f t="shared" si="9"/>
        <v>0</v>
      </c>
      <c r="T35" s="169">
        <f t="shared" si="9"/>
        <v>-184.80000000000007</v>
      </c>
      <c r="U35" s="67">
        <f>U34</f>
        <v>-380.55999999999977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87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124">
        <f>SUM(AJ4:AJ34)</f>
        <v>0</v>
      </c>
      <c r="AL35" s="37">
        <f t="shared" si="6"/>
        <v>0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C39B69B-A9EA-43B3-890E-81A8386A83A6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FCDE70AF-BB9B-412F-8DC8-A396BB8F459B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Okt!P1+31</f>
        <v>46327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Okt!X1+1</f>
        <v>11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19" t="s">
        <v>5</v>
      </c>
      <c r="D2" s="179"/>
      <c r="E2" s="180">
        <f>Summen!B18</f>
        <v>10.8</v>
      </c>
      <c r="F2" s="179" t="s">
        <v>6</v>
      </c>
      <c r="G2" s="179"/>
      <c r="H2" s="180">
        <f>Okt!H2+(Okt!Q35/Summen!B9)</f>
        <v>2</v>
      </c>
      <c r="I2" s="179" t="s">
        <v>7</v>
      </c>
      <c r="J2" s="181">
        <f>E2-H2</f>
        <v>8.8000000000000007</v>
      </c>
      <c r="K2" s="179"/>
      <c r="L2" s="179"/>
      <c r="M2" s="179"/>
      <c r="N2" s="179"/>
      <c r="O2" s="179"/>
      <c r="P2" s="179"/>
      <c r="Q2" s="179"/>
      <c r="R2" s="182"/>
      <c r="S2" s="119"/>
      <c r="T2" s="183" t="s">
        <v>8</v>
      </c>
      <c r="U2" s="120">
        <f>Okt!U35</f>
        <v>-380.55999999999977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5"/>
      <c r="AG2" s="9"/>
      <c r="AH2" s="75"/>
      <c r="AI2" s="75"/>
      <c r="AJ2" s="127"/>
      <c r="AK2" s="7"/>
      <c r="AL2" s="7"/>
    </row>
    <row r="3" spans="1:38" ht="69.75" customHeight="1">
      <c r="A3" s="22" t="s">
        <v>10</v>
      </c>
      <c r="B3" s="147"/>
      <c r="C3" s="93"/>
      <c r="D3" s="94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46327</v>
      </c>
      <c r="B4" s="159" t="str">
        <f>IFERROR(VLOOKUP(A4, Feiertage!$B:$C, 2, 0), IF(OR(WEEKDAY(A4,2)=6, WEEKDAY(A4,2)=7), Feiertage!$C$23, ""))</f>
        <v>* * * * * * * * Allerheiligen * * * * * * * * * * * * * * * * * * * * * * * * * * * * * * * * * * * * * * * * * * * * * * * * *</v>
      </c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60"/>
      <c r="R4" s="44">
        <f>IF(OR(WEEKDAY(A4,2)=6,WEEKDAY(A4,2)=7),0,IFERROR(IF(VLOOKUP(A4,Feiertage!$B:$D,3,0)="ja",0,Summen!$B$9),Summen!$B$9))</f>
        <v>0</v>
      </c>
      <c r="S4" s="31">
        <f t="shared" ref="S4:S33" si="0">SUM(C4:Q4)</f>
        <v>0</v>
      </c>
      <c r="T4" s="31">
        <f t="shared" ref="T4:T33" si="1">S4-R4</f>
        <v>0</v>
      </c>
      <c r="U4" s="32">
        <f>U2+T4</f>
        <v>-380.55999999999977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3" si="2">(Z4-Y4)+(AB4-AA4)+(AD4-AC4)+(AF4-AE4)</f>
        <v>0</v>
      </c>
      <c r="AH4" s="31">
        <f t="shared" ref="AH4:AH33" si="3">HOUR(AG4)</f>
        <v>0</v>
      </c>
      <c r="AI4" s="31">
        <f t="shared" ref="AI4:AI33" si="4">MINUTE(AG4)/60</f>
        <v>0</v>
      </c>
      <c r="AJ4" s="32">
        <f t="shared" ref="AJ4:AJ33" si="5">AH4+AI4</f>
        <v>0</v>
      </c>
      <c r="AL4" s="37">
        <f t="shared" ref="AL4:AL34" si="6">SUM(C4:Q4)-AJ4</f>
        <v>0</v>
      </c>
    </row>
    <row r="5" spans="1:38" ht="13.5" customHeight="1">
      <c r="A5" s="39">
        <f t="shared" ref="A5:A33" si="7">A4+1</f>
        <v>46328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8.4</v>
      </c>
      <c r="S5" s="45">
        <f t="shared" si="0"/>
        <v>0</v>
      </c>
      <c r="T5" s="45">
        <f t="shared" si="1"/>
        <v>-8.4</v>
      </c>
      <c r="U5" s="46">
        <f t="shared" ref="U5:U33" si="8">U4+T5</f>
        <v>-388.95999999999975</v>
      </c>
      <c r="V5" s="42"/>
      <c r="W5" s="47"/>
      <c r="X5" s="48">
        <f>V5+W5*Summen!$B$44</f>
        <v>0</v>
      </c>
      <c r="Y5" s="185"/>
      <c r="Z5" s="186"/>
      <c r="AA5" s="186"/>
      <c r="AB5" s="186"/>
      <c r="AC5" s="186"/>
      <c r="AD5" s="186"/>
      <c r="AE5" s="186"/>
      <c r="AF5" s="186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46329</v>
      </c>
      <c r="B6" s="159" t="str">
        <f>IFERROR(VLOOKUP(A6, Feiertage!$B:$C, 2, 0), IF(OR(WEEKDAY(A6,2)=6, WEEKDAY(A6,2)=7), Feiertage!$C$23, ""))</f>
        <v/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8.4</v>
      </c>
      <c r="S6" s="45">
        <f t="shared" si="0"/>
        <v>0</v>
      </c>
      <c r="T6" s="45">
        <f t="shared" si="1"/>
        <v>-8.4</v>
      </c>
      <c r="U6" s="46">
        <f t="shared" si="8"/>
        <v>-397.35999999999973</v>
      </c>
      <c r="V6" s="159"/>
      <c r="W6" s="161"/>
      <c r="X6" s="48">
        <f>V6+W6*Summen!$B$44</f>
        <v>0</v>
      </c>
      <c r="Y6" s="128"/>
      <c r="Z6" s="129"/>
      <c r="AA6" s="129"/>
      <c r="AB6" s="129"/>
      <c r="AC6" s="129"/>
      <c r="AD6" s="129"/>
      <c r="AE6" s="129"/>
      <c r="AF6" s="129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46330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8.4</v>
      </c>
      <c r="S7" s="45">
        <f t="shared" si="0"/>
        <v>0</v>
      </c>
      <c r="T7" s="45">
        <f t="shared" si="1"/>
        <v>-8.4</v>
      </c>
      <c r="U7" s="46">
        <f t="shared" si="8"/>
        <v>-405.75999999999971</v>
      </c>
      <c r="V7" s="42"/>
      <c r="W7" s="47"/>
      <c r="X7" s="48">
        <f>V7+W7*Summen!$B$44</f>
        <v>0</v>
      </c>
      <c r="Y7" s="185"/>
      <c r="Z7" s="186"/>
      <c r="AA7" s="186"/>
      <c r="AB7" s="186"/>
      <c r="AC7" s="186"/>
      <c r="AD7" s="186"/>
      <c r="AE7" s="186"/>
      <c r="AF7" s="186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46331</v>
      </c>
      <c r="B8" s="159" t="str">
        <f>IFERROR(VLOOKUP(A8, Feiertage!$B:$C, 2, 0), IF(OR(WEEKDAY(A8,2)=6, WEEKDAY(A8,2)=7), Feiertage!$C$23, ""))</f>
        <v/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f>IF(OR(WEEKDAY(A8,2)=6,WEEKDAY(A8,2)=7),0,IFERROR(IF(VLOOKUP(A8,Feiertage!$B:$D,3,0)="ja",0,Summen!$B$9),Summen!$B$9))</f>
        <v>8.4</v>
      </c>
      <c r="S8" s="45">
        <f t="shared" si="0"/>
        <v>0</v>
      </c>
      <c r="T8" s="45">
        <f t="shared" si="1"/>
        <v>-8.4</v>
      </c>
      <c r="U8" s="46">
        <f t="shared" si="8"/>
        <v>-414.15999999999968</v>
      </c>
      <c r="V8" s="159"/>
      <c r="W8" s="161"/>
      <c r="X8" s="48">
        <f>V8+W8*Summen!$B$44</f>
        <v>0</v>
      </c>
      <c r="Y8" s="128"/>
      <c r="Z8" s="129"/>
      <c r="AA8" s="129"/>
      <c r="AB8" s="129"/>
      <c r="AC8" s="129"/>
      <c r="AD8" s="129"/>
      <c r="AE8" s="129"/>
      <c r="AF8" s="129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46332</v>
      </c>
      <c r="B9" s="42" t="str">
        <f>IFERROR(VLOOKUP(A9, Feiertage!$B:$C, 2, 0), IF(OR(WEEKDAY(A9,2)=6, WEEKDAY(A9,2)=7), Feiertage!$C$23, ""))</f>
        <v/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8.4</v>
      </c>
      <c r="S9" s="45">
        <f t="shared" si="0"/>
        <v>0</v>
      </c>
      <c r="T9" s="45">
        <f t="shared" si="1"/>
        <v>-8.4</v>
      </c>
      <c r="U9" s="46">
        <f t="shared" si="8"/>
        <v>-422.55999999999966</v>
      </c>
      <c r="V9" s="42"/>
      <c r="W9" s="47"/>
      <c r="X9" s="48">
        <f>V9+W9*Summen!$B$44</f>
        <v>0</v>
      </c>
      <c r="Y9" s="185"/>
      <c r="Z9" s="186"/>
      <c r="AA9" s="186"/>
      <c r="AB9" s="186"/>
      <c r="AC9" s="186"/>
      <c r="AD9" s="186"/>
      <c r="AE9" s="186"/>
      <c r="AF9" s="186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46333</v>
      </c>
      <c r="B10" s="159" t="str">
        <f>IFERROR(VLOOKUP(A10, Feiertage!$B:$C, 2, 0), IF(OR(WEEKDAY(A10,2)=6, WEEKDAY(A10,2)=7), Feiertage!$C$23, ""))</f>
        <v>* * * * * * * * Wochenende * * * * * * * * * * * * * * * * * * * * * * * * * * * * * * * * * * * * * * * * * * * * * * * *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0</v>
      </c>
      <c r="S10" s="45">
        <f t="shared" si="0"/>
        <v>0</v>
      </c>
      <c r="T10" s="45">
        <f t="shared" si="1"/>
        <v>0</v>
      </c>
      <c r="U10" s="46">
        <f t="shared" si="8"/>
        <v>-422.55999999999966</v>
      </c>
      <c r="V10" s="159"/>
      <c r="W10" s="161"/>
      <c r="X10" s="48">
        <f>V10+W10*Summen!$B$44</f>
        <v>0</v>
      </c>
      <c r="Y10" s="128"/>
      <c r="Z10" s="129"/>
      <c r="AA10" s="129"/>
      <c r="AB10" s="129"/>
      <c r="AC10" s="129"/>
      <c r="AD10" s="129"/>
      <c r="AE10" s="129"/>
      <c r="AF10" s="129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46334</v>
      </c>
      <c r="B11" s="42" t="str">
        <f>IFERROR(VLOOKUP(A11, Feiertage!$B:$C, 2, 0), IF(OR(WEEKDAY(A11,2)=6, WEEKDAY(A11,2)=7), Feiertage!$C$23, ""))</f>
        <v>* * * * * * * * Wochenende * * * * * * * * * * * * * * * * * * * * * * * * * * * * * * * * * * * * * * * * * * * * * * * *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0</v>
      </c>
      <c r="S11" s="45">
        <f t="shared" si="0"/>
        <v>0</v>
      </c>
      <c r="T11" s="45">
        <f t="shared" si="1"/>
        <v>0</v>
      </c>
      <c r="U11" s="46">
        <f t="shared" si="8"/>
        <v>-422.55999999999966</v>
      </c>
      <c r="V11" s="42"/>
      <c r="W11" s="47"/>
      <c r="X11" s="48">
        <f>V11+W11*Summen!$B$44</f>
        <v>0</v>
      </c>
      <c r="Y11" s="185"/>
      <c r="Z11" s="186"/>
      <c r="AA11" s="186"/>
      <c r="AB11" s="186"/>
      <c r="AC11" s="186"/>
      <c r="AD11" s="186"/>
      <c r="AE11" s="186"/>
      <c r="AF11" s="186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46335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8.4</v>
      </c>
      <c r="S12" s="45">
        <f t="shared" si="0"/>
        <v>0</v>
      </c>
      <c r="T12" s="45">
        <f t="shared" si="1"/>
        <v>-8.4</v>
      </c>
      <c r="U12" s="46">
        <f t="shared" si="8"/>
        <v>-430.95999999999964</v>
      </c>
      <c r="V12" s="159"/>
      <c r="W12" s="161"/>
      <c r="X12" s="48">
        <f>V12+W12*Summen!$B$44</f>
        <v>0</v>
      </c>
      <c r="Y12" s="128"/>
      <c r="Z12" s="129"/>
      <c r="AA12" s="129"/>
      <c r="AB12" s="129"/>
      <c r="AC12" s="129"/>
      <c r="AD12" s="129"/>
      <c r="AE12" s="129"/>
      <c r="AF12" s="129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46336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8.4</v>
      </c>
      <c r="S13" s="45">
        <f t="shared" si="0"/>
        <v>0</v>
      </c>
      <c r="T13" s="45">
        <f t="shared" si="1"/>
        <v>-8.4</v>
      </c>
      <c r="U13" s="46">
        <f t="shared" si="8"/>
        <v>-439.35999999999962</v>
      </c>
      <c r="V13" s="42"/>
      <c r="W13" s="47"/>
      <c r="X13" s="48">
        <f>V13+W13*Summen!$B$44</f>
        <v>0</v>
      </c>
      <c r="Y13" s="185"/>
      <c r="Z13" s="186"/>
      <c r="AA13" s="186"/>
      <c r="AB13" s="186"/>
      <c r="AC13" s="186"/>
      <c r="AD13" s="186"/>
      <c r="AE13" s="186"/>
      <c r="AF13" s="186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46337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8.4</v>
      </c>
      <c r="S14" s="45">
        <f t="shared" si="0"/>
        <v>0</v>
      </c>
      <c r="T14" s="45">
        <f t="shared" si="1"/>
        <v>-8.4</v>
      </c>
      <c r="U14" s="46">
        <f t="shared" si="8"/>
        <v>-447.75999999999959</v>
      </c>
      <c r="V14" s="159"/>
      <c r="W14" s="161"/>
      <c r="X14" s="48">
        <f>V14+W14*Summen!$B$44</f>
        <v>0</v>
      </c>
      <c r="Y14" s="128"/>
      <c r="Z14" s="129"/>
      <c r="AA14" s="129"/>
      <c r="AB14" s="129"/>
      <c r="AC14" s="129"/>
      <c r="AD14" s="129"/>
      <c r="AE14" s="129"/>
      <c r="AF14" s="129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46338</v>
      </c>
      <c r="B15" s="42" t="str">
        <f>IFERROR(VLOOKUP(A15, Feiertage!$B:$C, 2, 0), IF(OR(WEEKDAY(A15,2)=6, WEEKDAY(A15,2)=7), Feiertage!$C$23, ""))</f>
        <v/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8.4</v>
      </c>
      <c r="S15" s="45">
        <f t="shared" si="0"/>
        <v>0</v>
      </c>
      <c r="T15" s="45">
        <f t="shared" si="1"/>
        <v>-8.4</v>
      </c>
      <c r="U15" s="46">
        <f t="shared" si="8"/>
        <v>-456.15999999999957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46339</v>
      </c>
      <c r="B16" s="159" t="str">
        <f>IFERROR(VLOOKUP(A16, Feiertage!$B:$C, 2, 0), IF(OR(WEEKDAY(A16,2)=6, WEEKDAY(A16,2)=7), Feiertage!$C$23, ""))</f>
        <v/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8.4</v>
      </c>
      <c r="S16" s="45">
        <f t="shared" si="0"/>
        <v>0</v>
      </c>
      <c r="T16" s="45">
        <f t="shared" si="1"/>
        <v>-8.4</v>
      </c>
      <c r="U16" s="46">
        <f t="shared" si="8"/>
        <v>-464.55999999999955</v>
      </c>
      <c r="V16" s="159"/>
      <c r="W16" s="161"/>
      <c r="X16" s="48">
        <f>V16+W16*Summen!$B$44</f>
        <v>0</v>
      </c>
      <c r="Y16" s="128"/>
      <c r="Z16" s="129"/>
      <c r="AA16" s="129"/>
      <c r="AB16" s="129"/>
      <c r="AC16" s="129"/>
      <c r="AD16" s="129"/>
      <c r="AE16" s="129"/>
      <c r="AF16" s="129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46340</v>
      </c>
      <c r="B17" s="42" t="str">
        <f>IFERROR(VLOOKUP(A17, Feiertage!$B:$C, 2, 0), IF(OR(WEEKDAY(A17,2)=6, WEEKDAY(A17,2)=7), Feiertage!$C$23, ""))</f>
        <v>* * * * * * * * Wochenende * * * * * * * * * * * * * * * * * * * * * * * * * * * * * * * * * * * * * * * * * * * * * * * *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0</v>
      </c>
      <c r="S17" s="45">
        <f t="shared" si="0"/>
        <v>0</v>
      </c>
      <c r="T17" s="45">
        <f t="shared" si="1"/>
        <v>0</v>
      </c>
      <c r="U17" s="46">
        <f t="shared" si="8"/>
        <v>-464.55999999999955</v>
      </c>
      <c r="V17" s="42"/>
      <c r="W17" s="47"/>
      <c r="X17" s="48">
        <f>V17+W17*Summen!$B$44</f>
        <v>0</v>
      </c>
      <c r="Y17" s="185"/>
      <c r="Z17" s="186"/>
      <c r="AA17" s="186"/>
      <c r="AB17" s="186"/>
      <c r="AC17" s="186"/>
      <c r="AD17" s="186"/>
      <c r="AE17" s="186"/>
      <c r="AF17" s="186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46341</v>
      </c>
      <c r="B18" s="159" t="str">
        <f>IFERROR(VLOOKUP(A18, Feiertage!$B:$C, 2, 0), IF(OR(WEEKDAY(A18,2)=6, WEEKDAY(A18,2)=7), Feiertage!$C$23, ""))</f>
        <v>* * * * * * * * Wochenende * * * * * * * * * * * * * * * * * * * * * * * * * * * * * * * * * * * * * * * * * * * * * * * *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0</v>
      </c>
      <c r="S18" s="45">
        <f t="shared" si="0"/>
        <v>0</v>
      </c>
      <c r="T18" s="45">
        <f t="shared" si="1"/>
        <v>0</v>
      </c>
      <c r="U18" s="46">
        <f t="shared" si="8"/>
        <v>-464.55999999999955</v>
      </c>
      <c r="V18" s="159"/>
      <c r="W18" s="161"/>
      <c r="X18" s="48">
        <f>V18+W18*Summen!$B$44</f>
        <v>0</v>
      </c>
      <c r="Y18" s="128"/>
      <c r="Z18" s="129"/>
      <c r="AA18" s="129"/>
      <c r="AB18" s="129"/>
      <c r="AC18" s="129"/>
      <c r="AD18" s="129"/>
      <c r="AE18" s="129"/>
      <c r="AF18" s="129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46342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0</v>
      </c>
      <c r="T19" s="45">
        <f t="shared" si="1"/>
        <v>-8.4</v>
      </c>
      <c r="U19" s="46">
        <f t="shared" si="8"/>
        <v>-472.95999999999952</v>
      </c>
      <c r="V19" s="42"/>
      <c r="W19" s="47"/>
      <c r="X19" s="48">
        <f>V19+W19*Summen!$B$44</f>
        <v>0</v>
      </c>
      <c r="Y19" s="185"/>
      <c r="Z19" s="186"/>
      <c r="AA19" s="186"/>
      <c r="AB19" s="186"/>
      <c r="AC19" s="186"/>
      <c r="AD19" s="186"/>
      <c r="AE19" s="186"/>
      <c r="AF19" s="186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46343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0</v>
      </c>
      <c r="T20" s="45">
        <f t="shared" si="1"/>
        <v>-8.4</v>
      </c>
      <c r="U20" s="46">
        <f t="shared" si="8"/>
        <v>-481.3599999999995</v>
      </c>
      <c r="V20" s="159"/>
      <c r="W20" s="161"/>
      <c r="X20" s="48">
        <f>V20+W20*Summen!$B$44</f>
        <v>0</v>
      </c>
      <c r="Y20" s="128"/>
      <c r="Z20" s="129"/>
      <c r="AA20" s="129"/>
      <c r="AB20" s="129"/>
      <c r="AC20" s="129"/>
      <c r="AD20" s="129"/>
      <c r="AE20" s="129"/>
      <c r="AF20" s="129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46344</v>
      </c>
      <c r="B21" s="42" t="str">
        <f>IFERROR(VLOOKUP(A21, Feiertage!$B:$C, 2, 0), IF(OR(WEEKDAY(A21,2)=6, WEEKDAY(A21,2)=7), Feiertage!$C$23, ""))</f>
        <v/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8.4</v>
      </c>
      <c r="S21" s="45">
        <f t="shared" si="0"/>
        <v>0</v>
      </c>
      <c r="T21" s="45">
        <f t="shared" si="1"/>
        <v>-8.4</v>
      </c>
      <c r="U21" s="46">
        <f t="shared" si="8"/>
        <v>-489.75999999999948</v>
      </c>
      <c r="V21" s="42"/>
      <c r="W21" s="47"/>
      <c r="X21" s="48">
        <f>V21+W21*Summen!$B$44</f>
        <v>0</v>
      </c>
      <c r="Y21" s="185"/>
      <c r="Z21" s="186"/>
      <c r="AA21" s="186"/>
      <c r="AB21" s="186"/>
      <c r="AC21" s="186"/>
      <c r="AD21" s="186"/>
      <c r="AE21" s="186"/>
      <c r="AF21" s="186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46345</v>
      </c>
      <c r="B22" s="159" t="str">
        <f>IFERROR(VLOOKUP(A22, Feiertage!$B:$C, 2, 0), IF(OR(WEEKDAY(A22,2)=6, WEEKDAY(A22,2)=7), Feiertage!$C$23, ""))</f>
        <v/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8.4</v>
      </c>
      <c r="S22" s="45">
        <f t="shared" si="0"/>
        <v>0</v>
      </c>
      <c r="T22" s="45">
        <f t="shared" si="1"/>
        <v>-8.4</v>
      </c>
      <c r="U22" s="46">
        <f t="shared" si="8"/>
        <v>-498.15999999999946</v>
      </c>
      <c r="V22" s="159"/>
      <c r="W22" s="161"/>
      <c r="X22" s="48">
        <f>V22+W22*Summen!$B$44</f>
        <v>0</v>
      </c>
      <c r="Y22" s="128"/>
      <c r="Z22" s="129"/>
      <c r="AA22" s="129"/>
      <c r="AB22" s="129"/>
      <c r="AC22" s="129"/>
      <c r="AD22" s="129"/>
      <c r="AE22" s="129"/>
      <c r="AF22" s="129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46346</v>
      </c>
      <c r="B23" s="42" t="str">
        <f>IFERROR(VLOOKUP(A23, Feiertage!$B:$C, 2, 0), IF(OR(WEEKDAY(A23,2)=6, WEEKDAY(A23,2)=7), Feiertage!$C$23, ""))</f>
        <v/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8.4</v>
      </c>
      <c r="S23" s="45">
        <f t="shared" si="0"/>
        <v>0</v>
      </c>
      <c r="T23" s="45">
        <f t="shared" si="1"/>
        <v>-8.4</v>
      </c>
      <c r="U23" s="46">
        <f t="shared" si="8"/>
        <v>-506.55999999999943</v>
      </c>
      <c r="V23" s="42"/>
      <c r="W23" s="47"/>
      <c r="X23" s="48">
        <f>V23+W23*Summen!$B$44</f>
        <v>0</v>
      </c>
      <c r="Y23" s="185"/>
      <c r="Z23" s="186"/>
      <c r="AA23" s="186"/>
      <c r="AB23" s="186"/>
      <c r="AC23" s="186"/>
      <c r="AD23" s="186"/>
      <c r="AE23" s="186"/>
      <c r="AF23" s="186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46347</v>
      </c>
      <c r="B24" s="159" t="str">
        <f>IFERROR(VLOOKUP(A24, Feiertage!$B:$C, 2, 0), IF(OR(WEEKDAY(A24,2)=6, WEEKDAY(A24,2)=7), Feiertage!$C$23, ""))</f>
        <v>* * * * * * * * Wochenende * * * * * * * * * * * * * * * * * * * * * * * * * * * * * * * * * * * * * * * * * * * * * * * *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0</v>
      </c>
      <c r="S24" s="45">
        <f t="shared" si="0"/>
        <v>0</v>
      </c>
      <c r="T24" s="45">
        <f t="shared" si="1"/>
        <v>0</v>
      </c>
      <c r="U24" s="46">
        <f t="shared" si="8"/>
        <v>-506.55999999999943</v>
      </c>
      <c r="V24" s="159"/>
      <c r="W24" s="161"/>
      <c r="X24" s="48">
        <f>V24+W24*Summen!$B$44</f>
        <v>0</v>
      </c>
      <c r="Y24" s="128"/>
      <c r="Z24" s="129"/>
      <c r="AA24" s="129"/>
      <c r="AB24" s="129"/>
      <c r="AC24" s="129"/>
      <c r="AD24" s="129"/>
      <c r="AE24" s="129"/>
      <c r="AF24" s="129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46348</v>
      </c>
      <c r="B25" s="42" t="str">
        <f>IFERROR(VLOOKUP(A25, Feiertage!$B:$C, 2, 0), IF(OR(WEEKDAY(A25,2)=6, WEEKDAY(A25,2)=7), Feiertage!$C$23, ""))</f>
        <v>* * * * * * * * Wochenende * * * * * * * * * * * * * * * * * * * * * * * * * * * * * * * * * * * * * * * * * * * * * * * *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0</v>
      </c>
      <c r="S25" s="45">
        <f t="shared" si="0"/>
        <v>0</v>
      </c>
      <c r="T25" s="45">
        <f t="shared" si="1"/>
        <v>0</v>
      </c>
      <c r="U25" s="46">
        <f t="shared" si="8"/>
        <v>-506.55999999999943</v>
      </c>
      <c r="V25" s="42"/>
      <c r="W25" s="47"/>
      <c r="X25" s="48">
        <f>V25+W25*Summen!$B$44</f>
        <v>0</v>
      </c>
      <c r="Y25" s="185"/>
      <c r="Z25" s="186"/>
      <c r="AA25" s="186"/>
      <c r="AB25" s="186"/>
      <c r="AC25" s="186"/>
      <c r="AD25" s="186"/>
      <c r="AE25" s="186"/>
      <c r="AF25" s="186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46349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0</v>
      </c>
      <c r="T26" s="45">
        <f t="shared" si="1"/>
        <v>-8.4</v>
      </c>
      <c r="U26" s="46">
        <f t="shared" si="8"/>
        <v>-514.95999999999947</v>
      </c>
      <c r="V26" s="159"/>
      <c r="W26" s="161"/>
      <c r="X26" s="48">
        <f>V26+W26*Summen!$B$44</f>
        <v>0</v>
      </c>
      <c r="Y26" s="128"/>
      <c r="Z26" s="129"/>
      <c r="AA26" s="129"/>
      <c r="AB26" s="129"/>
      <c r="AC26" s="129"/>
      <c r="AD26" s="129"/>
      <c r="AE26" s="129"/>
      <c r="AF26" s="129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46350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0</v>
      </c>
      <c r="T27" s="45">
        <f t="shared" si="1"/>
        <v>-8.4</v>
      </c>
      <c r="U27" s="46">
        <f t="shared" si="8"/>
        <v>-523.35999999999945</v>
      </c>
      <c r="V27" s="42"/>
      <c r="W27" s="47"/>
      <c r="X27" s="48">
        <f>V27+W27*Summen!$B$44</f>
        <v>0</v>
      </c>
      <c r="Y27" s="185"/>
      <c r="Z27" s="186"/>
      <c r="AA27" s="186"/>
      <c r="AB27" s="186"/>
      <c r="AC27" s="186"/>
      <c r="AD27" s="186"/>
      <c r="AE27" s="186"/>
      <c r="AF27" s="186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46351</v>
      </c>
      <c r="B28" s="159" t="str">
        <f>IFERROR(VLOOKUP(A28, Feiertage!$B:$C, 2, 0), IF(OR(WEEKDAY(A28,2)=6, WEEKDAY(A28,2)=7), Feiertage!$C$23, ""))</f>
        <v/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8.4</v>
      </c>
      <c r="S28" s="45">
        <f t="shared" si="0"/>
        <v>0</v>
      </c>
      <c r="T28" s="45">
        <f t="shared" si="1"/>
        <v>-8.4</v>
      </c>
      <c r="U28" s="46">
        <f t="shared" si="8"/>
        <v>-531.75999999999942</v>
      </c>
      <c r="V28" s="159"/>
      <c r="W28" s="161"/>
      <c r="X28" s="48">
        <f>V28+W28*Summen!$B$44</f>
        <v>0</v>
      </c>
      <c r="Y28" s="128"/>
      <c r="Z28" s="129"/>
      <c r="AA28" s="129"/>
      <c r="AB28" s="129"/>
      <c r="AC28" s="129"/>
      <c r="AD28" s="129"/>
      <c r="AE28" s="129"/>
      <c r="AF28" s="129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46352</v>
      </c>
      <c r="B29" s="42" t="str">
        <f>IFERROR(VLOOKUP(A29, Feiertage!$B:$C, 2, 0), IF(OR(WEEKDAY(A29,2)=6, WEEKDAY(A29,2)=7), Feiertage!$C$23, ""))</f>
        <v/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8.4</v>
      </c>
      <c r="S29" s="45">
        <f t="shared" si="0"/>
        <v>0</v>
      </c>
      <c r="T29" s="45">
        <f t="shared" si="1"/>
        <v>-8.4</v>
      </c>
      <c r="U29" s="46">
        <f t="shared" si="8"/>
        <v>-540.1599999999994</v>
      </c>
      <c r="V29" s="42"/>
      <c r="W29" s="47"/>
      <c r="X29" s="48">
        <f>V29+W29*Summen!$B$44</f>
        <v>0</v>
      </c>
      <c r="Y29" s="185"/>
      <c r="Z29" s="186"/>
      <c r="AA29" s="186"/>
      <c r="AB29" s="186"/>
      <c r="AC29" s="186"/>
      <c r="AD29" s="186"/>
      <c r="AE29" s="186"/>
      <c r="AF29" s="186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46353</v>
      </c>
      <c r="B30" s="159" t="str">
        <f>IFERROR(VLOOKUP(A30, Feiertage!$B:$C, 2, 0), IF(OR(WEEKDAY(A30,2)=6, WEEKDAY(A30,2)=7), Feiertage!$C$23, ""))</f>
        <v/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8.4</v>
      </c>
      <c r="S30" s="45">
        <f t="shared" si="0"/>
        <v>0</v>
      </c>
      <c r="T30" s="45">
        <f t="shared" si="1"/>
        <v>-8.4</v>
      </c>
      <c r="U30" s="46">
        <f t="shared" si="8"/>
        <v>-548.55999999999938</v>
      </c>
      <c r="V30" s="159"/>
      <c r="W30" s="161"/>
      <c r="X30" s="48">
        <f>V30+W30*Summen!$B$44</f>
        <v>0</v>
      </c>
      <c r="Y30" s="128"/>
      <c r="Z30" s="129"/>
      <c r="AA30" s="129"/>
      <c r="AB30" s="129"/>
      <c r="AC30" s="129"/>
      <c r="AD30" s="129"/>
      <c r="AE30" s="129"/>
      <c r="AF30" s="129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46354</v>
      </c>
      <c r="B31" s="42" t="str">
        <f>IFERROR(VLOOKUP(A31, Feiertage!$B:$C, 2, 0), IF(OR(WEEKDAY(A31,2)=6, WEEKDAY(A31,2)=7), Feiertage!$C$23, ""))</f>
        <v>* * * * * * * * Wochenende * * * * * * * * * * * * * * * * * * * * * * * * * * * * * * * * * * * * * * * * * * * * * * * *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0</v>
      </c>
      <c r="S31" s="45">
        <f t="shared" si="0"/>
        <v>0</v>
      </c>
      <c r="T31" s="45">
        <f t="shared" si="1"/>
        <v>0</v>
      </c>
      <c r="U31" s="46">
        <f t="shared" si="8"/>
        <v>-548.55999999999938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46355</v>
      </c>
      <c r="B32" s="159" t="str">
        <f>IFERROR(VLOOKUP(A32, Feiertage!$B:$C, 2, 0), IF(OR(WEEKDAY(A32,2)=6, WEEKDAY(A32,2)=7), Feiertage!$C$23, ""))</f>
        <v>* * * * * * * * Wochenende * * * * * * * * * * * * * * * * * * * * * * * * * * * * * * * * * * * * * * * * * * * * * * * *</v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0</v>
      </c>
      <c r="S32" s="45">
        <f t="shared" si="0"/>
        <v>0</v>
      </c>
      <c r="T32" s="45">
        <f t="shared" si="1"/>
        <v>0</v>
      </c>
      <c r="U32" s="46">
        <f t="shared" si="8"/>
        <v>-548.55999999999938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60">
        <f t="shared" si="7"/>
        <v>46356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61">
        <f t="shared" si="0"/>
        <v>0</v>
      </c>
      <c r="T33" s="61">
        <f t="shared" si="1"/>
        <v>-8.4</v>
      </c>
      <c r="U33" s="62">
        <f t="shared" si="8"/>
        <v>-556.95999999999935</v>
      </c>
      <c r="V33" s="42"/>
      <c r="W33" s="47"/>
      <c r="X33" s="48">
        <f>V33+W33*Summen!$B$44</f>
        <v>0</v>
      </c>
      <c r="Y33" s="185"/>
      <c r="Z33" s="186"/>
      <c r="AA33" s="186"/>
      <c r="AB33" s="186"/>
      <c r="AC33" s="186"/>
      <c r="AD33" s="186"/>
      <c r="AE33" s="186"/>
      <c r="AF33" s="186"/>
      <c r="AG33" s="63">
        <f t="shared" si="2"/>
        <v>0</v>
      </c>
      <c r="AH33" s="61">
        <f t="shared" si="3"/>
        <v>0</v>
      </c>
      <c r="AI33" s="61">
        <f t="shared" si="4"/>
        <v>0</v>
      </c>
      <c r="AJ33" s="62">
        <f t="shared" si="5"/>
        <v>0</v>
      </c>
      <c r="AL33" s="37">
        <f t="shared" si="6"/>
        <v>0</v>
      </c>
    </row>
    <row r="34" spans="1:38" ht="18" customHeight="1">
      <c r="A34" s="64" t="s">
        <v>32</v>
      </c>
      <c r="B34" s="108"/>
      <c r="C34" s="168">
        <f t="shared" ref="C34:T34" si="9">SUM(C4:C33)</f>
        <v>0</v>
      </c>
      <c r="D34" s="168">
        <f t="shared" si="9"/>
        <v>0</v>
      </c>
      <c r="E34" s="168">
        <f t="shared" si="9"/>
        <v>0</v>
      </c>
      <c r="F34" s="168">
        <f t="shared" si="9"/>
        <v>0</v>
      </c>
      <c r="G34" s="168">
        <f t="shared" si="9"/>
        <v>0</v>
      </c>
      <c r="H34" s="168">
        <f t="shared" si="9"/>
        <v>0</v>
      </c>
      <c r="I34" s="168">
        <f t="shared" si="9"/>
        <v>0</v>
      </c>
      <c r="J34" s="168">
        <f t="shared" si="9"/>
        <v>0</v>
      </c>
      <c r="K34" s="168">
        <f t="shared" si="9"/>
        <v>0</v>
      </c>
      <c r="L34" s="168">
        <f t="shared" si="9"/>
        <v>0</v>
      </c>
      <c r="M34" s="168">
        <f t="shared" si="9"/>
        <v>0</v>
      </c>
      <c r="N34" s="168">
        <f t="shared" si="9"/>
        <v>0</v>
      </c>
      <c r="O34" s="168">
        <f t="shared" si="9"/>
        <v>0</v>
      </c>
      <c r="P34" s="168">
        <f t="shared" si="9"/>
        <v>0</v>
      </c>
      <c r="Q34" s="168">
        <f t="shared" si="9"/>
        <v>0</v>
      </c>
      <c r="R34" s="66">
        <f t="shared" si="9"/>
        <v>176.40000000000006</v>
      </c>
      <c r="S34" s="169">
        <f t="shared" si="9"/>
        <v>0</v>
      </c>
      <c r="T34" s="169">
        <f t="shared" si="9"/>
        <v>-176.40000000000006</v>
      </c>
      <c r="U34" s="67">
        <f>U33</f>
        <v>-556.95999999999935</v>
      </c>
      <c r="V34" s="170">
        <f>SUM(V4:V33)</f>
        <v>0</v>
      </c>
      <c r="W34" s="170">
        <f>SUM(W4:W33)*Summen!$B$44</f>
        <v>0</v>
      </c>
      <c r="X34" s="68">
        <f>V34+W34</f>
        <v>0</v>
      </c>
      <c r="Y34" s="87"/>
      <c r="Z34" s="171"/>
      <c r="AA34" s="171"/>
      <c r="AB34" s="171"/>
      <c r="AC34" s="171"/>
      <c r="AD34" s="171"/>
      <c r="AE34" s="171"/>
      <c r="AF34" s="171"/>
      <c r="AG34" s="171"/>
      <c r="AH34" s="171"/>
      <c r="AI34" s="171"/>
      <c r="AJ34" s="67">
        <f>SUM(AJ4:AJ33)</f>
        <v>0</v>
      </c>
      <c r="AL34" s="37">
        <f t="shared" si="6"/>
        <v>0</v>
      </c>
    </row>
    <row r="35" spans="1:38" ht="12.75" customHeight="1">
      <c r="A35" s="71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L35" s="7"/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4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scale="86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F89C566-B4A2-4114-A406-16847FA501F2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5FAE0F47-2F8D-4674-A42E-F5A5AC640BAD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1000"/>
  <sheetViews>
    <sheetView zoomScale="85" zoomScaleNormal="85" workbookViewId="0">
      <selection sqref="A1:E1"/>
    </sheetView>
  </sheetViews>
  <sheetFormatPr defaultColWidth="14.42578125" defaultRowHeight="15" customHeight="1"/>
  <cols>
    <col min="1" max="1" width="4.28515625" customWidth="1"/>
    <col min="2" max="2" width="0.140625" customWidth="1"/>
    <col min="3" max="17" width="4.5703125" customWidth="1"/>
    <col min="18" max="18" width="5.7109375" customWidth="1"/>
    <col min="19" max="19" width="6.28515625" customWidth="1"/>
    <col min="20" max="20" width="6.7109375" customWidth="1"/>
    <col min="21" max="21" width="8.5703125" customWidth="1"/>
    <col min="22" max="23" width="5.5703125" customWidth="1"/>
    <col min="24" max="24" width="6.5703125" customWidth="1"/>
    <col min="25" max="32" width="4.7109375" customWidth="1"/>
    <col min="33" max="36" width="5.5703125" customWidth="1"/>
    <col min="37" max="37" width="1.5703125" customWidth="1"/>
    <col min="38" max="38" width="6.28515625" customWidth="1"/>
  </cols>
  <sheetData>
    <row r="1" spans="1:38" ht="15" customHeight="1">
      <c r="A1" s="192" t="str">
        <f>Summen!B1</f>
        <v>Alta Engineering AG</v>
      </c>
      <c r="B1" s="193"/>
      <c r="C1" s="193"/>
      <c r="D1" s="193"/>
      <c r="E1" s="194"/>
      <c r="F1" s="199" t="s">
        <v>0</v>
      </c>
      <c r="G1" s="194"/>
      <c r="H1" s="203" t="s">
        <v>1</v>
      </c>
      <c r="I1" s="193"/>
      <c r="J1" s="204" t="str">
        <f>Summen!B3</f>
        <v>Michael Küng</v>
      </c>
      <c r="K1" s="193"/>
      <c r="L1" s="193"/>
      <c r="M1" s="194"/>
      <c r="N1" s="205" t="s">
        <v>2</v>
      </c>
      <c r="O1" s="193"/>
      <c r="P1" s="202">
        <f>Nov!P1+30</f>
        <v>46357</v>
      </c>
      <c r="Q1" s="194"/>
      <c r="R1" s="89"/>
      <c r="S1" s="175" t="s">
        <v>3</v>
      </c>
      <c r="T1" s="175"/>
      <c r="U1" s="90">
        <f>Summen!B5</f>
        <v>1</v>
      </c>
      <c r="V1" s="89"/>
      <c r="W1" s="91" t="s">
        <v>4</v>
      </c>
      <c r="X1" s="92">
        <f>Nov!X1+1</f>
        <v>12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7"/>
    </row>
    <row r="2" spans="1:38" ht="12.75" customHeight="1">
      <c r="A2" s="8"/>
      <c r="B2" s="75"/>
      <c r="C2" s="119" t="s">
        <v>5</v>
      </c>
      <c r="D2" s="179"/>
      <c r="E2" s="180">
        <f>Summen!B18</f>
        <v>10.8</v>
      </c>
      <c r="F2" s="179" t="s">
        <v>6</v>
      </c>
      <c r="G2" s="179"/>
      <c r="H2" s="180">
        <f>Nov!H2+(Nov!Q34/Summen!B9)</f>
        <v>2</v>
      </c>
      <c r="I2" s="179" t="s">
        <v>7</v>
      </c>
      <c r="J2" s="181">
        <f>E2-H2</f>
        <v>8.8000000000000007</v>
      </c>
      <c r="K2" s="179"/>
      <c r="L2" s="179"/>
      <c r="M2" s="179"/>
      <c r="N2" s="179"/>
      <c r="O2" s="179"/>
      <c r="P2" s="179"/>
      <c r="Q2" s="179"/>
      <c r="R2" s="182"/>
      <c r="S2" s="119"/>
      <c r="T2" s="183" t="s">
        <v>8</v>
      </c>
      <c r="U2" s="120">
        <f>Nov!U34</f>
        <v>-556.95999999999935</v>
      </c>
      <c r="V2" s="190" t="s">
        <v>9</v>
      </c>
      <c r="W2" s="191"/>
      <c r="X2" s="189"/>
      <c r="Y2" s="9"/>
      <c r="Z2" s="75"/>
      <c r="AA2" s="75"/>
      <c r="AB2" s="75"/>
      <c r="AC2" s="75"/>
      <c r="AD2" s="75"/>
      <c r="AE2" s="75"/>
      <c r="AF2" s="15"/>
      <c r="AG2" s="9"/>
      <c r="AH2" s="75"/>
      <c r="AI2" s="75"/>
      <c r="AJ2" s="127"/>
      <c r="AK2" s="7"/>
      <c r="AL2" s="7"/>
    </row>
    <row r="3" spans="1:38" ht="69.75" customHeight="1">
      <c r="A3" s="22" t="s">
        <v>10</v>
      </c>
      <c r="B3" s="147"/>
      <c r="C3" s="93"/>
      <c r="D3" s="94"/>
      <c r="E3" s="146"/>
      <c r="F3" s="146"/>
      <c r="G3" s="146"/>
      <c r="H3" s="146"/>
      <c r="I3" s="146"/>
      <c r="J3" s="146"/>
      <c r="K3" s="147"/>
      <c r="L3" s="147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148" t="s">
        <v>17</v>
      </c>
      <c r="R3" s="24" t="s">
        <v>18</v>
      </c>
      <c r="S3" s="149" t="s">
        <v>19</v>
      </c>
      <c r="T3" s="150" t="s">
        <v>20</v>
      </c>
      <c r="U3" s="151" t="s">
        <v>21</v>
      </c>
      <c r="V3" s="25" t="s">
        <v>22</v>
      </c>
      <c r="W3" s="152" t="s">
        <v>23</v>
      </c>
      <c r="X3" s="153" t="s">
        <v>24</v>
      </c>
      <c r="Y3" s="95" t="s">
        <v>25</v>
      </c>
      <c r="Z3" s="154" t="s">
        <v>26</v>
      </c>
      <c r="AA3" s="154" t="s">
        <v>25</v>
      </c>
      <c r="AB3" s="154" t="s">
        <v>26</v>
      </c>
      <c r="AC3" s="154" t="s">
        <v>25</v>
      </c>
      <c r="AD3" s="154" t="s">
        <v>26</v>
      </c>
      <c r="AE3" s="154" t="s">
        <v>25</v>
      </c>
      <c r="AF3" s="155" t="s">
        <v>26</v>
      </c>
      <c r="AG3" s="95" t="s">
        <v>27</v>
      </c>
      <c r="AH3" s="154" t="s">
        <v>28</v>
      </c>
      <c r="AI3" s="154" t="s">
        <v>29</v>
      </c>
      <c r="AJ3" s="174" t="s">
        <v>30</v>
      </c>
      <c r="AK3" s="7"/>
      <c r="AL3" s="28" t="s">
        <v>31</v>
      </c>
    </row>
    <row r="4" spans="1:38" ht="13.5" customHeight="1">
      <c r="A4" s="29">
        <f>P1</f>
        <v>46357</v>
      </c>
      <c r="B4" s="159" t="str">
        <f>IFERROR(VLOOKUP(A4, Feiertage!$B:$C, 2, 0), IF(OR(WEEKDAY(A4,2)=6, WEEKDAY(A4,2)=7), Feiertage!$C$23, ""))</f>
        <v/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4"/>
      <c r="R4" s="107">
        <f>IF(OR(WEEKDAY(A4,2)=6,WEEKDAY(A4,2)=7),0,IFERROR(IF(VLOOKUP(A4,Feiertage!$B:$D,3,0)="ja",0,Summen!$B$9),Summen!$B$9))</f>
        <v>8.4</v>
      </c>
      <c r="S4" s="31">
        <f t="shared" ref="S4:S34" si="0">SUM(C4:Q4)</f>
        <v>0</v>
      </c>
      <c r="T4" s="31">
        <f t="shared" ref="T4:T34" si="1">S4-R4</f>
        <v>-8.4</v>
      </c>
      <c r="U4" s="32">
        <f>U2+T4</f>
        <v>-565.35999999999933</v>
      </c>
      <c r="V4" s="159"/>
      <c r="W4" s="161"/>
      <c r="X4" s="33">
        <f>V4+W4*Summen!$B$44</f>
        <v>0</v>
      </c>
      <c r="Y4" s="34"/>
      <c r="Z4" s="35"/>
      <c r="AA4" s="35"/>
      <c r="AB4" s="35"/>
      <c r="AC4" s="35"/>
      <c r="AD4" s="35"/>
      <c r="AE4" s="35"/>
      <c r="AF4" s="35"/>
      <c r="AG4" s="36">
        <f t="shared" ref="AG4:AG34" si="2">(Z4-Y4)+(AB4-AA4)+(AD4-AC4)+(AF4-AE4)</f>
        <v>0</v>
      </c>
      <c r="AH4" s="31">
        <f t="shared" ref="AH4:AH34" si="3">HOUR(AG4)</f>
        <v>0</v>
      </c>
      <c r="AI4" s="31">
        <f t="shared" ref="AI4:AI34" si="4">MINUTE(AG4)/60</f>
        <v>0</v>
      </c>
      <c r="AJ4" s="32">
        <f t="shared" ref="AJ4:AJ34" si="5">AH4+AI4</f>
        <v>0</v>
      </c>
      <c r="AL4" s="37">
        <f t="shared" ref="AL4:AL35" si="6">SUM(C4:Q4)-AJ4</f>
        <v>0</v>
      </c>
    </row>
    <row r="5" spans="1:38" ht="13.5" customHeight="1">
      <c r="A5" s="39">
        <f t="shared" ref="A5:A34" si="7">A4+1</f>
        <v>46358</v>
      </c>
      <c r="B5" s="42" t="str">
        <f>IFERROR(VLOOKUP(A5, Feiertage!$B:$C, 2, 0), IF(OR(WEEKDAY(A5,2)=6, WEEKDAY(A5,2)=7), Feiertage!$C$23, ""))</f>
        <v/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3"/>
      <c r="R5" s="44">
        <f>IF(OR(WEEKDAY(A5,2)=6,WEEKDAY(A5,2)=7),0,IFERROR(IF(VLOOKUP(A5,Feiertage!$B:$D,3,0)="ja",0,Summen!$B$9),Summen!$B$9))</f>
        <v>8.4</v>
      </c>
      <c r="S5" s="45">
        <f t="shared" si="0"/>
        <v>0</v>
      </c>
      <c r="T5" s="45">
        <f t="shared" si="1"/>
        <v>-8.4</v>
      </c>
      <c r="U5" s="46">
        <f t="shared" ref="U5:U34" si="8">U4+T5</f>
        <v>-573.75999999999931</v>
      </c>
      <c r="V5" s="42"/>
      <c r="W5" s="47"/>
      <c r="X5" s="48">
        <f>V5+W5*Summen!$B$44</f>
        <v>0</v>
      </c>
      <c r="Y5" s="185"/>
      <c r="Z5" s="186"/>
      <c r="AA5" s="186"/>
      <c r="AB5" s="186"/>
      <c r="AC5" s="186"/>
      <c r="AD5" s="186"/>
      <c r="AE5" s="186"/>
      <c r="AF5" s="186"/>
      <c r="AG5" s="50">
        <f t="shared" si="2"/>
        <v>0</v>
      </c>
      <c r="AH5" s="45">
        <f t="shared" si="3"/>
        <v>0</v>
      </c>
      <c r="AI5" s="45">
        <f t="shared" si="4"/>
        <v>0</v>
      </c>
      <c r="AJ5" s="46">
        <f t="shared" si="5"/>
        <v>0</v>
      </c>
      <c r="AL5" s="37">
        <f t="shared" si="6"/>
        <v>0</v>
      </c>
    </row>
    <row r="6" spans="1:38" ht="13.5" customHeight="1">
      <c r="A6" s="39">
        <f t="shared" si="7"/>
        <v>46359</v>
      </c>
      <c r="B6" s="159" t="str">
        <f>IFERROR(VLOOKUP(A6, Feiertage!$B:$C, 2, 0), IF(OR(WEEKDAY(A6,2)=6, WEEKDAY(A6,2)=7), Feiertage!$C$23, ""))</f>
        <v/>
      </c>
      <c r="C6" s="159"/>
      <c r="D6" s="159"/>
      <c r="E6" s="159"/>
      <c r="F6" s="159"/>
      <c r="G6" s="159"/>
      <c r="H6" s="159"/>
      <c r="I6" s="159"/>
      <c r="J6" s="159"/>
      <c r="K6" s="187"/>
      <c r="L6" s="159"/>
      <c r="M6" s="159"/>
      <c r="N6" s="159"/>
      <c r="O6" s="159"/>
      <c r="P6" s="159"/>
      <c r="Q6" s="160"/>
      <c r="R6" s="44">
        <f>IF(OR(WEEKDAY(A6,2)=6,WEEKDAY(A6,2)=7),0,IFERROR(IF(VLOOKUP(A6,Feiertage!$B:$D,3,0)="ja",0,Summen!$B$9),Summen!$B$9))</f>
        <v>8.4</v>
      </c>
      <c r="S6" s="45">
        <f t="shared" si="0"/>
        <v>0</v>
      </c>
      <c r="T6" s="45">
        <f t="shared" si="1"/>
        <v>-8.4</v>
      </c>
      <c r="U6" s="46">
        <f t="shared" si="8"/>
        <v>-582.15999999999929</v>
      </c>
      <c r="V6" s="159"/>
      <c r="W6" s="161"/>
      <c r="X6" s="48">
        <f>V6+W6*Summen!$B$44</f>
        <v>0</v>
      </c>
      <c r="Y6" s="128"/>
      <c r="Z6" s="129"/>
      <c r="AA6" s="129"/>
      <c r="AB6" s="129"/>
      <c r="AC6" s="129"/>
      <c r="AD6" s="129"/>
      <c r="AE6" s="129"/>
      <c r="AF6" s="129"/>
      <c r="AG6" s="50">
        <f t="shared" si="2"/>
        <v>0</v>
      </c>
      <c r="AH6" s="45">
        <f t="shared" si="3"/>
        <v>0</v>
      </c>
      <c r="AI6" s="45">
        <f t="shared" si="4"/>
        <v>0</v>
      </c>
      <c r="AJ6" s="46">
        <f t="shared" si="5"/>
        <v>0</v>
      </c>
      <c r="AL6" s="37">
        <f t="shared" si="6"/>
        <v>0</v>
      </c>
    </row>
    <row r="7" spans="1:38" ht="13.5" customHeight="1">
      <c r="A7" s="39">
        <f t="shared" si="7"/>
        <v>46360</v>
      </c>
      <c r="B7" s="42" t="str">
        <f>IFERROR(VLOOKUP(A7, Feiertage!$B:$C, 2, 0), IF(OR(WEEKDAY(A7,2)=6, WEEKDAY(A7,2)=7), Feiertage!$C$23, ""))</f>
        <v/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3"/>
      <c r="R7" s="44">
        <f>IF(OR(WEEKDAY(A7,2)=6,WEEKDAY(A7,2)=7),0,IFERROR(IF(VLOOKUP(A7,Feiertage!$B:$D,3,0)="ja",0,Summen!$B$9),Summen!$B$9))</f>
        <v>8.4</v>
      </c>
      <c r="S7" s="45">
        <f t="shared" si="0"/>
        <v>0</v>
      </c>
      <c r="T7" s="45">
        <f t="shared" si="1"/>
        <v>-8.4</v>
      </c>
      <c r="U7" s="46">
        <f t="shared" si="8"/>
        <v>-590.55999999999926</v>
      </c>
      <c r="V7" s="42"/>
      <c r="W7" s="47"/>
      <c r="X7" s="48">
        <f>V7+W7*Summen!$B$44</f>
        <v>0</v>
      </c>
      <c r="Y7" s="185"/>
      <c r="Z7" s="186"/>
      <c r="AA7" s="186"/>
      <c r="AB7" s="186"/>
      <c r="AC7" s="186"/>
      <c r="AD7" s="186"/>
      <c r="AE7" s="186"/>
      <c r="AF7" s="186"/>
      <c r="AG7" s="50">
        <f t="shared" si="2"/>
        <v>0</v>
      </c>
      <c r="AH7" s="45">
        <f t="shared" si="3"/>
        <v>0</v>
      </c>
      <c r="AI7" s="45">
        <f t="shared" si="4"/>
        <v>0</v>
      </c>
      <c r="AJ7" s="46">
        <f t="shared" si="5"/>
        <v>0</v>
      </c>
      <c r="AL7" s="37">
        <f t="shared" si="6"/>
        <v>0</v>
      </c>
    </row>
    <row r="8" spans="1:38" ht="13.5" customHeight="1">
      <c r="A8" s="39">
        <f t="shared" si="7"/>
        <v>46361</v>
      </c>
      <c r="B8" s="159" t="str">
        <f>IFERROR(VLOOKUP(A8, Feiertage!$B:$C, 2, 0), IF(OR(WEEKDAY(A8,2)=6, WEEKDAY(A8,2)=7), Feiertage!$C$23, ""))</f>
        <v>* * * * * * * * Wochenende * * * * * * * * * * * * * * * * * * * * * * * * * * * * * * * * * * * * * * * * * * * * * * * *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60"/>
      <c r="R8" s="44">
        <f>IF(OR(WEEKDAY(A8,2)=6,WEEKDAY(A8,2)=7),0,IFERROR(IF(VLOOKUP(A8,Feiertage!$B:$D,3,0)="ja",0,Summen!$B$9),Summen!$B$9))</f>
        <v>0</v>
      </c>
      <c r="S8" s="45">
        <f t="shared" si="0"/>
        <v>0</v>
      </c>
      <c r="T8" s="45">
        <f t="shared" si="1"/>
        <v>0</v>
      </c>
      <c r="U8" s="46">
        <f t="shared" si="8"/>
        <v>-590.55999999999926</v>
      </c>
      <c r="V8" s="159"/>
      <c r="W8" s="161"/>
      <c r="X8" s="48">
        <f>V8+W8*Summen!$B$44</f>
        <v>0</v>
      </c>
      <c r="Y8" s="128"/>
      <c r="Z8" s="129"/>
      <c r="AA8" s="129"/>
      <c r="AB8" s="129"/>
      <c r="AC8" s="129"/>
      <c r="AD8" s="129"/>
      <c r="AE8" s="129"/>
      <c r="AF8" s="129"/>
      <c r="AG8" s="50">
        <f t="shared" si="2"/>
        <v>0</v>
      </c>
      <c r="AH8" s="45">
        <f t="shared" si="3"/>
        <v>0</v>
      </c>
      <c r="AI8" s="45">
        <f t="shared" si="4"/>
        <v>0</v>
      </c>
      <c r="AJ8" s="46">
        <f t="shared" si="5"/>
        <v>0</v>
      </c>
      <c r="AL8" s="37">
        <f t="shared" si="6"/>
        <v>0</v>
      </c>
    </row>
    <row r="9" spans="1:38" ht="13.5" customHeight="1">
      <c r="A9" s="39">
        <f t="shared" si="7"/>
        <v>46362</v>
      </c>
      <c r="B9" s="42" t="str">
        <f>IFERROR(VLOOKUP(A9, Feiertage!$B:$C, 2, 0), IF(OR(WEEKDAY(A9,2)=6, WEEKDAY(A9,2)=7), Feiertage!$C$23, ""))</f>
        <v>* * * * * * * * Wochenende * * * * * * * * * * * * * * * * * * * * * * * * * * * * * * * * * * * * * * * * * * * * * * * *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3"/>
      <c r="R9" s="44">
        <f>IF(OR(WEEKDAY(A9,2)=6,WEEKDAY(A9,2)=7),0,IFERROR(IF(VLOOKUP(A9,Feiertage!$B:$D,3,0)="ja",0,Summen!$B$9),Summen!$B$9))</f>
        <v>0</v>
      </c>
      <c r="S9" s="45">
        <f t="shared" si="0"/>
        <v>0</v>
      </c>
      <c r="T9" s="45">
        <f t="shared" si="1"/>
        <v>0</v>
      </c>
      <c r="U9" s="46">
        <f t="shared" si="8"/>
        <v>-590.55999999999926</v>
      </c>
      <c r="V9" s="42"/>
      <c r="W9" s="47"/>
      <c r="X9" s="48">
        <f>V9+W9*Summen!$B$44</f>
        <v>0</v>
      </c>
      <c r="Y9" s="185"/>
      <c r="Z9" s="186"/>
      <c r="AA9" s="186"/>
      <c r="AB9" s="186"/>
      <c r="AC9" s="186"/>
      <c r="AD9" s="186"/>
      <c r="AE9" s="186"/>
      <c r="AF9" s="186"/>
      <c r="AG9" s="50">
        <f t="shared" si="2"/>
        <v>0</v>
      </c>
      <c r="AH9" s="45">
        <f t="shared" si="3"/>
        <v>0</v>
      </c>
      <c r="AI9" s="45">
        <f t="shared" si="4"/>
        <v>0</v>
      </c>
      <c r="AJ9" s="46">
        <f t="shared" si="5"/>
        <v>0</v>
      </c>
      <c r="AL9" s="37">
        <f t="shared" si="6"/>
        <v>0</v>
      </c>
    </row>
    <row r="10" spans="1:38" ht="13.5" customHeight="1">
      <c r="A10" s="39">
        <f t="shared" si="7"/>
        <v>46363</v>
      </c>
      <c r="B10" s="159" t="str">
        <f>IFERROR(VLOOKUP(A10, Feiertage!$B:$C, 2, 0), IF(OR(WEEKDAY(A10,2)=6, WEEKDAY(A10,2)=7), Feiertage!$C$23, ""))</f>
        <v/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60"/>
      <c r="R10" s="44">
        <f>IF(OR(WEEKDAY(A10,2)=6,WEEKDAY(A10,2)=7),0,IFERROR(IF(VLOOKUP(A10,Feiertage!$B:$D,3,0)="ja",0,Summen!$B$9),Summen!$B$9))</f>
        <v>8.4</v>
      </c>
      <c r="S10" s="45">
        <f t="shared" si="0"/>
        <v>0</v>
      </c>
      <c r="T10" s="45">
        <f t="shared" si="1"/>
        <v>-8.4</v>
      </c>
      <c r="U10" s="46">
        <f t="shared" si="8"/>
        <v>-598.95999999999924</v>
      </c>
      <c r="V10" s="159"/>
      <c r="W10" s="161"/>
      <c r="X10" s="48">
        <f>V10+W10*Summen!$B$44</f>
        <v>0</v>
      </c>
      <c r="Y10" s="128"/>
      <c r="Z10" s="129"/>
      <c r="AA10" s="129"/>
      <c r="AB10" s="129"/>
      <c r="AC10" s="129"/>
      <c r="AD10" s="129"/>
      <c r="AE10" s="129"/>
      <c r="AF10" s="129"/>
      <c r="AG10" s="50">
        <f t="shared" si="2"/>
        <v>0</v>
      </c>
      <c r="AH10" s="45">
        <f t="shared" si="3"/>
        <v>0</v>
      </c>
      <c r="AI10" s="45">
        <f t="shared" si="4"/>
        <v>0</v>
      </c>
      <c r="AJ10" s="46">
        <f t="shared" si="5"/>
        <v>0</v>
      </c>
      <c r="AL10" s="37">
        <f t="shared" si="6"/>
        <v>0</v>
      </c>
    </row>
    <row r="11" spans="1:38" ht="13.5" customHeight="1">
      <c r="A11" s="39">
        <f t="shared" si="7"/>
        <v>46364</v>
      </c>
      <c r="B11" s="42" t="str">
        <f>IFERROR(VLOOKUP(A11, Feiertage!$B:$C, 2, 0), IF(OR(WEEKDAY(A11,2)=6, WEEKDAY(A11,2)=7), Feiertage!$C$23, ""))</f>
        <v xml:space="preserve">* * * * * * * * Maria Empfängnis * * * * * * * * * * * * * * * * * * * * * * * * * * * * * * * * * * * * * * * * * * * * * 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4">
        <f>IF(OR(WEEKDAY(A11,2)=6,WEEKDAY(A11,2)=7),0,IFERROR(IF(VLOOKUP(A11,Feiertage!$B:$D,3,0)="ja",0,Summen!$B$9),Summen!$B$9))</f>
        <v>0</v>
      </c>
      <c r="S11" s="45">
        <f t="shared" si="0"/>
        <v>0</v>
      </c>
      <c r="T11" s="45">
        <f t="shared" si="1"/>
        <v>0</v>
      </c>
      <c r="U11" s="46">
        <f t="shared" si="8"/>
        <v>-598.95999999999924</v>
      </c>
      <c r="V11" s="42"/>
      <c r="W11" s="47"/>
      <c r="X11" s="48">
        <f>V11+W11*Summen!$B$44</f>
        <v>0</v>
      </c>
      <c r="Y11" s="185"/>
      <c r="Z11" s="186"/>
      <c r="AA11" s="186"/>
      <c r="AB11" s="186"/>
      <c r="AC11" s="186"/>
      <c r="AD11" s="186"/>
      <c r="AE11" s="186"/>
      <c r="AF11" s="186"/>
      <c r="AG11" s="50">
        <f t="shared" si="2"/>
        <v>0</v>
      </c>
      <c r="AH11" s="45">
        <f t="shared" si="3"/>
        <v>0</v>
      </c>
      <c r="AI11" s="45">
        <f t="shared" si="4"/>
        <v>0</v>
      </c>
      <c r="AJ11" s="46">
        <f t="shared" si="5"/>
        <v>0</v>
      </c>
      <c r="AL11" s="37">
        <f t="shared" si="6"/>
        <v>0</v>
      </c>
    </row>
    <row r="12" spans="1:38" ht="13.5" customHeight="1">
      <c r="A12" s="39">
        <f t="shared" si="7"/>
        <v>46365</v>
      </c>
      <c r="B12" s="159" t="str">
        <f>IFERROR(VLOOKUP(A12, Feiertage!$B:$C, 2, 0), IF(OR(WEEKDAY(A12,2)=6, WEEKDAY(A12,2)=7), Feiertage!$C$23, ""))</f>
        <v/>
      </c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60"/>
      <c r="R12" s="44">
        <f>IF(OR(WEEKDAY(A12,2)=6,WEEKDAY(A12,2)=7),0,IFERROR(IF(VLOOKUP(A12,Feiertage!$B:$D,3,0)="ja",0,Summen!$B$9),Summen!$B$9))</f>
        <v>8.4</v>
      </c>
      <c r="S12" s="45">
        <f t="shared" si="0"/>
        <v>0</v>
      </c>
      <c r="T12" s="45">
        <f t="shared" si="1"/>
        <v>-8.4</v>
      </c>
      <c r="U12" s="46">
        <f t="shared" si="8"/>
        <v>-607.35999999999922</v>
      </c>
      <c r="V12" s="159"/>
      <c r="W12" s="161"/>
      <c r="X12" s="48">
        <f>V12+W12*Summen!$B$44</f>
        <v>0</v>
      </c>
      <c r="Y12" s="128"/>
      <c r="Z12" s="129"/>
      <c r="AA12" s="129"/>
      <c r="AB12" s="129"/>
      <c r="AC12" s="129"/>
      <c r="AD12" s="129"/>
      <c r="AE12" s="129"/>
      <c r="AF12" s="129"/>
      <c r="AG12" s="50">
        <f t="shared" si="2"/>
        <v>0</v>
      </c>
      <c r="AH12" s="45">
        <f t="shared" si="3"/>
        <v>0</v>
      </c>
      <c r="AI12" s="45">
        <f t="shared" si="4"/>
        <v>0</v>
      </c>
      <c r="AJ12" s="46">
        <f t="shared" si="5"/>
        <v>0</v>
      </c>
      <c r="AL12" s="37">
        <f t="shared" si="6"/>
        <v>0</v>
      </c>
    </row>
    <row r="13" spans="1:38" ht="13.5" customHeight="1">
      <c r="A13" s="39">
        <f t="shared" si="7"/>
        <v>46366</v>
      </c>
      <c r="B13" s="42" t="str">
        <f>IFERROR(VLOOKUP(A13, Feiertage!$B:$C, 2, 0), IF(OR(WEEKDAY(A13,2)=6, WEEKDAY(A13,2)=7), Feiertage!$C$23, ""))</f>
        <v/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44">
        <f>IF(OR(WEEKDAY(A13,2)=6,WEEKDAY(A13,2)=7),0,IFERROR(IF(VLOOKUP(A13,Feiertage!$B:$D,3,0)="ja",0,Summen!$B$9),Summen!$B$9))</f>
        <v>8.4</v>
      </c>
      <c r="S13" s="45">
        <f t="shared" si="0"/>
        <v>0</v>
      </c>
      <c r="T13" s="45">
        <f t="shared" si="1"/>
        <v>-8.4</v>
      </c>
      <c r="U13" s="46">
        <f t="shared" si="8"/>
        <v>-615.7599999999992</v>
      </c>
      <c r="V13" s="42"/>
      <c r="W13" s="47"/>
      <c r="X13" s="48">
        <f>V13+W13*Summen!$B$44</f>
        <v>0</v>
      </c>
      <c r="Y13" s="185"/>
      <c r="Z13" s="186"/>
      <c r="AA13" s="186"/>
      <c r="AB13" s="186"/>
      <c r="AC13" s="186"/>
      <c r="AD13" s="186"/>
      <c r="AE13" s="186"/>
      <c r="AF13" s="186"/>
      <c r="AG13" s="50">
        <f t="shared" si="2"/>
        <v>0</v>
      </c>
      <c r="AH13" s="45">
        <f t="shared" si="3"/>
        <v>0</v>
      </c>
      <c r="AI13" s="45">
        <f t="shared" si="4"/>
        <v>0</v>
      </c>
      <c r="AJ13" s="46">
        <f t="shared" si="5"/>
        <v>0</v>
      </c>
      <c r="AL13" s="37">
        <f t="shared" si="6"/>
        <v>0</v>
      </c>
    </row>
    <row r="14" spans="1:38" ht="13.5" customHeight="1">
      <c r="A14" s="39">
        <f t="shared" si="7"/>
        <v>46367</v>
      </c>
      <c r="B14" s="159" t="str">
        <f>IFERROR(VLOOKUP(A14, Feiertage!$B:$C, 2, 0), IF(OR(WEEKDAY(A14,2)=6, WEEKDAY(A14,2)=7), Feiertage!$C$23, ""))</f>
        <v/>
      </c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60"/>
      <c r="R14" s="44">
        <f>IF(OR(WEEKDAY(A14,2)=6,WEEKDAY(A14,2)=7),0,IFERROR(IF(VLOOKUP(A14,Feiertage!$B:$D,3,0)="ja",0,Summen!$B$9),Summen!$B$9))</f>
        <v>8.4</v>
      </c>
      <c r="S14" s="45">
        <f t="shared" si="0"/>
        <v>0</v>
      </c>
      <c r="T14" s="45">
        <f t="shared" si="1"/>
        <v>-8.4</v>
      </c>
      <c r="U14" s="46">
        <f t="shared" si="8"/>
        <v>-624.15999999999917</v>
      </c>
      <c r="V14" s="159"/>
      <c r="W14" s="161"/>
      <c r="X14" s="48">
        <f>V14+W14*Summen!$B$44</f>
        <v>0</v>
      </c>
      <c r="Y14" s="128"/>
      <c r="Z14" s="129"/>
      <c r="AA14" s="129"/>
      <c r="AB14" s="129"/>
      <c r="AC14" s="129"/>
      <c r="AD14" s="129"/>
      <c r="AE14" s="129"/>
      <c r="AF14" s="129"/>
      <c r="AG14" s="50">
        <f t="shared" si="2"/>
        <v>0</v>
      </c>
      <c r="AH14" s="45">
        <f t="shared" si="3"/>
        <v>0</v>
      </c>
      <c r="AI14" s="45">
        <f t="shared" si="4"/>
        <v>0</v>
      </c>
      <c r="AJ14" s="46">
        <f t="shared" si="5"/>
        <v>0</v>
      </c>
      <c r="AL14" s="37">
        <f t="shared" si="6"/>
        <v>0</v>
      </c>
    </row>
    <row r="15" spans="1:38" ht="13.5" customHeight="1">
      <c r="A15" s="39">
        <f t="shared" si="7"/>
        <v>46368</v>
      </c>
      <c r="B15" s="42" t="str">
        <f>IFERROR(VLOOKUP(A15, Feiertage!$B:$C, 2, 0), IF(OR(WEEKDAY(A15,2)=6, WEEKDAY(A15,2)=7), Feiertage!$C$23, ""))</f>
        <v>* * * * * * * * Wochenende * * * * * * * * * * * * * * * * * * * * * * * * * * * * * * * * * * * * * * * * * * * * * * * *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3"/>
      <c r="R15" s="44">
        <f>IF(OR(WEEKDAY(A15,2)=6,WEEKDAY(A15,2)=7),0,IFERROR(IF(VLOOKUP(A15,Feiertage!$B:$D,3,0)="ja",0,Summen!$B$9),Summen!$B$9))</f>
        <v>0</v>
      </c>
      <c r="S15" s="45">
        <f t="shared" si="0"/>
        <v>0</v>
      </c>
      <c r="T15" s="45">
        <f t="shared" si="1"/>
        <v>0</v>
      </c>
      <c r="U15" s="46">
        <f t="shared" si="8"/>
        <v>-624.15999999999917</v>
      </c>
      <c r="V15" s="42"/>
      <c r="W15" s="47"/>
      <c r="X15" s="48">
        <f>V15+W15*Summen!$B$44</f>
        <v>0</v>
      </c>
      <c r="Y15" s="185"/>
      <c r="Z15" s="186"/>
      <c r="AA15" s="186"/>
      <c r="AB15" s="186"/>
      <c r="AC15" s="186"/>
      <c r="AD15" s="186"/>
      <c r="AE15" s="186"/>
      <c r="AF15" s="186"/>
      <c r="AG15" s="50">
        <f t="shared" si="2"/>
        <v>0</v>
      </c>
      <c r="AH15" s="45">
        <f t="shared" si="3"/>
        <v>0</v>
      </c>
      <c r="AI15" s="45">
        <f t="shared" si="4"/>
        <v>0</v>
      </c>
      <c r="AJ15" s="46">
        <f t="shared" si="5"/>
        <v>0</v>
      </c>
      <c r="AL15" s="37">
        <f t="shared" si="6"/>
        <v>0</v>
      </c>
    </row>
    <row r="16" spans="1:38" ht="13.5" customHeight="1">
      <c r="A16" s="39">
        <f t="shared" si="7"/>
        <v>46369</v>
      </c>
      <c r="B16" s="159" t="str">
        <f>IFERROR(VLOOKUP(A16, Feiertage!$B:$C, 2, 0), IF(OR(WEEKDAY(A16,2)=6, WEEKDAY(A16,2)=7), Feiertage!$C$23, ""))</f>
        <v>* * * * * * * * Wochenende * * * * * * * * * * * * * * * * * * * * * * * * * * * * * * * * * * * * * * * * * * * * * * * *</v>
      </c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60"/>
      <c r="R16" s="44">
        <f>IF(OR(WEEKDAY(A16,2)=6,WEEKDAY(A16,2)=7),0,IFERROR(IF(VLOOKUP(A16,Feiertage!$B:$D,3,0)="ja",0,Summen!$B$9),Summen!$B$9))</f>
        <v>0</v>
      </c>
      <c r="S16" s="45">
        <f t="shared" si="0"/>
        <v>0</v>
      </c>
      <c r="T16" s="45">
        <f t="shared" si="1"/>
        <v>0</v>
      </c>
      <c r="U16" s="46">
        <f t="shared" si="8"/>
        <v>-624.15999999999917</v>
      </c>
      <c r="V16" s="159"/>
      <c r="W16" s="161"/>
      <c r="X16" s="48">
        <f>V16+W16*Summen!$B$44</f>
        <v>0</v>
      </c>
      <c r="Y16" s="128"/>
      <c r="Z16" s="129"/>
      <c r="AA16" s="129"/>
      <c r="AB16" s="129"/>
      <c r="AC16" s="129"/>
      <c r="AD16" s="129"/>
      <c r="AE16" s="129"/>
      <c r="AF16" s="129"/>
      <c r="AG16" s="50">
        <f t="shared" si="2"/>
        <v>0</v>
      </c>
      <c r="AH16" s="45">
        <f t="shared" si="3"/>
        <v>0</v>
      </c>
      <c r="AI16" s="45">
        <f t="shared" si="4"/>
        <v>0</v>
      </c>
      <c r="AJ16" s="46">
        <f t="shared" si="5"/>
        <v>0</v>
      </c>
      <c r="AL16" s="37">
        <f t="shared" si="6"/>
        <v>0</v>
      </c>
    </row>
    <row r="17" spans="1:38" ht="13.5" customHeight="1">
      <c r="A17" s="39">
        <f t="shared" si="7"/>
        <v>46370</v>
      </c>
      <c r="B17" s="42" t="str">
        <f>IFERROR(VLOOKUP(A17, Feiertage!$B:$C, 2, 0), IF(OR(WEEKDAY(A17,2)=6, WEEKDAY(A17,2)=7), Feiertage!$C$23, ""))</f>
        <v/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3"/>
      <c r="R17" s="44">
        <f>IF(OR(WEEKDAY(A17,2)=6,WEEKDAY(A17,2)=7),0,IFERROR(IF(VLOOKUP(A17,Feiertage!$B:$D,3,0)="ja",0,Summen!$B$9),Summen!$B$9))</f>
        <v>8.4</v>
      </c>
      <c r="S17" s="45">
        <f t="shared" si="0"/>
        <v>0</v>
      </c>
      <c r="T17" s="45">
        <f t="shared" si="1"/>
        <v>-8.4</v>
      </c>
      <c r="U17" s="46">
        <f t="shared" si="8"/>
        <v>-632.55999999999915</v>
      </c>
      <c r="V17" s="42"/>
      <c r="W17" s="47"/>
      <c r="X17" s="48">
        <f>V17+W17*Summen!$B$44</f>
        <v>0</v>
      </c>
      <c r="Y17" s="185"/>
      <c r="Z17" s="186"/>
      <c r="AA17" s="186"/>
      <c r="AB17" s="186"/>
      <c r="AC17" s="186"/>
      <c r="AD17" s="186"/>
      <c r="AE17" s="186"/>
      <c r="AF17" s="186"/>
      <c r="AG17" s="50">
        <f t="shared" si="2"/>
        <v>0</v>
      </c>
      <c r="AH17" s="45">
        <f t="shared" si="3"/>
        <v>0</v>
      </c>
      <c r="AI17" s="45">
        <f t="shared" si="4"/>
        <v>0</v>
      </c>
      <c r="AJ17" s="46">
        <f t="shared" si="5"/>
        <v>0</v>
      </c>
      <c r="AL17" s="37">
        <f t="shared" si="6"/>
        <v>0</v>
      </c>
    </row>
    <row r="18" spans="1:38" ht="13.5" customHeight="1">
      <c r="A18" s="39">
        <f t="shared" si="7"/>
        <v>46371</v>
      </c>
      <c r="B18" s="159" t="str">
        <f>IFERROR(VLOOKUP(A18, Feiertage!$B:$C, 2, 0), IF(OR(WEEKDAY(A18,2)=6, WEEKDAY(A18,2)=7), Feiertage!$C$23, ""))</f>
        <v/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60"/>
      <c r="R18" s="44">
        <f>IF(OR(WEEKDAY(A18,2)=6,WEEKDAY(A18,2)=7),0,IFERROR(IF(VLOOKUP(A18,Feiertage!$B:$D,3,0)="ja",0,Summen!$B$9),Summen!$B$9))</f>
        <v>8.4</v>
      </c>
      <c r="S18" s="45">
        <f t="shared" si="0"/>
        <v>0</v>
      </c>
      <c r="T18" s="45">
        <f t="shared" si="1"/>
        <v>-8.4</v>
      </c>
      <c r="U18" s="46">
        <f t="shared" si="8"/>
        <v>-640.95999999999913</v>
      </c>
      <c r="V18" s="159"/>
      <c r="W18" s="161"/>
      <c r="X18" s="48">
        <f>V18+W18*Summen!$B$44</f>
        <v>0</v>
      </c>
      <c r="Y18" s="128"/>
      <c r="Z18" s="129"/>
      <c r="AA18" s="129"/>
      <c r="AB18" s="129"/>
      <c r="AC18" s="129"/>
      <c r="AD18" s="129"/>
      <c r="AE18" s="129"/>
      <c r="AF18" s="129"/>
      <c r="AG18" s="50">
        <f t="shared" si="2"/>
        <v>0</v>
      </c>
      <c r="AH18" s="45">
        <f t="shared" si="3"/>
        <v>0</v>
      </c>
      <c r="AI18" s="45">
        <f t="shared" si="4"/>
        <v>0</v>
      </c>
      <c r="AJ18" s="46">
        <f t="shared" si="5"/>
        <v>0</v>
      </c>
      <c r="AL18" s="37">
        <f t="shared" si="6"/>
        <v>0</v>
      </c>
    </row>
    <row r="19" spans="1:38" ht="13.5" customHeight="1">
      <c r="A19" s="39">
        <f t="shared" si="7"/>
        <v>46372</v>
      </c>
      <c r="B19" s="42" t="str">
        <f>IFERROR(VLOOKUP(A19, Feiertage!$B:$C, 2, 0), IF(OR(WEEKDAY(A19,2)=6, WEEKDAY(A19,2)=7), Feiertage!$C$23, ""))</f>
        <v/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3"/>
      <c r="R19" s="44">
        <f>IF(OR(WEEKDAY(A19,2)=6,WEEKDAY(A19,2)=7),0,IFERROR(IF(VLOOKUP(A19,Feiertage!$B:$D,3,0)="ja",0,Summen!$B$9),Summen!$B$9))</f>
        <v>8.4</v>
      </c>
      <c r="S19" s="45">
        <f t="shared" si="0"/>
        <v>0</v>
      </c>
      <c r="T19" s="45">
        <f t="shared" si="1"/>
        <v>-8.4</v>
      </c>
      <c r="U19" s="46">
        <f t="shared" si="8"/>
        <v>-649.3599999999991</v>
      </c>
      <c r="V19" s="42"/>
      <c r="W19" s="47"/>
      <c r="X19" s="48">
        <f>V19+W19*Summen!$B$44</f>
        <v>0</v>
      </c>
      <c r="Y19" s="185"/>
      <c r="Z19" s="186"/>
      <c r="AA19" s="186"/>
      <c r="AB19" s="186"/>
      <c r="AC19" s="186"/>
      <c r="AD19" s="186"/>
      <c r="AE19" s="186"/>
      <c r="AF19" s="186"/>
      <c r="AG19" s="50">
        <f t="shared" si="2"/>
        <v>0</v>
      </c>
      <c r="AH19" s="45">
        <f t="shared" si="3"/>
        <v>0</v>
      </c>
      <c r="AI19" s="45">
        <f t="shared" si="4"/>
        <v>0</v>
      </c>
      <c r="AJ19" s="46">
        <f t="shared" si="5"/>
        <v>0</v>
      </c>
      <c r="AL19" s="37">
        <f t="shared" si="6"/>
        <v>0</v>
      </c>
    </row>
    <row r="20" spans="1:38" ht="13.5" customHeight="1">
      <c r="A20" s="39">
        <f t="shared" si="7"/>
        <v>46373</v>
      </c>
      <c r="B20" s="159" t="str">
        <f>IFERROR(VLOOKUP(A20, Feiertage!$B:$C, 2, 0), IF(OR(WEEKDAY(A20,2)=6, WEEKDAY(A20,2)=7), Feiertage!$C$23, ""))</f>
        <v/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60"/>
      <c r="R20" s="44">
        <f>IF(OR(WEEKDAY(A20,2)=6,WEEKDAY(A20,2)=7),0,IFERROR(IF(VLOOKUP(A20,Feiertage!$B:$D,3,0)="ja",0,Summen!$B$9),Summen!$B$9))</f>
        <v>8.4</v>
      </c>
      <c r="S20" s="45">
        <f t="shared" si="0"/>
        <v>0</v>
      </c>
      <c r="T20" s="45">
        <f t="shared" si="1"/>
        <v>-8.4</v>
      </c>
      <c r="U20" s="46">
        <f t="shared" si="8"/>
        <v>-657.75999999999908</v>
      </c>
      <c r="V20" s="159"/>
      <c r="W20" s="161"/>
      <c r="X20" s="48">
        <f>V20+W20*Summen!$B$44</f>
        <v>0</v>
      </c>
      <c r="Y20" s="128"/>
      <c r="Z20" s="129"/>
      <c r="AA20" s="129"/>
      <c r="AB20" s="129"/>
      <c r="AC20" s="129"/>
      <c r="AD20" s="129"/>
      <c r="AE20" s="129"/>
      <c r="AF20" s="129"/>
      <c r="AG20" s="50">
        <f t="shared" si="2"/>
        <v>0</v>
      </c>
      <c r="AH20" s="45">
        <f t="shared" si="3"/>
        <v>0</v>
      </c>
      <c r="AI20" s="45">
        <f t="shared" si="4"/>
        <v>0</v>
      </c>
      <c r="AJ20" s="46">
        <f t="shared" si="5"/>
        <v>0</v>
      </c>
      <c r="AL20" s="37">
        <f t="shared" si="6"/>
        <v>0</v>
      </c>
    </row>
    <row r="21" spans="1:38" ht="13.5" customHeight="1">
      <c r="A21" s="39">
        <f t="shared" si="7"/>
        <v>46374</v>
      </c>
      <c r="B21" s="42" t="str">
        <f>IFERROR(VLOOKUP(A21, Feiertage!$B:$C, 2, 0), IF(OR(WEEKDAY(A21,2)=6, WEEKDAY(A21,2)=7), Feiertage!$C$23, ""))</f>
        <v/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3"/>
      <c r="R21" s="44">
        <f>IF(OR(WEEKDAY(A21,2)=6,WEEKDAY(A21,2)=7),0,IFERROR(IF(VLOOKUP(A21,Feiertage!$B:$D,3,0)="ja",0,Summen!$B$9),Summen!$B$9))</f>
        <v>8.4</v>
      </c>
      <c r="S21" s="45">
        <f t="shared" si="0"/>
        <v>0</v>
      </c>
      <c r="T21" s="45">
        <f t="shared" si="1"/>
        <v>-8.4</v>
      </c>
      <c r="U21" s="46">
        <f t="shared" si="8"/>
        <v>-666.15999999999906</v>
      </c>
      <c r="V21" s="42"/>
      <c r="W21" s="47"/>
      <c r="X21" s="48">
        <f>V21+W21*Summen!$B$44</f>
        <v>0</v>
      </c>
      <c r="Y21" s="185"/>
      <c r="Z21" s="186"/>
      <c r="AA21" s="186"/>
      <c r="AB21" s="186"/>
      <c r="AC21" s="186"/>
      <c r="AD21" s="186"/>
      <c r="AE21" s="186"/>
      <c r="AF21" s="186"/>
      <c r="AG21" s="50">
        <f t="shared" si="2"/>
        <v>0</v>
      </c>
      <c r="AH21" s="45">
        <f t="shared" si="3"/>
        <v>0</v>
      </c>
      <c r="AI21" s="45">
        <f t="shared" si="4"/>
        <v>0</v>
      </c>
      <c r="AJ21" s="46">
        <f t="shared" si="5"/>
        <v>0</v>
      </c>
      <c r="AL21" s="37">
        <f t="shared" si="6"/>
        <v>0</v>
      </c>
    </row>
    <row r="22" spans="1:38" ht="13.5" customHeight="1">
      <c r="A22" s="39">
        <f t="shared" si="7"/>
        <v>46375</v>
      </c>
      <c r="B22" s="159" t="str">
        <f>IFERROR(VLOOKUP(A22, Feiertage!$B:$C, 2, 0), IF(OR(WEEKDAY(A22,2)=6, WEEKDAY(A22,2)=7), Feiertage!$C$23, ""))</f>
        <v>* * * * * * * * Wochenende * * * * * * * * * * * * * * * * * * * * * * * * * * * * * * * * * * * * * * * * * * * * * * * *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60"/>
      <c r="R22" s="44">
        <f>IF(OR(WEEKDAY(A22,2)=6,WEEKDAY(A22,2)=7),0,IFERROR(IF(VLOOKUP(A22,Feiertage!$B:$D,3,0)="ja",0,Summen!$B$9),Summen!$B$9))</f>
        <v>0</v>
      </c>
      <c r="S22" s="45">
        <f t="shared" si="0"/>
        <v>0</v>
      </c>
      <c r="T22" s="45">
        <f t="shared" si="1"/>
        <v>0</v>
      </c>
      <c r="U22" s="46">
        <f t="shared" si="8"/>
        <v>-666.15999999999906</v>
      </c>
      <c r="V22" s="159"/>
      <c r="W22" s="161"/>
      <c r="X22" s="48">
        <f>V22+W22*Summen!$B$44</f>
        <v>0</v>
      </c>
      <c r="Y22" s="128"/>
      <c r="Z22" s="129"/>
      <c r="AA22" s="129"/>
      <c r="AB22" s="129"/>
      <c r="AC22" s="129"/>
      <c r="AD22" s="129"/>
      <c r="AE22" s="129"/>
      <c r="AF22" s="129"/>
      <c r="AG22" s="50">
        <f t="shared" si="2"/>
        <v>0</v>
      </c>
      <c r="AH22" s="45">
        <f t="shared" si="3"/>
        <v>0</v>
      </c>
      <c r="AI22" s="45">
        <f t="shared" si="4"/>
        <v>0</v>
      </c>
      <c r="AJ22" s="46">
        <f t="shared" si="5"/>
        <v>0</v>
      </c>
      <c r="AL22" s="37">
        <f t="shared" si="6"/>
        <v>0</v>
      </c>
    </row>
    <row r="23" spans="1:38" ht="13.5" customHeight="1">
      <c r="A23" s="39">
        <f t="shared" si="7"/>
        <v>46376</v>
      </c>
      <c r="B23" s="42" t="str">
        <f>IFERROR(VLOOKUP(A23, Feiertage!$B:$C, 2, 0), IF(OR(WEEKDAY(A23,2)=6, WEEKDAY(A23,2)=7), Feiertage!$C$23, ""))</f>
        <v>* * * * * * * * Wochenende * * * * * * * * * * * * * * * * * * * * * * * * * * * * * * * * * * * * * * * * * * * * * * * *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3"/>
      <c r="R23" s="44">
        <f>IF(OR(WEEKDAY(A23,2)=6,WEEKDAY(A23,2)=7),0,IFERROR(IF(VLOOKUP(A23,Feiertage!$B:$D,3,0)="ja",0,Summen!$B$9),Summen!$B$9))</f>
        <v>0</v>
      </c>
      <c r="S23" s="45">
        <f t="shared" si="0"/>
        <v>0</v>
      </c>
      <c r="T23" s="45">
        <f t="shared" si="1"/>
        <v>0</v>
      </c>
      <c r="U23" s="46">
        <f t="shared" si="8"/>
        <v>-666.15999999999906</v>
      </c>
      <c r="V23" s="42"/>
      <c r="W23" s="47"/>
      <c r="X23" s="48">
        <f>V23+W23*Summen!$B$44</f>
        <v>0</v>
      </c>
      <c r="Y23" s="185"/>
      <c r="Z23" s="186"/>
      <c r="AA23" s="186"/>
      <c r="AB23" s="186"/>
      <c r="AC23" s="186"/>
      <c r="AD23" s="186"/>
      <c r="AE23" s="186"/>
      <c r="AF23" s="186"/>
      <c r="AG23" s="50">
        <f t="shared" si="2"/>
        <v>0</v>
      </c>
      <c r="AH23" s="45">
        <f t="shared" si="3"/>
        <v>0</v>
      </c>
      <c r="AI23" s="45">
        <f t="shared" si="4"/>
        <v>0</v>
      </c>
      <c r="AJ23" s="46">
        <f t="shared" si="5"/>
        <v>0</v>
      </c>
      <c r="AL23" s="37">
        <f t="shared" si="6"/>
        <v>0</v>
      </c>
    </row>
    <row r="24" spans="1:38" ht="13.5" customHeight="1">
      <c r="A24" s="39">
        <f t="shared" si="7"/>
        <v>46377</v>
      </c>
      <c r="B24" s="159" t="str">
        <f>IFERROR(VLOOKUP(A24, Feiertage!$B:$C, 2, 0), IF(OR(WEEKDAY(A24,2)=6, WEEKDAY(A24,2)=7), Feiertage!$C$23, ""))</f>
        <v/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60"/>
      <c r="R24" s="44">
        <f>IF(OR(WEEKDAY(A24,2)=6,WEEKDAY(A24,2)=7),0,IFERROR(IF(VLOOKUP(A24,Feiertage!$B:$D,3,0)="ja",0,Summen!$B$9),Summen!$B$9))</f>
        <v>8.4</v>
      </c>
      <c r="S24" s="45">
        <f t="shared" si="0"/>
        <v>0</v>
      </c>
      <c r="T24" s="45">
        <f t="shared" si="1"/>
        <v>-8.4</v>
      </c>
      <c r="U24" s="46">
        <f t="shared" si="8"/>
        <v>-674.55999999999904</v>
      </c>
      <c r="V24" s="159"/>
      <c r="W24" s="161"/>
      <c r="X24" s="48">
        <f>V24+W24*Summen!$B$44</f>
        <v>0</v>
      </c>
      <c r="Y24" s="128"/>
      <c r="Z24" s="129"/>
      <c r="AA24" s="129"/>
      <c r="AB24" s="129"/>
      <c r="AC24" s="129"/>
      <c r="AD24" s="129"/>
      <c r="AE24" s="129"/>
      <c r="AF24" s="129"/>
      <c r="AG24" s="50">
        <f t="shared" si="2"/>
        <v>0</v>
      </c>
      <c r="AH24" s="45">
        <f t="shared" si="3"/>
        <v>0</v>
      </c>
      <c r="AI24" s="45">
        <f t="shared" si="4"/>
        <v>0</v>
      </c>
      <c r="AJ24" s="46">
        <f t="shared" si="5"/>
        <v>0</v>
      </c>
      <c r="AL24" s="37">
        <f t="shared" si="6"/>
        <v>0</v>
      </c>
    </row>
    <row r="25" spans="1:38" ht="13.5" customHeight="1">
      <c r="A25" s="39">
        <f t="shared" si="7"/>
        <v>46378</v>
      </c>
      <c r="B25" s="42" t="str">
        <f>IFERROR(VLOOKUP(A25, Feiertage!$B:$C, 2, 0), IF(OR(WEEKDAY(A25,2)=6, WEEKDAY(A25,2)=7), Feiertage!$C$23, ""))</f>
        <v/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3"/>
      <c r="R25" s="44">
        <f>IF(OR(WEEKDAY(A25,2)=6,WEEKDAY(A25,2)=7),0,IFERROR(IF(VLOOKUP(A25,Feiertage!$B:$D,3,0)="ja",0,Summen!$B$9),Summen!$B$9))</f>
        <v>8.4</v>
      </c>
      <c r="S25" s="45">
        <f t="shared" si="0"/>
        <v>0</v>
      </c>
      <c r="T25" s="45">
        <f t="shared" si="1"/>
        <v>-8.4</v>
      </c>
      <c r="U25" s="46">
        <f t="shared" si="8"/>
        <v>-682.95999999999901</v>
      </c>
      <c r="V25" s="42"/>
      <c r="W25" s="47"/>
      <c r="X25" s="48">
        <f>V25+W25*Summen!$B$44</f>
        <v>0</v>
      </c>
      <c r="Y25" s="185"/>
      <c r="Z25" s="186"/>
      <c r="AA25" s="186"/>
      <c r="AB25" s="186"/>
      <c r="AC25" s="186"/>
      <c r="AD25" s="186"/>
      <c r="AE25" s="186"/>
      <c r="AF25" s="186"/>
      <c r="AG25" s="50">
        <f t="shared" si="2"/>
        <v>0</v>
      </c>
      <c r="AH25" s="45">
        <f t="shared" si="3"/>
        <v>0</v>
      </c>
      <c r="AI25" s="45">
        <f t="shared" si="4"/>
        <v>0</v>
      </c>
      <c r="AJ25" s="46">
        <f t="shared" si="5"/>
        <v>0</v>
      </c>
      <c r="AL25" s="37">
        <f t="shared" si="6"/>
        <v>0</v>
      </c>
    </row>
    <row r="26" spans="1:38" ht="13.5" customHeight="1">
      <c r="A26" s="39">
        <f t="shared" si="7"/>
        <v>46379</v>
      </c>
      <c r="B26" s="159" t="str">
        <f>IFERROR(VLOOKUP(A26, Feiertage!$B:$C, 2, 0), IF(OR(WEEKDAY(A26,2)=6, WEEKDAY(A26,2)=7), Feiertage!$C$23, ""))</f>
        <v/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60"/>
      <c r="R26" s="44">
        <f>IF(OR(WEEKDAY(A26,2)=6,WEEKDAY(A26,2)=7),0,IFERROR(IF(VLOOKUP(A26,Feiertage!$B:$D,3,0)="ja",0,Summen!$B$9),Summen!$B$9))</f>
        <v>8.4</v>
      </c>
      <c r="S26" s="45">
        <f t="shared" si="0"/>
        <v>0</v>
      </c>
      <c r="T26" s="45">
        <f t="shared" si="1"/>
        <v>-8.4</v>
      </c>
      <c r="U26" s="46">
        <f t="shared" si="8"/>
        <v>-691.35999999999899</v>
      </c>
      <c r="V26" s="159"/>
      <c r="W26" s="161"/>
      <c r="X26" s="48">
        <f>V26+W26*Summen!$B$44</f>
        <v>0</v>
      </c>
      <c r="Y26" s="128"/>
      <c r="Z26" s="129"/>
      <c r="AA26" s="129"/>
      <c r="AB26" s="129"/>
      <c r="AC26" s="129"/>
      <c r="AD26" s="129"/>
      <c r="AE26" s="129"/>
      <c r="AF26" s="129"/>
      <c r="AG26" s="50">
        <f t="shared" si="2"/>
        <v>0</v>
      </c>
      <c r="AH26" s="45">
        <f t="shared" si="3"/>
        <v>0</v>
      </c>
      <c r="AI26" s="45">
        <f t="shared" si="4"/>
        <v>0</v>
      </c>
      <c r="AJ26" s="46">
        <f t="shared" si="5"/>
        <v>0</v>
      </c>
      <c r="AL26" s="37">
        <f t="shared" si="6"/>
        <v>0</v>
      </c>
    </row>
    <row r="27" spans="1:38" ht="13.5" customHeight="1">
      <c r="A27" s="39">
        <f t="shared" si="7"/>
        <v>46380</v>
      </c>
      <c r="B27" s="42" t="str">
        <f>IFERROR(VLOOKUP(A27, Feiertage!$B:$C, 2, 0), IF(OR(WEEKDAY(A27,2)=6, WEEKDAY(A27,2)=7), Feiertage!$C$23, ""))</f>
        <v/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3"/>
      <c r="R27" s="44">
        <f>IF(OR(WEEKDAY(A27,2)=6,WEEKDAY(A27,2)=7),0,IFERROR(IF(VLOOKUP(A27,Feiertage!$B:$D,3,0)="ja",0,Summen!$B$9),Summen!$B$9))</f>
        <v>8.4</v>
      </c>
      <c r="S27" s="45">
        <f t="shared" si="0"/>
        <v>0</v>
      </c>
      <c r="T27" s="45">
        <f t="shared" si="1"/>
        <v>-8.4</v>
      </c>
      <c r="U27" s="46">
        <f t="shared" si="8"/>
        <v>-699.75999999999897</v>
      </c>
      <c r="V27" s="42"/>
      <c r="W27" s="47"/>
      <c r="X27" s="48">
        <f>V27+W27*Summen!$B$44</f>
        <v>0</v>
      </c>
      <c r="Y27" s="185"/>
      <c r="Z27" s="186"/>
      <c r="AA27" s="186"/>
      <c r="AB27" s="186"/>
      <c r="AC27" s="186"/>
      <c r="AD27" s="186"/>
      <c r="AE27" s="186"/>
      <c r="AF27" s="186"/>
      <c r="AG27" s="50">
        <f t="shared" si="2"/>
        <v>0</v>
      </c>
      <c r="AH27" s="45">
        <f t="shared" si="3"/>
        <v>0</v>
      </c>
      <c r="AI27" s="45">
        <f t="shared" si="4"/>
        <v>0</v>
      </c>
      <c r="AJ27" s="46">
        <f t="shared" si="5"/>
        <v>0</v>
      </c>
      <c r="AL27" s="37">
        <f t="shared" si="6"/>
        <v>0</v>
      </c>
    </row>
    <row r="28" spans="1:38" ht="13.5" customHeight="1">
      <c r="A28" s="39">
        <f t="shared" si="7"/>
        <v>46381</v>
      </c>
      <c r="B28" s="159" t="str">
        <f>IFERROR(VLOOKUP(A28, Feiertage!$B:$C, 2, 0), IF(OR(WEEKDAY(A28,2)=6, WEEKDAY(A28,2)=7), Feiertage!$C$23, ""))</f>
        <v>* * * * * * * * Weihnachtstag * * * * * * * * * * * * * * * * * * * * * * * * * * * * * * * * * * * * * * * * * * * * * * *</v>
      </c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60"/>
      <c r="R28" s="44">
        <f>IF(OR(WEEKDAY(A28,2)=6,WEEKDAY(A28,2)=7),0,IFERROR(IF(VLOOKUP(A28,Feiertage!$B:$D,3,0)="ja",0,Summen!$B$9),Summen!$B$9))</f>
        <v>0</v>
      </c>
      <c r="S28" s="45">
        <f t="shared" si="0"/>
        <v>0</v>
      </c>
      <c r="T28" s="45">
        <f t="shared" si="1"/>
        <v>0</v>
      </c>
      <c r="U28" s="46">
        <f t="shared" si="8"/>
        <v>-699.75999999999897</v>
      </c>
      <c r="V28" s="159"/>
      <c r="W28" s="161"/>
      <c r="X28" s="48">
        <f>V28+W28*Summen!$B$44</f>
        <v>0</v>
      </c>
      <c r="Y28" s="128"/>
      <c r="Z28" s="129"/>
      <c r="AA28" s="129"/>
      <c r="AB28" s="129"/>
      <c r="AC28" s="129"/>
      <c r="AD28" s="129"/>
      <c r="AE28" s="129"/>
      <c r="AF28" s="129"/>
      <c r="AG28" s="50">
        <f t="shared" si="2"/>
        <v>0</v>
      </c>
      <c r="AH28" s="45">
        <f t="shared" si="3"/>
        <v>0</v>
      </c>
      <c r="AI28" s="45">
        <f t="shared" si="4"/>
        <v>0</v>
      </c>
      <c r="AJ28" s="46">
        <f t="shared" si="5"/>
        <v>0</v>
      </c>
      <c r="AL28" s="37">
        <f t="shared" si="6"/>
        <v>0</v>
      </c>
    </row>
    <row r="29" spans="1:38" ht="13.5" customHeight="1">
      <c r="A29" s="39">
        <f t="shared" si="7"/>
        <v>46382</v>
      </c>
      <c r="B29" s="42" t="str">
        <f>IFERROR(VLOOKUP(A29, Feiertage!$B:$C, 2, 0), IF(OR(WEEKDAY(A29,2)=6, WEEKDAY(A29,2)=7), Feiertage!$C$23, ""))</f>
        <v>* * * * * * * * Stephanstag * * * * * * * * * * * * * * * * * * * * * * * * * * * * * * * * * * * * * * * * * * * * * * * * *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3"/>
      <c r="R29" s="44">
        <f>IF(OR(WEEKDAY(A29,2)=6,WEEKDAY(A29,2)=7),0,IFERROR(IF(VLOOKUP(A29,Feiertage!$B:$D,3,0)="ja",0,Summen!$B$9),Summen!$B$9))</f>
        <v>0</v>
      </c>
      <c r="S29" s="45">
        <f t="shared" si="0"/>
        <v>0</v>
      </c>
      <c r="T29" s="45">
        <f t="shared" si="1"/>
        <v>0</v>
      </c>
      <c r="U29" s="46">
        <f t="shared" si="8"/>
        <v>-699.75999999999897</v>
      </c>
      <c r="V29" s="42"/>
      <c r="W29" s="47"/>
      <c r="X29" s="48">
        <f>V29+W29*Summen!$B$44</f>
        <v>0</v>
      </c>
      <c r="Y29" s="185"/>
      <c r="Z29" s="186"/>
      <c r="AA29" s="186"/>
      <c r="AB29" s="186"/>
      <c r="AC29" s="186"/>
      <c r="AD29" s="186"/>
      <c r="AE29" s="186"/>
      <c r="AF29" s="186"/>
      <c r="AG29" s="50">
        <f t="shared" si="2"/>
        <v>0</v>
      </c>
      <c r="AH29" s="45">
        <f t="shared" si="3"/>
        <v>0</v>
      </c>
      <c r="AI29" s="45">
        <f t="shared" si="4"/>
        <v>0</v>
      </c>
      <c r="AJ29" s="46">
        <f t="shared" si="5"/>
        <v>0</v>
      </c>
      <c r="AL29" s="37">
        <f t="shared" si="6"/>
        <v>0</v>
      </c>
    </row>
    <row r="30" spans="1:38" ht="13.5" customHeight="1">
      <c r="A30" s="39">
        <f t="shared" si="7"/>
        <v>46383</v>
      </c>
      <c r="B30" s="159" t="str">
        <f>IFERROR(VLOOKUP(A30, Feiertage!$B:$C, 2, 0), IF(OR(WEEKDAY(A30,2)=6, WEEKDAY(A30,2)=7), Feiertage!$C$23, ""))</f>
        <v>* * * * * * * * Wochenende * * * * * * * * * * * * * * * * * * * * * * * * * * * * * * * * * * * * * * * * * * * * * * * *</v>
      </c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60"/>
      <c r="R30" s="44">
        <f>IF(OR(WEEKDAY(A30,2)=6,WEEKDAY(A30,2)=7),0,IFERROR(IF(VLOOKUP(A30,Feiertage!$B:$D,3,0)="ja",0,Summen!$B$9),Summen!$B$9))</f>
        <v>0</v>
      </c>
      <c r="S30" s="45">
        <f t="shared" si="0"/>
        <v>0</v>
      </c>
      <c r="T30" s="45">
        <f t="shared" si="1"/>
        <v>0</v>
      </c>
      <c r="U30" s="46">
        <f t="shared" si="8"/>
        <v>-699.75999999999897</v>
      </c>
      <c r="V30" s="159"/>
      <c r="W30" s="161"/>
      <c r="X30" s="48">
        <f>V30+W30*Summen!$B$44</f>
        <v>0</v>
      </c>
      <c r="Y30" s="128"/>
      <c r="Z30" s="129"/>
      <c r="AA30" s="129"/>
      <c r="AB30" s="129"/>
      <c r="AC30" s="129"/>
      <c r="AD30" s="129"/>
      <c r="AE30" s="129"/>
      <c r="AF30" s="129"/>
      <c r="AG30" s="50">
        <f t="shared" si="2"/>
        <v>0</v>
      </c>
      <c r="AH30" s="45">
        <f t="shared" si="3"/>
        <v>0</v>
      </c>
      <c r="AI30" s="45">
        <f t="shared" si="4"/>
        <v>0</v>
      </c>
      <c r="AJ30" s="46">
        <f t="shared" si="5"/>
        <v>0</v>
      </c>
      <c r="AL30" s="37">
        <f t="shared" si="6"/>
        <v>0</v>
      </c>
    </row>
    <row r="31" spans="1:38" ht="13.5" customHeight="1">
      <c r="A31" s="39">
        <f t="shared" si="7"/>
        <v>46384</v>
      </c>
      <c r="B31" s="42" t="str">
        <f>IFERROR(VLOOKUP(A31, Feiertage!$B:$C, 2, 0), IF(OR(WEEKDAY(A31,2)=6, WEEKDAY(A31,2)=7), Feiertage!$C$23, ""))</f>
        <v/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3"/>
      <c r="R31" s="44">
        <f>IF(OR(WEEKDAY(A31,2)=6,WEEKDAY(A31,2)=7),0,IFERROR(IF(VLOOKUP(A31,Feiertage!$B:$D,3,0)="ja",0,Summen!$B$9),Summen!$B$9))</f>
        <v>8.4</v>
      </c>
      <c r="S31" s="45">
        <f t="shared" si="0"/>
        <v>0</v>
      </c>
      <c r="T31" s="45">
        <f t="shared" si="1"/>
        <v>-8.4</v>
      </c>
      <c r="U31" s="46">
        <f t="shared" si="8"/>
        <v>-708.15999999999894</v>
      </c>
      <c r="V31" s="42"/>
      <c r="W31" s="47"/>
      <c r="X31" s="48">
        <f>V31+W31*Summen!$B$44</f>
        <v>0</v>
      </c>
      <c r="Y31" s="185"/>
      <c r="Z31" s="186"/>
      <c r="AA31" s="186"/>
      <c r="AB31" s="186"/>
      <c r="AC31" s="186"/>
      <c r="AD31" s="186"/>
      <c r="AE31" s="186"/>
      <c r="AF31" s="186"/>
      <c r="AG31" s="50">
        <f t="shared" si="2"/>
        <v>0</v>
      </c>
      <c r="AH31" s="45">
        <f t="shared" si="3"/>
        <v>0</v>
      </c>
      <c r="AI31" s="45">
        <f t="shared" si="4"/>
        <v>0</v>
      </c>
      <c r="AJ31" s="46">
        <f t="shared" si="5"/>
        <v>0</v>
      </c>
      <c r="AL31" s="37">
        <f t="shared" si="6"/>
        <v>0</v>
      </c>
    </row>
    <row r="32" spans="1:38" ht="13.5" customHeight="1">
      <c r="A32" s="39">
        <f t="shared" si="7"/>
        <v>46385</v>
      </c>
      <c r="B32" s="159" t="str">
        <f>IFERROR(VLOOKUP(A32, Feiertage!$B:$C, 2, 0), IF(OR(WEEKDAY(A32,2)=6, WEEKDAY(A32,2)=7), Feiertage!$C$23, ""))</f>
        <v/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60"/>
      <c r="R32" s="44">
        <f>IF(OR(WEEKDAY(A32,2)=6,WEEKDAY(A32,2)=7),0,IFERROR(IF(VLOOKUP(A32,Feiertage!$B:$D,3,0)="ja",0,Summen!$B$9),Summen!$B$9))</f>
        <v>8.4</v>
      </c>
      <c r="S32" s="45">
        <f t="shared" si="0"/>
        <v>0</v>
      </c>
      <c r="T32" s="45">
        <f t="shared" si="1"/>
        <v>-8.4</v>
      </c>
      <c r="U32" s="46">
        <f t="shared" si="8"/>
        <v>-716.55999999999892</v>
      </c>
      <c r="V32" s="159"/>
      <c r="W32" s="161"/>
      <c r="X32" s="48">
        <f>V32+W32*Summen!$B$44</f>
        <v>0</v>
      </c>
      <c r="Y32" s="128"/>
      <c r="Z32" s="129"/>
      <c r="AA32" s="129"/>
      <c r="AB32" s="129"/>
      <c r="AC32" s="129"/>
      <c r="AD32" s="129"/>
      <c r="AE32" s="129"/>
      <c r="AF32" s="129"/>
      <c r="AG32" s="50">
        <f t="shared" si="2"/>
        <v>0</v>
      </c>
      <c r="AH32" s="45">
        <f t="shared" si="3"/>
        <v>0</v>
      </c>
      <c r="AI32" s="45">
        <f t="shared" si="4"/>
        <v>0</v>
      </c>
      <c r="AJ32" s="46">
        <f t="shared" si="5"/>
        <v>0</v>
      </c>
      <c r="AL32" s="37">
        <f t="shared" si="6"/>
        <v>0</v>
      </c>
    </row>
    <row r="33" spans="1:38" ht="13.5" customHeight="1">
      <c r="A33" s="39">
        <f t="shared" si="7"/>
        <v>46386</v>
      </c>
      <c r="B33" s="42" t="str">
        <f>IFERROR(VLOOKUP(A33, Feiertage!$B:$C, 2, 0), IF(OR(WEEKDAY(A33,2)=6, WEEKDAY(A33,2)=7), Feiertage!$C$23, ""))</f>
        <v/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3"/>
      <c r="R33" s="44">
        <f>IF(OR(WEEKDAY(A33,2)=6,WEEKDAY(A33,2)=7),0,IFERROR(IF(VLOOKUP(A33,Feiertage!$B:$D,3,0)="ja",0,Summen!$B$9),Summen!$B$9))</f>
        <v>8.4</v>
      </c>
      <c r="S33" s="45">
        <f t="shared" si="0"/>
        <v>0</v>
      </c>
      <c r="T33" s="45">
        <f t="shared" si="1"/>
        <v>-8.4</v>
      </c>
      <c r="U33" s="46">
        <f t="shared" si="8"/>
        <v>-724.9599999999989</v>
      </c>
      <c r="V33" s="42"/>
      <c r="W33" s="47"/>
      <c r="X33" s="48">
        <f>V33+W33*Summen!$B$44</f>
        <v>0</v>
      </c>
      <c r="Y33" s="185"/>
      <c r="Z33" s="186"/>
      <c r="AA33" s="186"/>
      <c r="AB33" s="186"/>
      <c r="AC33" s="186"/>
      <c r="AD33" s="186"/>
      <c r="AE33" s="186"/>
      <c r="AF33" s="186"/>
      <c r="AG33" s="50">
        <f t="shared" si="2"/>
        <v>0</v>
      </c>
      <c r="AH33" s="45">
        <f t="shared" si="3"/>
        <v>0</v>
      </c>
      <c r="AI33" s="45">
        <f t="shared" si="4"/>
        <v>0</v>
      </c>
      <c r="AJ33" s="46">
        <f t="shared" si="5"/>
        <v>0</v>
      </c>
      <c r="AL33" s="37">
        <f t="shared" si="6"/>
        <v>0</v>
      </c>
    </row>
    <row r="34" spans="1:38" ht="13.5" customHeight="1">
      <c r="A34" s="60">
        <f t="shared" si="7"/>
        <v>46387</v>
      </c>
      <c r="B34" s="159" t="str">
        <f>IFERROR(VLOOKUP(A34, Feiertage!$B:$C, 2, 0), IF(OR(WEEKDAY(A34,2)=6, WEEKDAY(A34,2)=7), Feiertage!$C$23, ""))</f>
        <v/>
      </c>
      <c r="C34" s="159"/>
      <c r="D34" s="159"/>
      <c r="E34" s="159"/>
      <c r="F34" s="159"/>
      <c r="G34" s="159"/>
      <c r="H34" s="159"/>
      <c r="I34" s="159"/>
      <c r="J34" s="159"/>
      <c r="K34" s="166"/>
      <c r="L34" s="166"/>
      <c r="M34" s="166"/>
      <c r="N34" s="166"/>
      <c r="O34" s="166"/>
      <c r="P34" s="166"/>
      <c r="Q34" s="167"/>
      <c r="R34" s="44">
        <f>IF(OR(WEEKDAY(A34,2)=6,WEEKDAY(A34,2)=7),0,IFERROR(IF(VLOOKUP(A34,Feiertage!$B:$D,3,0)="ja",0,Summen!$B$9),Summen!$B$9))</f>
        <v>8.4</v>
      </c>
      <c r="S34" s="61">
        <f t="shared" si="0"/>
        <v>0</v>
      </c>
      <c r="T34" s="61">
        <f t="shared" si="1"/>
        <v>-8.4</v>
      </c>
      <c r="U34" s="62">
        <f t="shared" si="8"/>
        <v>-733.35999999999888</v>
      </c>
      <c r="V34" s="159"/>
      <c r="W34" s="161"/>
      <c r="X34" s="48">
        <f>V34+W34*Summen!$B$44</f>
        <v>0</v>
      </c>
      <c r="Y34" s="128"/>
      <c r="Z34" s="129"/>
      <c r="AA34" s="129"/>
      <c r="AB34" s="129"/>
      <c r="AC34" s="129"/>
      <c r="AD34" s="129"/>
      <c r="AE34" s="129"/>
      <c r="AF34" s="129"/>
      <c r="AG34" s="63">
        <f t="shared" si="2"/>
        <v>0</v>
      </c>
      <c r="AH34" s="61">
        <f t="shared" si="3"/>
        <v>0</v>
      </c>
      <c r="AI34" s="61">
        <f t="shared" si="4"/>
        <v>0</v>
      </c>
      <c r="AJ34" s="62">
        <f t="shared" si="5"/>
        <v>0</v>
      </c>
      <c r="AL34" s="37">
        <f t="shared" si="6"/>
        <v>0</v>
      </c>
    </row>
    <row r="35" spans="1:38" ht="18" customHeight="1">
      <c r="A35" s="64" t="s">
        <v>32</v>
      </c>
      <c r="B35" s="108"/>
      <c r="C35" s="168">
        <f t="shared" ref="C35:T35" si="9">SUM(C4:C34)</f>
        <v>0</v>
      </c>
      <c r="D35" s="168">
        <f t="shared" si="9"/>
        <v>0</v>
      </c>
      <c r="E35" s="168">
        <f t="shared" si="9"/>
        <v>0</v>
      </c>
      <c r="F35" s="168">
        <f t="shared" si="9"/>
        <v>0</v>
      </c>
      <c r="G35" s="168">
        <f t="shared" si="9"/>
        <v>0</v>
      </c>
      <c r="H35" s="168">
        <f t="shared" si="9"/>
        <v>0</v>
      </c>
      <c r="I35" s="168">
        <f t="shared" si="9"/>
        <v>0</v>
      </c>
      <c r="J35" s="168">
        <f t="shared" si="9"/>
        <v>0</v>
      </c>
      <c r="K35" s="168">
        <f t="shared" si="9"/>
        <v>0</v>
      </c>
      <c r="L35" s="168">
        <f t="shared" si="9"/>
        <v>0</v>
      </c>
      <c r="M35" s="168">
        <f t="shared" si="9"/>
        <v>0</v>
      </c>
      <c r="N35" s="168">
        <f t="shared" si="9"/>
        <v>0</v>
      </c>
      <c r="O35" s="168">
        <f t="shared" si="9"/>
        <v>0</v>
      </c>
      <c r="P35" s="168">
        <f t="shared" si="9"/>
        <v>0</v>
      </c>
      <c r="Q35" s="168">
        <f t="shared" si="9"/>
        <v>0</v>
      </c>
      <c r="R35" s="66">
        <f t="shared" si="9"/>
        <v>176.40000000000006</v>
      </c>
      <c r="S35" s="169">
        <f t="shared" si="9"/>
        <v>0</v>
      </c>
      <c r="T35" s="169">
        <f t="shared" si="9"/>
        <v>-176.40000000000006</v>
      </c>
      <c r="U35" s="67">
        <f>U34</f>
        <v>-733.35999999999888</v>
      </c>
      <c r="V35" s="170">
        <f>SUM(V4:V34)</f>
        <v>0</v>
      </c>
      <c r="W35" s="170">
        <f>SUM(W4:W34)*Summen!$B$44</f>
        <v>0</v>
      </c>
      <c r="X35" s="68">
        <f>V35+W35</f>
        <v>0</v>
      </c>
      <c r="Y35" s="87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67">
        <f>SUM(AJ4:AJ34)</f>
        <v>0</v>
      </c>
      <c r="AL35" s="37">
        <f t="shared" si="6"/>
        <v>0</v>
      </c>
    </row>
    <row r="36" spans="1:38" ht="12.75" customHeight="1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L36" s="7"/>
    </row>
    <row r="37" spans="1:38" ht="12.75" customHeight="1">
      <c r="A37" s="71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L37" s="7"/>
    </row>
    <row r="38" spans="1:38" ht="12.75" customHeight="1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4"/>
      <c r="T38" s="72"/>
      <c r="U38" s="72"/>
      <c r="V38" s="72"/>
      <c r="W38" s="72"/>
      <c r="X38" s="72"/>
      <c r="Y38" s="72"/>
      <c r="Z38" s="72"/>
      <c r="AL38" s="7"/>
    </row>
    <row r="39" spans="1:38" ht="12.75" customHeight="1">
      <c r="A39" s="7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L39" s="7"/>
    </row>
    <row r="40" spans="1:38" ht="12.75" customHeight="1">
      <c r="A40" s="71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L40" s="7"/>
    </row>
    <row r="41" spans="1:38" ht="12.75" customHeight="1">
      <c r="A41" s="71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L41" s="7"/>
    </row>
    <row r="42" spans="1:38" ht="12.75" customHeight="1">
      <c r="A42" s="71"/>
      <c r="AL42" s="7"/>
    </row>
    <row r="43" spans="1:38" ht="12.75" customHeight="1">
      <c r="A43" s="71"/>
      <c r="AL43" s="7"/>
    </row>
    <row r="44" spans="1:38" ht="12.75" customHeight="1">
      <c r="A44" s="71"/>
      <c r="AL44" s="7"/>
    </row>
    <row r="45" spans="1:38" ht="12.75" customHeight="1">
      <c r="A45" s="71"/>
      <c r="AL45" s="7"/>
    </row>
    <row r="46" spans="1:38" ht="12.75" customHeight="1">
      <c r="A46" s="71"/>
      <c r="AL46" s="7"/>
    </row>
    <row r="47" spans="1:38" ht="12.75" customHeight="1">
      <c r="A47" s="71"/>
      <c r="AL47" s="7"/>
    </row>
    <row r="48" spans="1:38" ht="12.75" customHeight="1">
      <c r="A48" s="71"/>
      <c r="AL48" s="7"/>
    </row>
    <row r="49" spans="1:38" ht="12.75" customHeight="1">
      <c r="A49" s="71"/>
      <c r="AL49" s="7"/>
    </row>
    <row r="50" spans="1:38" ht="12.75" customHeight="1">
      <c r="A50" s="71"/>
      <c r="AL50" s="7"/>
    </row>
    <row r="51" spans="1:38" ht="12.75" customHeight="1">
      <c r="A51" s="71"/>
      <c r="AL51" s="7"/>
    </row>
    <row r="52" spans="1:38" ht="12.75" customHeight="1">
      <c r="A52" s="71"/>
      <c r="AL52" s="7"/>
    </row>
    <row r="53" spans="1:38" ht="12.75" customHeight="1">
      <c r="A53" s="71"/>
      <c r="AL53" s="7"/>
    </row>
    <row r="54" spans="1:38" ht="12.75" customHeight="1">
      <c r="A54" s="71"/>
      <c r="AL54" s="7"/>
    </row>
    <row r="55" spans="1:38" ht="12.75" customHeight="1">
      <c r="A55" s="71"/>
      <c r="AL55" s="7"/>
    </row>
    <row r="56" spans="1:38" ht="12.75" customHeight="1">
      <c r="A56" s="71"/>
      <c r="AL56" s="7"/>
    </row>
    <row r="57" spans="1:38" ht="12.75" customHeight="1">
      <c r="A57" s="71"/>
      <c r="AL57" s="7"/>
    </row>
    <row r="58" spans="1:38" ht="12.75" customHeight="1">
      <c r="A58" s="71"/>
      <c r="AL58" s="7"/>
    </row>
    <row r="59" spans="1:38" ht="12.75" customHeight="1">
      <c r="A59" s="71"/>
      <c r="AL59" s="7"/>
    </row>
    <row r="60" spans="1:38" ht="12.75" customHeight="1">
      <c r="A60" s="71"/>
      <c r="AL60" s="7"/>
    </row>
    <row r="61" spans="1:38" ht="12.75" customHeight="1">
      <c r="A61" s="71"/>
      <c r="AL61" s="7"/>
    </row>
    <row r="62" spans="1:38" ht="12.75" customHeight="1">
      <c r="A62" s="71"/>
      <c r="AL62" s="7"/>
    </row>
    <row r="63" spans="1:38" ht="12.75" customHeight="1">
      <c r="A63" s="71"/>
      <c r="AL63" s="7"/>
    </row>
    <row r="64" spans="1:38" ht="12.75" customHeight="1">
      <c r="A64" s="71"/>
      <c r="AL64" s="7"/>
    </row>
    <row r="65" spans="1:38" ht="12.75" customHeight="1">
      <c r="A65" s="71"/>
      <c r="AL65" s="7"/>
    </row>
    <row r="66" spans="1:38" ht="12.75" customHeight="1">
      <c r="A66" s="71"/>
      <c r="AL66" s="7"/>
    </row>
    <row r="67" spans="1:38" ht="12.75" customHeight="1">
      <c r="A67" s="71"/>
      <c r="AL67" s="7"/>
    </row>
    <row r="68" spans="1:38" ht="12.75" customHeight="1">
      <c r="A68" s="71"/>
      <c r="AL68" s="7"/>
    </row>
    <row r="69" spans="1:38" ht="12.75" customHeight="1">
      <c r="A69" s="71"/>
      <c r="AL69" s="7"/>
    </row>
    <row r="70" spans="1:38" ht="12.75" customHeight="1">
      <c r="A70" s="71"/>
      <c r="AL70" s="7"/>
    </row>
    <row r="71" spans="1:38" ht="12.75" customHeight="1">
      <c r="A71" s="71"/>
      <c r="AL71" s="7"/>
    </row>
    <row r="72" spans="1:38" ht="12.75" customHeight="1">
      <c r="A72" s="71"/>
      <c r="AL72" s="7"/>
    </row>
    <row r="73" spans="1:38" ht="12.75" customHeight="1">
      <c r="A73" s="71"/>
      <c r="AL73" s="7"/>
    </row>
    <row r="74" spans="1:38" ht="12.75" customHeight="1">
      <c r="A74" s="71"/>
      <c r="AL74" s="7"/>
    </row>
    <row r="75" spans="1:38" ht="12.75" customHeight="1">
      <c r="A75" s="71"/>
      <c r="AL75" s="7"/>
    </row>
    <row r="76" spans="1:38" ht="12.75" customHeight="1">
      <c r="A76" s="71"/>
      <c r="AL76" s="7"/>
    </row>
    <row r="77" spans="1:38" ht="12.75" customHeight="1">
      <c r="A77" s="71"/>
      <c r="AL77" s="7"/>
    </row>
    <row r="78" spans="1:38" ht="12.75" customHeight="1">
      <c r="A78" s="71"/>
      <c r="AL78" s="7"/>
    </row>
    <row r="79" spans="1:38" ht="12.75" customHeight="1">
      <c r="A79" s="71"/>
      <c r="AL79" s="7"/>
    </row>
    <row r="80" spans="1:38" ht="12.75" customHeight="1">
      <c r="A80" s="71"/>
      <c r="AL80" s="7"/>
    </row>
    <row r="81" spans="1:38" ht="12.75" customHeight="1">
      <c r="A81" s="71"/>
      <c r="AL81" s="7"/>
    </row>
    <row r="82" spans="1:38" ht="12.75" customHeight="1">
      <c r="A82" s="71"/>
      <c r="AL82" s="7"/>
    </row>
    <row r="83" spans="1:38" ht="12.75" customHeight="1">
      <c r="A83" s="71"/>
      <c r="AL83" s="7"/>
    </row>
    <row r="84" spans="1:38" ht="12.75" customHeight="1">
      <c r="A84" s="71"/>
      <c r="AL84" s="7"/>
    </row>
    <row r="85" spans="1:38" ht="12.75" customHeight="1">
      <c r="A85" s="71"/>
      <c r="AL85" s="7"/>
    </row>
    <row r="86" spans="1:38" ht="12.75" customHeight="1">
      <c r="A86" s="71"/>
      <c r="AL86" s="7"/>
    </row>
    <row r="87" spans="1:38" ht="12.75" customHeight="1">
      <c r="A87" s="71"/>
      <c r="AL87" s="7"/>
    </row>
    <row r="88" spans="1:38" ht="12.75" customHeight="1">
      <c r="A88" s="71"/>
      <c r="AL88" s="7"/>
    </row>
    <row r="89" spans="1:38" ht="12.75" customHeight="1">
      <c r="A89" s="71"/>
      <c r="AL89" s="7"/>
    </row>
    <row r="90" spans="1:38" ht="12.75" customHeight="1">
      <c r="A90" s="71"/>
      <c r="AL90" s="7"/>
    </row>
    <row r="91" spans="1:38" ht="12.75" customHeight="1">
      <c r="A91" s="71"/>
      <c r="AL91" s="7"/>
    </row>
    <row r="92" spans="1:38" ht="12.75" customHeight="1">
      <c r="A92" s="71"/>
      <c r="AL92" s="7"/>
    </row>
    <row r="93" spans="1:38" ht="12.75" customHeight="1">
      <c r="A93" s="71"/>
      <c r="AL93" s="7"/>
    </row>
    <row r="94" spans="1:38" ht="12.75" customHeight="1">
      <c r="A94" s="71"/>
      <c r="AL94" s="7"/>
    </row>
    <row r="95" spans="1:38" ht="12.75" customHeight="1">
      <c r="A95" s="71"/>
      <c r="AL95" s="7"/>
    </row>
    <row r="96" spans="1:38" ht="12.75" customHeight="1">
      <c r="A96" s="71"/>
      <c r="AL96" s="7"/>
    </row>
    <row r="97" spans="1:38" ht="12.75" customHeight="1">
      <c r="A97" s="71"/>
      <c r="AL97" s="7"/>
    </row>
    <row r="98" spans="1:38" ht="12.75" customHeight="1">
      <c r="A98" s="71"/>
      <c r="AL98" s="7"/>
    </row>
    <row r="99" spans="1:38" ht="12.75" customHeight="1">
      <c r="A99" s="71"/>
      <c r="AL99" s="7"/>
    </row>
    <row r="100" spans="1:38" ht="12.75" customHeight="1">
      <c r="A100" s="71"/>
      <c r="AL100" s="7"/>
    </row>
    <row r="101" spans="1:38" ht="12.75" customHeight="1">
      <c r="A101" s="71"/>
      <c r="AL101" s="7"/>
    </row>
    <row r="102" spans="1:38" ht="12.75" customHeight="1">
      <c r="A102" s="71"/>
      <c r="AL102" s="7"/>
    </row>
    <row r="103" spans="1:38" ht="12.75" customHeight="1">
      <c r="A103" s="71"/>
      <c r="AL103" s="7"/>
    </row>
    <row r="104" spans="1:38" ht="12.75" customHeight="1">
      <c r="A104" s="71"/>
      <c r="AL104" s="7"/>
    </row>
    <row r="105" spans="1:38" ht="12.75" customHeight="1">
      <c r="A105" s="71"/>
      <c r="AL105" s="7"/>
    </row>
    <row r="106" spans="1:38" ht="12.75" customHeight="1">
      <c r="A106" s="71"/>
      <c r="AL106" s="7"/>
    </row>
    <row r="107" spans="1:38" ht="12.75" customHeight="1">
      <c r="A107" s="71"/>
      <c r="AL107" s="7"/>
    </row>
    <row r="108" spans="1:38" ht="12.75" customHeight="1">
      <c r="A108" s="71"/>
      <c r="AL108" s="7"/>
    </row>
    <row r="109" spans="1:38" ht="12.75" customHeight="1">
      <c r="A109" s="71"/>
      <c r="AL109" s="7"/>
    </row>
    <row r="110" spans="1:38" ht="12.75" customHeight="1">
      <c r="A110" s="71"/>
      <c r="AL110" s="7"/>
    </row>
    <row r="111" spans="1:38" ht="12.75" customHeight="1">
      <c r="A111" s="71"/>
      <c r="AL111" s="7"/>
    </row>
    <row r="112" spans="1:38" ht="12.75" customHeight="1">
      <c r="A112" s="71"/>
      <c r="AL112" s="7"/>
    </row>
    <row r="113" spans="1:38" ht="12.75" customHeight="1">
      <c r="A113" s="71"/>
      <c r="AL113" s="7"/>
    </row>
    <row r="114" spans="1:38" ht="12.75" customHeight="1">
      <c r="A114" s="71"/>
      <c r="AL114" s="7"/>
    </row>
    <row r="115" spans="1:38" ht="12.75" customHeight="1">
      <c r="A115" s="71"/>
      <c r="AL115" s="7"/>
    </row>
    <row r="116" spans="1:38" ht="12.75" customHeight="1">
      <c r="A116" s="71"/>
      <c r="AL116" s="7"/>
    </row>
    <row r="117" spans="1:38" ht="12.75" customHeight="1">
      <c r="A117" s="71"/>
      <c r="AL117" s="7"/>
    </row>
    <row r="118" spans="1:38" ht="12.75" customHeight="1">
      <c r="A118" s="71"/>
      <c r="AL118" s="7"/>
    </row>
    <row r="119" spans="1:38" ht="12.75" customHeight="1">
      <c r="A119" s="71"/>
      <c r="AL119" s="7"/>
    </row>
    <row r="120" spans="1:38" ht="12.75" customHeight="1">
      <c r="A120" s="71"/>
      <c r="AL120" s="7"/>
    </row>
    <row r="121" spans="1:38" ht="12.75" customHeight="1">
      <c r="A121" s="71"/>
      <c r="AL121" s="7"/>
    </row>
    <row r="122" spans="1:38" ht="12.75" customHeight="1">
      <c r="A122" s="71"/>
      <c r="AL122" s="7"/>
    </row>
    <row r="123" spans="1:38" ht="12.75" customHeight="1">
      <c r="A123" s="71"/>
      <c r="AL123" s="7"/>
    </row>
    <row r="124" spans="1:38" ht="12.75" customHeight="1">
      <c r="A124" s="71"/>
      <c r="AL124" s="7"/>
    </row>
    <row r="125" spans="1:38" ht="12.75" customHeight="1">
      <c r="A125" s="71"/>
      <c r="AL125" s="7"/>
    </row>
    <row r="126" spans="1:38" ht="12.75" customHeight="1">
      <c r="A126" s="71"/>
      <c r="AL126" s="7"/>
    </row>
    <row r="127" spans="1:38" ht="12.75" customHeight="1">
      <c r="A127" s="71"/>
      <c r="AL127" s="7"/>
    </row>
    <row r="128" spans="1:38" ht="12.75" customHeight="1">
      <c r="A128" s="71"/>
      <c r="AL128" s="7"/>
    </row>
    <row r="129" spans="1:38" ht="12.75" customHeight="1">
      <c r="A129" s="71"/>
      <c r="AL129" s="7"/>
    </row>
    <row r="130" spans="1:38" ht="12.75" customHeight="1">
      <c r="A130" s="71"/>
      <c r="AL130" s="7"/>
    </row>
    <row r="131" spans="1:38" ht="12.75" customHeight="1">
      <c r="A131" s="71"/>
      <c r="AL131" s="7"/>
    </row>
    <row r="132" spans="1:38" ht="12.75" customHeight="1">
      <c r="A132" s="71"/>
      <c r="AL132" s="7"/>
    </row>
    <row r="133" spans="1:38" ht="12.75" customHeight="1">
      <c r="A133" s="71"/>
      <c r="AL133" s="7"/>
    </row>
    <row r="134" spans="1:38" ht="12.75" customHeight="1">
      <c r="A134" s="71"/>
      <c r="AL134" s="7"/>
    </row>
    <row r="135" spans="1:38" ht="12.75" customHeight="1">
      <c r="A135" s="71"/>
      <c r="AL135" s="7"/>
    </row>
    <row r="136" spans="1:38" ht="12.75" customHeight="1">
      <c r="A136" s="71"/>
      <c r="AL136" s="7"/>
    </row>
    <row r="137" spans="1:38" ht="12.75" customHeight="1">
      <c r="A137" s="71"/>
      <c r="AL137" s="7"/>
    </row>
    <row r="138" spans="1:38" ht="12.75" customHeight="1">
      <c r="A138" s="71"/>
      <c r="AL138" s="7"/>
    </row>
    <row r="139" spans="1:38" ht="12.75" customHeight="1">
      <c r="A139" s="71"/>
      <c r="AL139" s="7"/>
    </row>
    <row r="140" spans="1:38" ht="12.75" customHeight="1">
      <c r="A140" s="71"/>
      <c r="AL140" s="7"/>
    </row>
    <row r="141" spans="1:38" ht="12.75" customHeight="1">
      <c r="A141" s="71"/>
      <c r="AL141" s="7"/>
    </row>
    <row r="142" spans="1:38" ht="12.75" customHeight="1">
      <c r="A142" s="71"/>
      <c r="AL142" s="7"/>
    </row>
    <row r="143" spans="1:38" ht="12.75" customHeight="1">
      <c r="A143" s="71"/>
      <c r="AL143" s="7"/>
    </row>
    <row r="144" spans="1:38" ht="12.75" customHeight="1">
      <c r="A144" s="71"/>
      <c r="AL144" s="7"/>
    </row>
    <row r="145" spans="1:38" ht="12.75" customHeight="1">
      <c r="A145" s="71"/>
      <c r="AL145" s="7"/>
    </row>
    <row r="146" spans="1:38" ht="12.75" customHeight="1">
      <c r="A146" s="71"/>
      <c r="AL146" s="7"/>
    </row>
    <row r="147" spans="1:38" ht="12.75" customHeight="1">
      <c r="A147" s="71"/>
      <c r="AL147" s="7"/>
    </row>
    <row r="148" spans="1:38" ht="12.75" customHeight="1">
      <c r="A148" s="71"/>
      <c r="AL148" s="7"/>
    </row>
    <row r="149" spans="1:38" ht="12.75" customHeight="1">
      <c r="A149" s="71"/>
      <c r="AL149" s="7"/>
    </row>
    <row r="150" spans="1:38" ht="12.75" customHeight="1">
      <c r="A150" s="71"/>
      <c r="AL150" s="7"/>
    </row>
    <row r="151" spans="1:38" ht="12.75" customHeight="1">
      <c r="A151" s="71"/>
      <c r="AL151" s="7"/>
    </row>
    <row r="152" spans="1:38" ht="12.75" customHeight="1">
      <c r="A152" s="71"/>
      <c r="AL152" s="7"/>
    </row>
    <row r="153" spans="1:38" ht="12.75" customHeight="1">
      <c r="A153" s="71"/>
      <c r="AL153" s="7"/>
    </row>
    <row r="154" spans="1:38" ht="12.75" customHeight="1">
      <c r="A154" s="71"/>
      <c r="AL154" s="7"/>
    </row>
    <row r="155" spans="1:38" ht="12.75" customHeight="1">
      <c r="A155" s="71"/>
      <c r="AL155" s="7"/>
    </row>
    <row r="156" spans="1:38" ht="12.75" customHeight="1">
      <c r="A156" s="71"/>
      <c r="AL156" s="7"/>
    </row>
    <row r="157" spans="1:38" ht="12.75" customHeight="1">
      <c r="A157" s="71"/>
      <c r="AL157" s="7"/>
    </row>
    <row r="158" spans="1:38" ht="12.75" customHeight="1">
      <c r="A158" s="71"/>
      <c r="AL158" s="7"/>
    </row>
    <row r="159" spans="1:38" ht="12.75" customHeight="1">
      <c r="A159" s="71"/>
      <c r="AL159" s="7"/>
    </row>
    <row r="160" spans="1:38" ht="12.75" customHeight="1">
      <c r="A160" s="71"/>
      <c r="AL160" s="7"/>
    </row>
    <row r="161" spans="1:38" ht="12.75" customHeight="1">
      <c r="A161" s="71"/>
      <c r="AL161" s="7"/>
    </row>
    <row r="162" spans="1:38" ht="12.75" customHeight="1">
      <c r="A162" s="71"/>
      <c r="AL162" s="7"/>
    </row>
    <row r="163" spans="1:38" ht="12.75" customHeight="1">
      <c r="A163" s="71"/>
      <c r="AL163" s="7"/>
    </row>
    <row r="164" spans="1:38" ht="12.75" customHeight="1">
      <c r="A164" s="71"/>
      <c r="AL164" s="7"/>
    </row>
    <row r="165" spans="1:38" ht="12.75" customHeight="1">
      <c r="A165" s="71"/>
      <c r="AL165" s="7"/>
    </row>
    <row r="166" spans="1:38" ht="12.75" customHeight="1">
      <c r="A166" s="71"/>
      <c r="AL166" s="7"/>
    </row>
    <row r="167" spans="1:38" ht="12.75" customHeight="1">
      <c r="A167" s="71"/>
      <c r="AL167" s="7"/>
    </row>
    <row r="168" spans="1:38" ht="12.75" customHeight="1">
      <c r="A168" s="71"/>
      <c r="AL168" s="7"/>
    </row>
    <row r="169" spans="1:38" ht="12.75" customHeight="1">
      <c r="A169" s="71"/>
      <c r="AL169" s="7"/>
    </row>
    <row r="170" spans="1:38" ht="12.75" customHeight="1">
      <c r="A170" s="71"/>
      <c r="AL170" s="7"/>
    </row>
    <row r="171" spans="1:38" ht="12.75" customHeight="1">
      <c r="A171" s="71"/>
      <c r="AL171" s="7"/>
    </row>
    <row r="172" spans="1:38" ht="12.75" customHeight="1">
      <c r="A172" s="71"/>
      <c r="AL172" s="7"/>
    </row>
    <row r="173" spans="1:38" ht="12.75" customHeight="1">
      <c r="A173" s="71"/>
      <c r="AL173" s="7"/>
    </row>
    <row r="174" spans="1:38" ht="12.75" customHeight="1">
      <c r="A174" s="71"/>
      <c r="AL174" s="7"/>
    </row>
    <row r="175" spans="1:38" ht="12.75" customHeight="1">
      <c r="A175" s="71"/>
      <c r="AL175" s="7"/>
    </row>
    <row r="176" spans="1:38" ht="12.75" customHeight="1">
      <c r="A176" s="71"/>
      <c r="AL176" s="7"/>
    </row>
    <row r="177" spans="1:38" ht="12.75" customHeight="1">
      <c r="A177" s="71"/>
      <c r="AL177" s="7"/>
    </row>
    <row r="178" spans="1:38" ht="12.75" customHeight="1">
      <c r="A178" s="71"/>
      <c r="AL178" s="7"/>
    </row>
    <row r="179" spans="1:38" ht="12.75" customHeight="1">
      <c r="A179" s="71"/>
      <c r="AL179" s="7"/>
    </row>
    <row r="180" spans="1:38" ht="12.75" customHeight="1">
      <c r="A180" s="71"/>
      <c r="AL180" s="7"/>
    </row>
    <row r="181" spans="1:38" ht="12.75" customHeight="1">
      <c r="A181" s="71"/>
      <c r="AL181" s="7"/>
    </row>
    <row r="182" spans="1:38" ht="12.75" customHeight="1">
      <c r="A182" s="71"/>
      <c r="AL182" s="7"/>
    </row>
    <row r="183" spans="1:38" ht="12.75" customHeight="1">
      <c r="A183" s="71"/>
      <c r="AL183" s="7"/>
    </row>
    <row r="184" spans="1:38" ht="12.75" customHeight="1">
      <c r="A184" s="71"/>
      <c r="AL184" s="7"/>
    </row>
    <row r="185" spans="1:38" ht="12.75" customHeight="1">
      <c r="A185" s="71"/>
      <c r="AL185" s="7"/>
    </row>
    <row r="186" spans="1:38" ht="12.75" customHeight="1">
      <c r="A186" s="71"/>
      <c r="AL186" s="7"/>
    </row>
    <row r="187" spans="1:38" ht="12.75" customHeight="1">
      <c r="A187" s="71"/>
      <c r="AL187" s="7"/>
    </row>
    <row r="188" spans="1:38" ht="12.75" customHeight="1">
      <c r="A188" s="71"/>
      <c r="AL188" s="7"/>
    </row>
    <row r="189" spans="1:38" ht="12.75" customHeight="1">
      <c r="A189" s="71"/>
      <c r="AL189" s="7"/>
    </row>
    <row r="190" spans="1:38" ht="12.75" customHeight="1">
      <c r="A190" s="71"/>
      <c r="AL190" s="7"/>
    </row>
    <row r="191" spans="1:38" ht="12.75" customHeight="1">
      <c r="A191" s="71"/>
      <c r="AL191" s="7"/>
    </row>
    <row r="192" spans="1:38" ht="12.75" customHeight="1">
      <c r="A192" s="71"/>
      <c r="AL192" s="7"/>
    </row>
    <row r="193" spans="1:38" ht="12.75" customHeight="1">
      <c r="A193" s="71"/>
      <c r="AL193" s="7"/>
    </row>
    <row r="194" spans="1:38" ht="12.75" customHeight="1">
      <c r="A194" s="71"/>
      <c r="AL194" s="7"/>
    </row>
    <row r="195" spans="1:38" ht="12.75" customHeight="1">
      <c r="A195" s="71"/>
      <c r="AL195" s="7"/>
    </row>
    <row r="196" spans="1:38" ht="12.75" customHeight="1">
      <c r="A196" s="71"/>
      <c r="AL196" s="7"/>
    </row>
    <row r="197" spans="1:38" ht="12.75" customHeight="1">
      <c r="A197" s="71"/>
      <c r="AL197" s="7"/>
    </row>
    <row r="198" spans="1:38" ht="12.75" customHeight="1">
      <c r="A198" s="71"/>
      <c r="AL198" s="7"/>
    </row>
    <row r="199" spans="1:38" ht="12.75" customHeight="1">
      <c r="A199" s="71"/>
      <c r="AL199" s="7"/>
    </row>
    <row r="200" spans="1:38" ht="12.75" customHeight="1">
      <c r="A200" s="71"/>
      <c r="AL200" s="7"/>
    </row>
    <row r="201" spans="1:38" ht="12.75" customHeight="1">
      <c r="A201" s="71"/>
      <c r="AL201" s="7"/>
    </row>
    <row r="202" spans="1:38" ht="12.75" customHeight="1">
      <c r="A202" s="71"/>
      <c r="AL202" s="7"/>
    </row>
    <row r="203" spans="1:38" ht="12.75" customHeight="1">
      <c r="A203" s="71"/>
      <c r="AL203" s="7"/>
    </row>
    <row r="204" spans="1:38" ht="12.75" customHeight="1">
      <c r="A204" s="71"/>
      <c r="AL204" s="7"/>
    </row>
    <row r="205" spans="1:38" ht="12.75" customHeight="1">
      <c r="A205" s="71"/>
      <c r="AL205" s="7"/>
    </row>
    <row r="206" spans="1:38" ht="12.75" customHeight="1">
      <c r="A206" s="71"/>
      <c r="AL206" s="7"/>
    </row>
    <row r="207" spans="1:38" ht="12.75" customHeight="1">
      <c r="A207" s="71"/>
      <c r="AL207" s="7"/>
    </row>
    <row r="208" spans="1:38" ht="12.75" customHeight="1">
      <c r="A208" s="71"/>
      <c r="AL208" s="7"/>
    </row>
    <row r="209" spans="1:38" ht="12.75" customHeight="1">
      <c r="A209" s="71"/>
      <c r="AL209" s="7"/>
    </row>
    <row r="210" spans="1:38" ht="12.75" customHeight="1">
      <c r="A210" s="71"/>
      <c r="AL210" s="7"/>
    </row>
    <row r="211" spans="1:38" ht="12.75" customHeight="1">
      <c r="A211" s="71"/>
      <c r="AL211" s="7"/>
    </row>
    <row r="212" spans="1:38" ht="12.75" customHeight="1">
      <c r="A212" s="71"/>
      <c r="AL212" s="7"/>
    </row>
    <row r="213" spans="1:38" ht="12.75" customHeight="1">
      <c r="A213" s="71"/>
      <c r="AL213" s="7"/>
    </row>
    <row r="214" spans="1:38" ht="12.75" customHeight="1">
      <c r="A214" s="71"/>
      <c r="AL214" s="7"/>
    </row>
    <row r="215" spans="1:38" ht="12.75" customHeight="1">
      <c r="A215" s="71"/>
      <c r="AL215" s="7"/>
    </row>
    <row r="216" spans="1:38" ht="12.75" customHeight="1">
      <c r="A216" s="71"/>
      <c r="AL216" s="7"/>
    </row>
    <row r="217" spans="1:38" ht="12.75" customHeight="1">
      <c r="A217" s="71"/>
      <c r="AL217" s="7"/>
    </row>
    <row r="218" spans="1:38" ht="12.75" customHeight="1">
      <c r="A218" s="71"/>
      <c r="AL218" s="7"/>
    </row>
    <row r="219" spans="1:38" ht="12.75" customHeight="1">
      <c r="A219" s="71"/>
      <c r="AL219" s="7"/>
    </row>
    <row r="220" spans="1:38" ht="12.75" customHeight="1">
      <c r="A220" s="71"/>
      <c r="AL220" s="7"/>
    </row>
    <row r="221" spans="1:38" ht="12.75" customHeight="1">
      <c r="A221" s="71"/>
      <c r="AL221" s="7"/>
    </row>
    <row r="222" spans="1:38" ht="12.75" customHeight="1">
      <c r="A222" s="71"/>
      <c r="AL222" s="7"/>
    </row>
    <row r="223" spans="1:38" ht="12.75" customHeight="1">
      <c r="A223" s="71"/>
      <c r="AL223" s="7"/>
    </row>
    <row r="224" spans="1:38" ht="12.75" customHeight="1">
      <c r="A224" s="71"/>
      <c r="AL224" s="7"/>
    </row>
    <row r="225" spans="1:38" ht="12.75" customHeight="1">
      <c r="A225" s="71"/>
      <c r="AL225" s="7"/>
    </row>
    <row r="226" spans="1:38" ht="12.75" customHeight="1">
      <c r="A226" s="71"/>
      <c r="AL226" s="7"/>
    </row>
    <row r="227" spans="1:38" ht="12.75" customHeight="1">
      <c r="A227" s="71"/>
      <c r="AL227" s="7"/>
    </row>
    <row r="228" spans="1:38" ht="12.75" customHeight="1">
      <c r="A228" s="71"/>
      <c r="AL228" s="7"/>
    </row>
    <row r="229" spans="1:38" ht="12.75" customHeight="1">
      <c r="A229" s="71"/>
      <c r="AL229" s="7"/>
    </row>
    <row r="230" spans="1:38" ht="12.75" customHeight="1">
      <c r="A230" s="71"/>
      <c r="AL230" s="7"/>
    </row>
    <row r="231" spans="1:38" ht="12.75" customHeight="1">
      <c r="A231" s="71"/>
      <c r="AL231" s="7"/>
    </row>
    <row r="232" spans="1:38" ht="12.75" customHeight="1">
      <c r="A232" s="71"/>
      <c r="AL232" s="7"/>
    </row>
    <row r="233" spans="1:38" ht="12.75" customHeight="1">
      <c r="A233" s="71"/>
      <c r="AL233" s="7"/>
    </row>
    <row r="234" spans="1:38" ht="12.75" customHeight="1">
      <c r="A234" s="71"/>
      <c r="AL234" s="7"/>
    </row>
    <row r="235" spans="1:38" ht="12.75" customHeight="1">
      <c r="A235" s="71"/>
      <c r="AL235" s="7"/>
    </row>
    <row r="236" spans="1:38" ht="12.75" customHeight="1">
      <c r="A236" s="71"/>
      <c r="AL236" s="7"/>
    </row>
    <row r="237" spans="1:38" ht="12.75" customHeight="1">
      <c r="A237" s="71"/>
      <c r="AL237" s="7"/>
    </row>
    <row r="238" spans="1:38" ht="12.75" customHeight="1">
      <c r="A238" s="71"/>
      <c r="AL238" s="7"/>
    </row>
    <row r="239" spans="1:38" ht="12.75" customHeight="1">
      <c r="A239" s="71"/>
      <c r="AL239" s="7"/>
    </row>
    <row r="240" spans="1:38" ht="12.75" customHeight="1">
      <c r="A240" s="71"/>
      <c r="AL240" s="7"/>
    </row>
    <row r="241" spans="1:38" ht="12.75" customHeight="1">
      <c r="A241" s="71"/>
      <c r="AL241" s="7"/>
    </row>
    <row r="242" spans="1:38" ht="12.75" customHeight="1">
      <c r="A242" s="71"/>
      <c r="AL242" s="7"/>
    </row>
    <row r="243" spans="1:38" ht="12.75" customHeight="1">
      <c r="A243" s="71"/>
      <c r="AL243" s="7"/>
    </row>
    <row r="244" spans="1:38" ht="12.75" customHeight="1">
      <c r="A244" s="71"/>
      <c r="AL244" s="7"/>
    </row>
    <row r="245" spans="1:38" ht="12.75" customHeight="1">
      <c r="A245" s="71"/>
      <c r="AL245" s="7"/>
    </row>
    <row r="246" spans="1:38" ht="12.75" customHeight="1">
      <c r="A246" s="71"/>
      <c r="AL246" s="7"/>
    </row>
    <row r="247" spans="1:38" ht="12.75" customHeight="1">
      <c r="A247" s="71"/>
      <c r="AL247" s="7"/>
    </row>
    <row r="248" spans="1:38" ht="12.75" customHeight="1">
      <c r="A248" s="71"/>
      <c r="AL248" s="7"/>
    </row>
    <row r="249" spans="1:38" ht="12.75" customHeight="1">
      <c r="A249" s="71"/>
      <c r="AL249" s="7"/>
    </row>
    <row r="250" spans="1:38" ht="12.75" customHeight="1">
      <c r="A250" s="71"/>
      <c r="AL250" s="7"/>
    </row>
    <row r="251" spans="1:38" ht="12.75" customHeight="1">
      <c r="A251" s="71"/>
      <c r="AL251" s="7"/>
    </row>
    <row r="252" spans="1:38" ht="12.75" customHeight="1">
      <c r="A252" s="71"/>
      <c r="AL252" s="7"/>
    </row>
    <row r="253" spans="1:38" ht="12.75" customHeight="1">
      <c r="A253" s="71"/>
      <c r="AL253" s="7"/>
    </row>
    <row r="254" spans="1:38" ht="12.75" customHeight="1">
      <c r="A254" s="71"/>
      <c r="AL254" s="7"/>
    </row>
    <row r="255" spans="1:38" ht="12.75" customHeight="1">
      <c r="A255" s="71"/>
      <c r="AL255" s="7"/>
    </row>
    <row r="256" spans="1:38" ht="12.75" customHeight="1">
      <c r="A256" s="71"/>
      <c r="AL256" s="7"/>
    </row>
    <row r="257" spans="1:38" ht="12.75" customHeight="1">
      <c r="A257" s="71"/>
      <c r="AL257" s="7"/>
    </row>
    <row r="258" spans="1:38" ht="12.75" customHeight="1">
      <c r="A258" s="71"/>
      <c r="AL258" s="7"/>
    </row>
    <row r="259" spans="1:38" ht="12.75" customHeight="1">
      <c r="A259" s="71"/>
      <c r="AL259" s="7"/>
    </row>
    <row r="260" spans="1:38" ht="12.75" customHeight="1">
      <c r="A260" s="71"/>
      <c r="AL260" s="7"/>
    </row>
    <row r="261" spans="1:38" ht="12.75" customHeight="1">
      <c r="A261" s="71"/>
      <c r="AL261" s="7"/>
    </row>
    <row r="262" spans="1:38" ht="12.75" customHeight="1">
      <c r="A262" s="71"/>
      <c r="AL262" s="7"/>
    </row>
    <row r="263" spans="1:38" ht="12.75" customHeight="1">
      <c r="A263" s="71"/>
      <c r="AL263" s="7"/>
    </row>
    <row r="264" spans="1:38" ht="12.75" customHeight="1">
      <c r="A264" s="71"/>
      <c r="AL264" s="7"/>
    </row>
    <row r="265" spans="1:38" ht="12.75" customHeight="1">
      <c r="A265" s="71"/>
      <c r="AL265" s="7"/>
    </row>
    <row r="266" spans="1:38" ht="12.75" customHeight="1">
      <c r="A266" s="71"/>
      <c r="AL266" s="7"/>
    </row>
    <row r="267" spans="1:38" ht="12.75" customHeight="1">
      <c r="A267" s="71"/>
      <c r="AL267" s="7"/>
    </row>
    <row r="268" spans="1:38" ht="12.75" customHeight="1">
      <c r="A268" s="71"/>
      <c r="AL268" s="7"/>
    </row>
    <row r="269" spans="1:38" ht="12.75" customHeight="1">
      <c r="A269" s="71"/>
      <c r="AL269" s="7"/>
    </row>
    <row r="270" spans="1:38" ht="12.75" customHeight="1">
      <c r="A270" s="71"/>
      <c r="AL270" s="7"/>
    </row>
    <row r="271" spans="1:38" ht="12.75" customHeight="1">
      <c r="A271" s="71"/>
      <c r="AL271" s="7"/>
    </row>
    <row r="272" spans="1:38" ht="12.75" customHeight="1">
      <c r="A272" s="71"/>
      <c r="AL272" s="7"/>
    </row>
    <row r="273" spans="1:38" ht="12.75" customHeight="1">
      <c r="A273" s="71"/>
      <c r="AL273" s="7"/>
    </row>
    <row r="274" spans="1:38" ht="12.75" customHeight="1">
      <c r="A274" s="71"/>
      <c r="AL274" s="7"/>
    </row>
    <row r="275" spans="1:38" ht="12.75" customHeight="1">
      <c r="A275" s="71"/>
      <c r="AL275" s="7"/>
    </row>
    <row r="276" spans="1:38" ht="12.75" customHeight="1">
      <c r="A276" s="71"/>
      <c r="AL276" s="7"/>
    </row>
    <row r="277" spans="1:38" ht="12.75" customHeight="1">
      <c r="A277" s="71"/>
      <c r="AL277" s="7"/>
    </row>
    <row r="278" spans="1:38" ht="12.75" customHeight="1">
      <c r="A278" s="71"/>
      <c r="AL278" s="7"/>
    </row>
    <row r="279" spans="1:38" ht="12.75" customHeight="1">
      <c r="A279" s="71"/>
      <c r="AL279" s="7"/>
    </row>
    <row r="280" spans="1:38" ht="12.75" customHeight="1">
      <c r="A280" s="71"/>
      <c r="AL280" s="7"/>
    </row>
    <row r="281" spans="1:38" ht="12.75" customHeight="1">
      <c r="A281" s="71"/>
      <c r="AL281" s="7"/>
    </row>
    <row r="282" spans="1:38" ht="12.75" customHeight="1">
      <c r="A282" s="71"/>
      <c r="AL282" s="7"/>
    </row>
    <row r="283" spans="1:38" ht="12.75" customHeight="1">
      <c r="A283" s="71"/>
      <c r="AL283" s="7"/>
    </row>
    <row r="284" spans="1:38" ht="12.75" customHeight="1">
      <c r="A284" s="71"/>
      <c r="AL284" s="7"/>
    </row>
    <row r="285" spans="1:38" ht="12.75" customHeight="1">
      <c r="A285" s="71"/>
      <c r="AL285" s="7"/>
    </row>
    <row r="286" spans="1:38" ht="12.75" customHeight="1">
      <c r="A286" s="71"/>
      <c r="AL286" s="7"/>
    </row>
    <row r="287" spans="1:38" ht="12.75" customHeight="1">
      <c r="A287" s="71"/>
      <c r="AL287" s="7"/>
    </row>
    <row r="288" spans="1:38" ht="12.75" customHeight="1">
      <c r="A288" s="71"/>
      <c r="AL288" s="7"/>
    </row>
    <row r="289" spans="1:38" ht="12.75" customHeight="1">
      <c r="A289" s="71"/>
      <c r="AL289" s="7"/>
    </row>
    <row r="290" spans="1:38" ht="12.75" customHeight="1">
      <c r="A290" s="71"/>
      <c r="AL290" s="7"/>
    </row>
    <row r="291" spans="1:38" ht="12.75" customHeight="1">
      <c r="A291" s="71"/>
      <c r="AL291" s="7"/>
    </row>
    <row r="292" spans="1:38" ht="12.75" customHeight="1">
      <c r="A292" s="71"/>
      <c r="AL292" s="7"/>
    </row>
    <row r="293" spans="1:38" ht="12.75" customHeight="1">
      <c r="A293" s="71"/>
      <c r="AL293" s="7"/>
    </row>
    <row r="294" spans="1:38" ht="12.75" customHeight="1">
      <c r="A294" s="71"/>
      <c r="AL294" s="7"/>
    </row>
    <row r="295" spans="1:38" ht="12.75" customHeight="1">
      <c r="A295" s="71"/>
      <c r="AL295" s="7"/>
    </row>
    <row r="296" spans="1:38" ht="12.75" customHeight="1">
      <c r="A296" s="71"/>
      <c r="AL296" s="7"/>
    </row>
    <row r="297" spans="1:38" ht="12.75" customHeight="1">
      <c r="A297" s="71"/>
      <c r="AL297" s="7"/>
    </row>
    <row r="298" spans="1:38" ht="12.75" customHeight="1">
      <c r="A298" s="71"/>
      <c r="AL298" s="7"/>
    </row>
    <row r="299" spans="1:38" ht="12.75" customHeight="1">
      <c r="A299" s="71"/>
      <c r="AL299" s="7"/>
    </row>
    <row r="300" spans="1:38" ht="12.75" customHeight="1">
      <c r="A300" s="71"/>
      <c r="AL300" s="7"/>
    </row>
    <row r="301" spans="1:38" ht="12.75" customHeight="1">
      <c r="A301" s="71"/>
      <c r="AL301" s="7"/>
    </row>
    <row r="302" spans="1:38" ht="12.75" customHeight="1">
      <c r="A302" s="71"/>
      <c r="AL302" s="7"/>
    </row>
    <row r="303" spans="1:38" ht="12.75" customHeight="1">
      <c r="A303" s="71"/>
      <c r="AL303" s="7"/>
    </row>
    <row r="304" spans="1:38" ht="12.75" customHeight="1">
      <c r="A304" s="71"/>
      <c r="AL304" s="7"/>
    </row>
    <row r="305" spans="1:38" ht="12.75" customHeight="1">
      <c r="A305" s="71"/>
      <c r="AL305" s="7"/>
    </row>
    <row r="306" spans="1:38" ht="12.75" customHeight="1">
      <c r="A306" s="71"/>
      <c r="AL306" s="7"/>
    </row>
    <row r="307" spans="1:38" ht="12.75" customHeight="1">
      <c r="A307" s="71"/>
      <c r="AL307" s="7"/>
    </row>
    <row r="308" spans="1:38" ht="12.75" customHeight="1">
      <c r="A308" s="71"/>
      <c r="AL308" s="7"/>
    </row>
    <row r="309" spans="1:38" ht="12.75" customHeight="1">
      <c r="A309" s="71"/>
      <c r="AL309" s="7"/>
    </row>
    <row r="310" spans="1:38" ht="12.75" customHeight="1">
      <c r="A310" s="71"/>
      <c r="AL310" s="7"/>
    </row>
    <row r="311" spans="1:38" ht="12.75" customHeight="1">
      <c r="A311" s="71"/>
      <c r="AL311" s="7"/>
    </row>
    <row r="312" spans="1:38" ht="12.75" customHeight="1">
      <c r="A312" s="71"/>
      <c r="AL312" s="7"/>
    </row>
    <row r="313" spans="1:38" ht="12.75" customHeight="1">
      <c r="A313" s="71"/>
      <c r="AL313" s="7"/>
    </row>
    <row r="314" spans="1:38" ht="12.75" customHeight="1">
      <c r="A314" s="71"/>
      <c r="AL314" s="7"/>
    </row>
    <row r="315" spans="1:38" ht="12.75" customHeight="1">
      <c r="A315" s="71"/>
      <c r="AL315" s="7"/>
    </row>
    <row r="316" spans="1:38" ht="12.75" customHeight="1">
      <c r="A316" s="71"/>
      <c r="AL316" s="7"/>
    </row>
    <row r="317" spans="1:38" ht="12.75" customHeight="1">
      <c r="A317" s="71"/>
      <c r="AL317" s="7"/>
    </row>
    <row r="318" spans="1:38" ht="12.75" customHeight="1">
      <c r="A318" s="71"/>
      <c r="AL318" s="7"/>
    </row>
    <row r="319" spans="1:38" ht="12.75" customHeight="1">
      <c r="A319" s="71"/>
      <c r="AL319" s="7"/>
    </row>
    <row r="320" spans="1:38" ht="12.75" customHeight="1">
      <c r="A320" s="71"/>
      <c r="AL320" s="7"/>
    </row>
    <row r="321" spans="1:38" ht="12.75" customHeight="1">
      <c r="A321" s="71"/>
      <c r="AL321" s="7"/>
    </row>
    <row r="322" spans="1:38" ht="12.75" customHeight="1">
      <c r="A322" s="71"/>
      <c r="AL322" s="7"/>
    </row>
    <row r="323" spans="1:38" ht="12.75" customHeight="1">
      <c r="A323" s="71"/>
      <c r="AL323" s="7"/>
    </row>
    <row r="324" spans="1:38" ht="12.75" customHeight="1">
      <c r="A324" s="71"/>
      <c r="AL324" s="7"/>
    </row>
    <row r="325" spans="1:38" ht="12.75" customHeight="1">
      <c r="A325" s="71"/>
      <c r="AL325" s="7"/>
    </row>
    <row r="326" spans="1:38" ht="12.75" customHeight="1">
      <c r="A326" s="71"/>
      <c r="AL326" s="7"/>
    </row>
    <row r="327" spans="1:38" ht="12.75" customHeight="1">
      <c r="A327" s="71"/>
      <c r="AL327" s="7"/>
    </row>
    <row r="328" spans="1:38" ht="12.75" customHeight="1">
      <c r="A328" s="71"/>
      <c r="AL328" s="7"/>
    </row>
    <row r="329" spans="1:38" ht="12.75" customHeight="1">
      <c r="A329" s="71"/>
      <c r="AL329" s="7"/>
    </row>
    <row r="330" spans="1:38" ht="12.75" customHeight="1">
      <c r="A330" s="71"/>
      <c r="AL330" s="7"/>
    </row>
    <row r="331" spans="1:38" ht="12.75" customHeight="1">
      <c r="A331" s="71"/>
      <c r="AL331" s="7"/>
    </row>
    <row r="332" spans="1:38" ht="12.75" customHeight="1">
      <c r="A332" s="71"/>
      <c r="AL332" s="7"/>
    </row>
    <row r="333" spans="1:38" ht="12.75" customHeight="1">
      <c r="A333" s="71"/>
      <c r="AL333" s="7"/>
    </row>
    <row r="334" spans="1:38" ht="12.75" customHeight="1">
      <c r="A334" s="71"/>
      <c r="AL334" s="7"/>
    </row>
    <row r="335" spans="1:38" ht="12.75" customHeight="1">
      <c r="A335" s="71"/>
      <c r="AL335" s="7"/>
    </row>
    <row r="336" spans="1:38" ht="12.75" customHeight="1">
      <c r="A336" s="71"/>
      <c r="AL336" s="7"/>
    </row>
    <row r="337" spans="1:38" ht="12.75" customHeight="1">
      <c r="A337" s="71"/>
      <c r="AL337" s="7"/>
    </row>
    <row r="338" spans="1:38" ht="12.75" customHeight="1">
      <c r="A338" s="71"/>
      <c r="AL338" s="7"/>
    </row>
    <row r="339" spans="1:38" ht="12.75" customHeight="1">
      <c r="A339" s="71"/>
      <c r="AL339" s="7"/>
    </row>
    <row r="340" spans="1:38" ht="12.75" customHeight="1">
      <c r="A340" s="71"/>
      <c r="AL340" s="7"/>
    </row>
    <row r="341" spans="1:38" ht="12.75" customHeight="1">
      <c r="A341" s="71"/>
      <c r="AL341" s="7"/>
    </row>
    <row r="342" spans="1:38" ht="12.75" customHeight="1">
      <c r="A342" s="71"/>
      <c r="AL342" s="7"/>
    </row>
    <row r="343" spans="1:38" ht="12.75" customHeight="1">
      <c r="A343" s="71"/>
      <c r="AL343" s="7"/>
    </row>
    <row r="344" spans="1:38" ht="12.75" customHeight="1">
      <c r="A344" s="71"/>
      <c r="AL344" s="7"/>
    </row>
    <row r="345" spans="1:38" ht="12.75" customHeight="1">
      <c r="A345" s="71"/>
      <c r="AL345" s="7"/>
    </row>
    <row r="346" spans="1:38" ht="12.75" customHeight="1">
      <c r="A346" s="71"/>
      <c r="AL346" s="7"/>
    </row>
    <row r="347" spans="1:38" ht="12.75" customHeight="1">
      <c r="A347" s="71"/>
      <c r="AL347" s="7"/>
    </row>
    <row r="348" spans="1:38" ht="12.75" customHeight="1">
      <c r="A348" s="71"/>
      <c r="AL348" s="7"/>
    </row>
    <row r="349" spans="1:38" ht="12.75" customHeight="1">
      <c r="A349" s="71"/>
      <c r="AL349" s="7"/>
    </row>
    <row r="350" spans="1:38" ht="12.75" customHeight="1">
      <c r="A350" s="71"/>
      <c r="AL350" s="7"/>
    </row>
    <row r="351" spans="1:38" ht="12.75" customHeight="1">
      <c r="A351" s="71"/>
      <c r="AL351" s="7"/>
    </row>
    <row r="352" spans="1:38" ht="12.75" customHeight="1">
      <c r="A352" s="71"/>
      <c r="AL352" s="7"/>
    </row>
    <row r="353" spans="1:38" ht="12.75" customHeight="1">
      <c r="A353" s="71"/>
      <c r="AL353" s="7"/>
    </row>
    <row r="354" spans="1:38" ht="12.75" customHeight="1">
      <c r="A354" s="71"/>
      <c r="AL354" s="7"/>
    </row>
    <row r="355" spans="1:38" ht="12.75" customHeight="1">
      <c r="A355" s="71"/>
      <c r="AL355" s="7"/>
    </row>
    <row r="356" spans="1:38" ht="12.75" customHeight="1">
      <c r="A356" s="71"/>
      <c r="AL356" s="7"/>
    </row>
    <row r="357" spans="1:38" ht="12.75" customHeight="1">
      <c r="A357" s="71"/>
      <c r="AL357" s="7"/>
    </row>
    <row r="358" spans="1:38" ht="12.75" customHeight="1">
      <c r="A358" s="71"/>
      <c r="AL358" s="7"/>
    </row>
    <row r="359" spans="1:38" ht="12.75" customHeight="1">
      <c r="A359" s="71"/>
      <c r="AL359" s="7"/>
    </row>
    <row r="360" spans="1:38" ht="12.75" customHeight="1">
      <c r="A360" s="71"/>
      <c r="AL360" s="7"/>
    </row>
    <row r="361" spans="1:38" ht="12.75" customHeight="1">
      <c r="A361" s="71"/>
      <c r="AL361" s="7"/>
    </row>
    <row r="362" spans="1:38" ht="12.75" customHeight="1">
      <c r="A362" s="71"/>
      <c r="AL362" s="7"/>
    </row>
    <row r="363" spans="1:38" ht="12.75" customHeight="1">
      <c r="A363" s="71"/>
      <c r="AL363" s="7"/>
    </row>
    <row r="364" spans="1:38" ht="12.75" customHeight="1">
      <c r="A364" s="71"/>
      <c r="AL364" s="7"/>
    </row>
    <row r="365" spans="1:38" ht="12.75" customHeight="1">
      <c r="A365" s="71"/>
      <c r="AL365" s="7"/>
    </row>
    <row r="366" spans="1:38" ht="12.75" customHeight="1">
      <c r="A366" s="71"/>
      <c r="AL366" s="7"/>
    </row>
    <row r="367" spans="1:38" ht="12.75" customHeight="1">
      <c r="A367" s="71"/>
      <c r="AL367" s="7"/>
    </row>
    <row r="368" spans="1:38" ht="12.75" customHeight="1">
      <c r="A368" s="71"/>
      <c r="AL368" s="7"/>
    </row>
    <row r="369" spans="1:38" ht="12.75" customHeight="1">
      <c r="A369" s="71"/>
      <c r="AL369" s="7"/>
    </row>
    <row r="370" spans="1:38" ht="12.75" customHeight="1">
      <c r="A370" s="71"/>
      <c r="AL370" s="7"/>
    </row>
    <row r="371" spans="1:38" ht="12.75" customHeight="1">
      <c r="A371" s="71"/>
      <c r="AL371" s="7"/>
    </row>
    <row r="372" spans="1:38" ht="12.75" customHeight="1">
      <c r="A372" s="71"/>
      <c r="AL372" s="7"/>
    </row>
    <row r="373" spans="1:38" ht="12.75" customHeight="1">
      <c r="A373" s="71"/>
      <c r="AL373" s="7"/>
    </row>
    <row r="374" spans="1:38" ht="12.75" customHeight="1">
      <c r="A374" s="71"/>
      <c r="AL374" s="7"/>
    </row>
    <row r="375" spans="1:38" ht="12.75" customHeight="1">
      <c r="A375" s="71"/>
      <c r="AL375" s="7"/>
    </row>
    <row r="376" spans="1:38" ht="12.75" customHeight="1">
      <c r="A376" s="71"/>
      <c r="AL376" s="7"/>
    </row>
    <row r="377" spans="1:38" ht="12.75" customHeight="1">
      <c r="A377" s="71"/>
      <c r="AL377" s="7"/>
    </row>
    <row r="378" spans="1:38" ht="12.75" customHeight="1">
      <c r="A378" s="71"/>
      <c r="AL378" s="7"/>
    </row>
    <row r="379" spans="1:38" ht="12.75" customHeight="1">
      <c r="A379" s="71"/>
      <c r="AL379" s="7"/>
    </row>
    <row r="380" spans="1:38" ht="12.75" customHeight="1">
      <c r="A380" s="71"/>
      <c r="AL380" s="7"/>
    </row>
    <row r="381" spans="1:38" ht="12.75" customHeight="1">
      <c r="A381" s="71"/>
      <c r="AL381" s="7"/>
    </row>
    <row r="382" spans="1:38" ht="12.75" customHeight="1">
      <c r="A382" s="71"/>
      <c r="AL382" s="7"/>
    </row>
    <row r="383" spans="1:38" ht="12.75" customHeight="1">
      <c r="A383" s="71"/>
      <c r="AL383" s="7"/>
    </row>
    <row r="384" spans="1:38" ht="12.75" customHeight="1">
      <c r="A384" s="71"/>
      <c r="AL384" s="7"/>
    </row>
    <row r="385" spans="1:38" ht="12.75" customHeight="1">
      <c r="A385" s="71"/>
      <c r="AL385" s="7"/>
    </row>
    <row r="386" spans="1:38" ht="12.75" customHeight="1">
      <c r="A386" s="71"/>
      <c r="AL386" s="7"/>
    </row>
    <row r="387" spans="1:38" ht="12.75" customHeight="1">
      <c r="A387" s="71"/>
      <c r="AL387" s="7"/>
    </row>
    <row r="388" spans="1:38" ht="12.75" customHeight="1">
      <c r="A388" s="71"/>
      <c r="AL388" s="7"/>
    </row>
    <row r="389" spans="1:38" ht="12.75" customHeight="1">
      <c r="A389" s="71"/>
      <c r="AL389" s="7"/>
    </row>
    <row r="390" spans="1:38" ht="12.75" customHeight="1">
      <c r="A390" s="71"/>
      <c r="AL390" s="7"/>
    </row>
    <row r="391" spans="1:38" ht="12.75" customHeight="1">
      <c r="A391" s="71"/>
      <c r="AL391" s="7"/>
    </row>
    <row r="392" spans="1:38" ht="12.75" customHeight="1">
      <c r="A392" s="71"/>
      <c r="AL392" s="7"/>
    </row>
    <row r="393" spans="1:38" ht="12.75" customHeight="1">
      <c r="A393" s="71"/>
      <c r="AL393" s="7"/>
    </row>
    <row r="394" spans="1:38" ht="12.75" customHeight="1">
      <c r="A394" s="71"/>
      <c r="AL394" s="7"/>
    </row>
    <row r="395" spans="1:38" ht="12.75" customHeight="1">
      <c r="A395" s="71"/>
      <c r="AL395" s="7"/>
    </row>
    <row r="396" spans="1:38" ht="12.75" customHeight="1">
      <c r="A396" s="71"/>
      <c r="AL396" s="7"/>
    </row>
    <row r="397" spans="1:38" ht="12.75" customHeight="1">
      <c r="A397" s="71"/>
      <c r="AL397" s="7"/>
    </row>
    <row r="398" spans="1:38" ht="12.75" customHeight="1">
      <c r="A398" s="71"/>
      <c r="AL398" s="7"/>
    </row>
    <row r="399" spans="1:38" ht="12.75" customHeight="1">
      <c r="A399" s="71"/>
      <c r="AL399" s="7"/>
    </row>
    <row r="400" spans="1:38" ht="12.75" customHeight="1">
      <c r="A400" s="71"/>
      <c r="AL400" s="7"/>
    </row>
    <row r="401" spans="1:38" ht="12.75" customHeight="1">
      <c r="A401" s="71"/>
      <c r="AL401" s="7"/>
    </row>
    <row r="402" spans="1:38" ht="12.75" customHeight="1">
      <c r="A402" s="71"/>
      <c r="AL402" s="7"/>
    </row>
    <row r="403" spans="1:38" ht="12.75" customHeight="1">
      <c r="A403" s="71"/>
      <c r="AL403" s="7"/>
    </row>
    <row r="404" spans="1:38" ht="12.75" customHeight="1">
      <c r="A404" s="71"/>
      <c r="AL404" s="7"/>
    </row>
    <row r="405" spans="1:38" ht="12.75" customHeight="1">
      <c r="A405" s="71"/>
      <c r="AL405" s="7"/>
    </row>
    <row r="406" spans="1:38" ht="12.75" customHeight="1">
      <c r="A406" s="71"/>
      <c r="AL406" s="7"/>
    </row>
    <row r="407" spans="1:38" ht="12.75" customHeight="1">
      <c r="A407" s="71"/>
      <c r="AL407" s="7"/>
    </row>
    <row r="408" spans="1:38" ht="12.75" customHeight="1">
      <c r="A408" s="71"/>
      <c r="AL408" s="7"/>
    </row>
    <row r="409" spans="1:38" ht="12.75" customHeight="1">
      <c r="A409" s="71"/>
      <c r="AL409" s="7"/>
    </row>
    <row r="410" spans="1:38" ht="12.75" customHeight="1">
      <c r="A410" s="71"/>
      <c r="AL410" s="7"/>
    </row>
    <row r="411" spans="1:38" ht="12.75" customHeight="1">
      <c r="A411" s="71"/>
      <c r="AL411" s="7"/>
    </row>
    <row r="412" spans="1:38" ht="12.75" customHeight="1">
      <c r="A412" s="71"/>
      <c r="AL412" s="7"/>
    </row>
    <row r="413" spans="1:38" ht="12.75" customHeight="1">
      <c r="A413" s="71"/>
      <c r="AL413" s="7"/>
    </row>
    <row r="414" spans="1:38" ht="12.75" customHeight="1">
      <c r="A414" s="71"/>
      <c r="AL414" s="7"/>
    </row>
    <row r="415" spans="1:38" ht="12.75" customHeight="1">
      <c r="A415" s="71"/>
      <c r="AL415" s="7"/>
    </row>
    <row r="416" spans="1:38" ht="12.75" customHeight="1">
      <c r="A416" s="71"/>
      <c r="AL416" s="7"/>
    </row>
    <row r="417" spans="1:38" ht="12.75" customHeight="1">
      <c r="A417" s="71"/>
      <c r="AL417" s="7"/>
    </row>
    <row r="418" spans="1:38" ht="12.75" customHeight="1">
      <c r="A418" s="71"/>
      <c r="AL418" s="7"/>
    </row>
    <row r="419" spans="1:38" ht="12.75" customHeight="1">
      <c r="A419" s="71"/>
      <c r="AL419" s="7"/>
    </row>
    <row r="420" spans="1:38" ht="12.75" customHeight="1">
      <c r="A420" s="71"/>
      <c r="AL420" s="7"/>
    </row>
    <row r="421" spans="1:38" ht="12.75" customHeight="1">
      <c r="A421" s="71"/>
      <c r="AL421" s="7"/>
    </row>
    <row r="422" spans="1:38" ht="12.75" customHeight="1">
      <c r="A422" s="71"/>
      <c r="AL422" s="7"/>
    </row>
    <row r="423" spans="1:38" ht="12.75" customHeight="1">
      <c r="A423" s="71"/>
      <c r="AL423" s="7"/>
    </row>
    <row r="424" spans="1:38" ht="12.75" customHeight="1">
      <c r="A424" s="71"/>
      <c r="AL424" s="7"/>
    </row>
    <row r="425" spans="1:38" ht="12.75" customHeight="1">
      <c r="A425" s="71"/>
      <c r="AL425" s="7"/>
    </row>
    <row r="426" spans="1:38" ht="12.75" customHeight="1">
      <c r="A426" s="71"/>
      <c r="AL426" s="7"/>
    </row>
    <row r="427" spans="1:38" ht="12.75" customHeight="1">
      <c r="A427" s="71"/>
      <c r="AL427" s="7"/>
    </row>
    <row r="428" spans="1:38" ht="12.75" customHeight="1">
      <c r="A428" s="71"/>
      <c r="AL428" s="7"/>
    </row>
    <row r="429" spans="1:38" ht="12.75" customHeight="1">
      <c r="A429" s="71"/>
      <c r="AL429" s="7"/>
    </row>
    <row r="430" spans="1:38" ht="12.75" customHeight="1">
      <c r="A430" s="71"/>
      <c r="AL430" s="7"/>
    </row>
    <row r="431" spans="1:38" ht="12.75" customHeight="1">
      <c r="A431" s="71"/>
      <c r="AL431" s="7"/>
    </row>
    <row r="432" spans="1:38" ht="12.75" customHeight="1">
      <c r="A432" s="71"/>
      <c r="AL432" s="7"/>
    </row>
    <row r="433" spans="1:38" ht="12.75" customHeight="1">
      <c r="A433" s="71"/>
      <c r="AL433" s="7"/>
    </row>
    <row r="434" spans="1:38" ht="12.75" customHeight="1">
      <c r="A434" s="71"/>
      <c r="AL434" s="7"/>
    </row>
    <row r="435" spans="1:38" ht="12.75" customHeight="1">
      <c r="A435" s="71"/>
      <c r="AL435" s="7"/>
    </row>
    <row r="436" spans="1:38" ht="12.75" customHeight="1">
      <c r="A436" s="71"/>
      <c r="AL436" s="7"/>
    </row>
    <row r="437" spans="1:38" ht="12.75" customHeight="1">
      <c r="A437" s="71"/>
      <c r="AL437" s="7"/>
    </row>
    <row r="438" spans="1:38" ht="12.75" customHeight="1">
      <c r="A438" s="71"/>
      <c r="AL438" s="7"/>
    </row>
    <row r="439" spans="1:38" ht="12.75" customHeight="1">
      <c r="A439" s="71"/>
      <c r="AL439" s="7"/>
    </row>
    <row r="440" spans="1:38" ht="12.75" customHeight="1">
      <c r="A440" s="71"/>
      <c r="AL440" s="7"/>
    </row>
    <row r="441" spans="1:38" ht="12.75" customHeight="1">
      <c r="A441" s="71"/>
      <c r="AL441" s="7"/>
    </row>
    <row r="442" spans="1:38" ht="12.75" customHeight="1">
      <c r="A442" s="71"/>
      <c r="AL442" s="7"/>
    </row>
    <row r="443" spans="1:38" ht="12.75" customHeight="1">
      <c r="A443" s="71"/>
      <c r="AL443" s="7"/>
    </row>
    <row r="444" spans="1:38" ht="12.75" customHeight="1">
      <c r="A444" s="71"/>
      <c r="AL444" s="7"/>
    </row>
    <row r="445" spans="1:38" ht="12.75" customHeight="1">
      <c r="A445" s="71"/>
      <c r="AL445" s="7"/>
    </row>
    <row r="446" spans="1:38" ht="12.75" customHeight="1">
      <c r="A446" s="71"/>
      <c r="AL446" s="7"/>
    </row>
    <row r="447" spans="1:38" ht="12.75" customHeight="1">
      <c r="A447" s="71"/>
      <c r="AL447" s="7"/>
    </row>
    <row r="448" spans="1:38" ht="12.75" customHeight="1">
      <c r="A448" s="71"/>
      <c r="AL448" s="7"/>
    </row>
    <row r="449" spans="1:38" ht="12.75" customHeight="1">
      <c r="A449" s="71"/>
      <c r="AL449" s="7"/>
    </row>
    <row r="450" spans="1:38" ht="12.75" customHeight="1">
      <c r="A450" s="71"/>
      <c r="AL450" s="7"/>
    </row>
    <row r="451" spans="1:38" ht="12.75" customHeight="1">
      <c r="A451" s="71"/>
      <c r="AL451" s="7"/>
    </row>
    <row r="452" spans="1:38" ht="12.75" customHeight="1">
      <c r="A452" s="71"/>
      <c r="AL452" s="7"/>
    </row>
    <row r="453" spans="1:38" ht="12.75" customHeight="1">
      <c r="A453" s="71"/>
      <c r="AL453" s="7"/>
    </row>
    <row r="454" spans="1:38" ht="12.75" customHeight="1">
      <c r="A454" s="71"/>
      <c r="AL454" s="7"/>
    </row>
    <row r="455" spans="1:38" ht="12.75" customHeight="1">
      <c r="A455" s="71"/>
      <c r="AL455" s="7"/>
    </row>
    <row r="456" spans="1:38" ht="12.75" customHeight="1">
      <c r="A456" s="71"/>
      <c r="AL456" s="7"/>
    </row>
    <row r="457" spans="1:38" ht="12.75" customHeight="1">
      <c r="A457" s="71"/>
      <c r="AL457" s="7"/>
    </row>
    <row r="458" spans="1:38" ht="12.75" customHeight="1">
      <c r="A458" s="71"/>
      <c r="AL458" s="7"/>
    </row>
    <row r="459" spans="1:38" ht="12.75" customHeight="1">
      <c r="A459" s="71"/>
      <c r="AL459" s="7"/>
    </row>
    <row r="460" spans="1:38" ht="12.75" customHeight="1">
      <c r="A460" s="71"/>
      <c r="AL460" s="7"/>
    </row>
    <row r="461" spans="1:38" ht="12.75" customHeight="1">
      <c r="A461" s="71"/>
      <c r="AL461" s="7"/>
    </row>
    <row r="462" spans="1:38" ht="12.75" customHeight="1">
      <c r="A462" s="71"/>
      <c r="AL462" s="7"/>
    </row>
    <row r="463" spans="1:38" ht="12.75" customHeight="1">
      <c r="A463" s="71"/>
      <c r="AL463" s="7"/>
    </row>
    <row r="464" spans="1:38" ht="12.75" customHeight="1">
      <c r="A464" s="71"/>
      <c r="AL464" s="7"/>
    </row>
    <row r="465" spans="1:38" ht="12.75" customHeight="1">
      <c r="A465" s="71"/>
      <c r="AL465" s="7"/>
    </row>
    <row r="466" spans="1:38" ht="12.75" customHeight="1">
      <c r="A466" s="71"/>
      <c r="AL466" s="7"/>
    </row>
    <row r="467" spans="1:38" ht="12.75" customHeight="1">
      <c r="A467" s="71"/>
      <c r="AL467" s="7"/>
    </row>
    <row r="468" spans="1:38" ht="12.75" customHeight="1">
      <c r="A468" s="71"/>
      <c r="AL468" s="7"/>
    </row>
    <row r="469" spans="1:38" ht="12.75" customHeight="1">
      <c r="A469" s="71"/>
      <c r="AL469" s="7"/>
    </row>
    <row r="470" spans="1:38" ht="12.75" customHeight="1">
      <c r="A470" s="71"/>
      <c r="AL470" s="7"/>
    </row>
    <row r="471" spans="1:38" ht="12.75" customHeight="1">
      <c r="A471" s="71"/>
      <c r="AL471" s="7"/>
    </row>
    <row r="472" spans="1:38" ht="12.75" customHeight="1">
      <c r="A472" s="71"/>
      <c r="AL472" s="7"/>
    </row>
    <row r="473" spans="1:38" ht="12.75" customHeight="1">
      <c r="A473" s="71"/>
      <c r="AL473" s="7"/>
    </row>
    <row r="474" spans="1:38" ht="12.75" customHeight="1">
      <c r="A474" s="71"/>
      <c r="AL474" s="7"/>
    </row>
    <row r="475" spans="1:38" ht="12.75" customHeight="1">
      <c r="A475" s="71"/>
      <c r="AL475" s="7"/>
    </row>
    <row r="476" spans="1:38" ht="12.75" customHeight="1">
      <c r="A476" s="71"/>
      <c r="AL476" s="7"/>
    </row>
    <row r="477" spans="1:38" ht="12.75" customHeight="1">
      <c r="A477" s="71"/>
      <c r="AL477" s="7"/>
    </row>
    <row r="478" spans="1:38" ht="12.75" customHeight="1">
      <c r="A478" s="71"/>
      <c r="AL478" s="7"/>
    </row>
    <row r="479" spans="1:38" ht="12.75" customHeight="1">
      <c r="A479" s="71"/>
      <c r="AL479" s="7"/>
    </row>
    <row r="480" spans="1:38" ht="12.75" customHeight="1">
      <c r="A480" s="71"/>
      <c r="AL480" s="7"/>
    </row>
    <row r="481" spans="1:38" ht="12.75" customHeight="1">
      <c r="A481" s="71"/>
      <c r="AL481" s="7"/>
    </row>
    <row r="482" spans="1:38" ht="12.75" customHeight="1">
      <c r="A482" s="71"/>
      <c r="AL482" s="7"/>
    </row>
    <row r="483" spans="1:38" ht="12.75" customHeight="1">
      <c r="A483" s="71"/>
      <c r="AL483" s="7"/>
    </row>
    <row r="484" spans="1:38" ht="12.75" customHeight="1">
      <c r="A484" s="71"/>
      <c r="AL484" s="7"/>
    </row>
    <row r="485" spans="1:38" ht="12.75" customHeight="1">
      <c r="A485" s="71"/>
      <c r="AL485" s="7"/>
    </row>
    <row r="486" spans="1:38" ht="12.75" customHeight="1">
      <c r="A486" s="71"/>
      <c r="AL486" s="7"/>
    </row>
    <row r="487" spans="1:38" ht="12.75" customHeight="1">
      <c r="A487" s="71"/>
      <c r="AL487" s="7"/>
    </row>
    <row r="488" spans="1:38" ht="12.75" customHeight="1">
      <c r="A488" s="71"/>
      <c r="AL488" s="7"/>
    </row>
    <row r="489" spans="1:38" ht="12.75" customHeight="1">
      <c r="A489" s="71"/>
      <c r="AL489" s="7"/>
    </row>
    <row r="490" spans="1:38" ht="12.75" customHeight="1">
      <c r="A490" s="71"/>
      <c r="AL490" s="7"/>
    </row>
    <row r="491" spans="1:38" ht="12.75" customHeight="1">
      <c r="A491" s="71"/>
      <c r="AL491" s="7"/>
    </row>
    <row r="492" spans="1:38" ht="12.75" customHeight="1">
      <c r="A492" s="71"/>
      <c r="AL492" s="7"/>
    </row>
    <row r="493" spans="1:38" ht="12.75" customHeight="1">
      <c r="A493" s="71"/>
      <c r="AL493" s="7"/>
    </row>
    <row r="494" spans="1:38" ht="12.75" customHeight="1">
      <c r="A494" s="71"/>
      <c r="AL494" s="7"/>
    </row>
    <row r="495" spans="1:38" ht="12.75" customHeight="1">
      <c r="A495" s="71"/>
      <c r="AL495" s="7"/>
    </row>
    <row r="496" spans="1:38" ht="12.75" customHeight="1">
      <c r="A496" s="71"/>
      <c r="AL496" s="7"/>
    </row>
    <row r="497" spans="1:38" ht="12.75" customHeight="1">
      <c r="A497" s="71"/>
      <c r="AL497" s="7"/>
    </row>
    <row r="498" spans="1:38" ht="12.75" customHeight="1">
      <c r="A498" s="71"/>
      <c r="AL498" s="7"/>
    </row>
    <row r="499" spans="1:38" ht="12.75" customHeight="1">
      <c r="A499" s="71"/>
      <c r="AL499" s="7"/>
    </row>
    <row r="500" spans="1:38" ht="12.75" customHeight="1">
      <c r="A500" s="71"/>
      <c r="AL500" s="7"/>
    </row>
    <row r="501" spans="1:38" ht="12.75" customHeight="1">
      <c r="A501" s="71"/>
      <c r="AL501" s="7"/>
    </row>
    <row r="502" spans="1:38" ht="12.75" customHeight="1">
      <c r="A502" s="71"/>
      <c r="AL502" s="7"/>
    </row>
    <row r="503" spans="1:38" ht="12.75" customHeight="1">
      <c r="A503" s="71"/>
      <c r="AL503" s="7"/>
    </row>
    <row r="504" spans="1:38" ht="12.75" customHeight="1">
      <c r="A504" s="71"/>
      <c r="AL504" s="7"/>
    </row>
    <row r="505" spans="1:38" ht="12.75" customHeight="1">
      <c r="A505" s="71"/>
      <c r="AL505" s="7"/>
    </row>
    <row r="506" spans="1:38" ht="12.75" customHeight="1">
      <c r="A506" s="71"/>
      <c r="AL506" s="7"/>
    </row>
    <row r="507" spans="1:38" ht="12.75" customHeight="1">
      <c r="A507" s="71"/>
      <c r="AL507" s="7"/>
    </row>
    <row r="508" spans="1:38" ht="12.75" customHeight="1">
      <c r="A508" s="71"/>
      <c r="AL508" s="7"/>
    </row>
    <row r="509" spans="1:38" ht="12.75" customHeight="1">
      <c r="A509" s="71"/>
      <c r="AL509" s="7"/>
    </row>
    <row r="510" spans="1:38" ht="12.75" customHeight="1">
      <c r="A510" s="71"/>
      <c r="AL510" s="7"/>
    </row>
    <row r="511" spans="1:38" ht="12.75" customHeight="1">
      <c r="A511" s="71"/>
      <c r="AL511" s="7"/>
    </row>
    <row r="512" spans="1:38" ht="12.75" customHeight="1">
      <c r="A512" s="71"/>
      <c r="AL512" s="7"/>
    </row>
    <row r="513" spans="1:38" ht="12.75" customHeight="1">
      <c r="A513" s="71"/>
      <c r="AL513" s="7"/>
    </row>
    <row r="514" spans="1:38" ht="12.75" customHeight="1">
      <c r="A514" s="71"/>
      <c r="AL514" s="7"/>
    </row>
    <row r="515" spans="1:38" ht="12.75" customHeight="1">
      <c r="A515" s="71"/>
      <c r="AL515" s="7"/>
    </row>
    <row r="516" spans="1:38" ht="12.75" customHeight="1">
      <c r="A516" s="71"/>
      <c r="AL516" s="7"/>
    </row>
    <row r="517" spans="1:38" ht="12.75" customHeight="1">
      <c r="A517" s="71"/>
      <c r="AL517" s="7"/>
    </row>
    <row r="518" spans="1:38" ht="12.75" customHeight="1">
      <c r="A518" s="71"/>
      <c r="AL518" s="7"/>
    </row>
    <row r="519" spans="1:38" ht="12.75" customHeight="1">
      <c r="A519" s="71"/>
      <c r="AL519" s="7"/>
    </row>
    <row r="520" spans="1:38" ht="12.75" customHeight="1">
      <c r="A520" s="71"/>
      <c r="AL520" s="7"/>
    </row>
    <row r="521" spans="1:38" ht="12.75" customHeight="1">
      <c r="A521" s="71"/>
      <c r="AL521" s="7"/>
    </row>
    <row r="522" spans="1:38" ht="12.75" customHeight="1">
      <c r="A522" s="71"/>
      <c r="AL522" s="7"/>
    </row>
    <row r="523" spans="1:38" ht="12.75" customHeight="1">
      <c r="A523" s="71"/>
      <c r="AL523" s="7"/>
    </row>
    <row r="524" spans="1:38" ht="12.75" customHeight="1">
      <c r="A524" s="71"/>
      <c r="AL524" s="7"/>
    </row>
    <row r="525" spans="1:38" ht="12.75" customHeight="1">
      <c r="A525" s="71"/>
      <c r="AL525" s="7"/>
    </row>
    <row r="526" spans="1:38" ht="12.75" customHeight="1">
      <c r="A526" s="71"/>
      <c r="AL526" s="7"/>
    </row>
    <row r="527" spans="1:38" ht="12.75" customHeight="1">
      <c r="A527" s="71"/>
      <c r="AL527" s="7"/>
    </row>
    <row r="528" spans="1:38" ht="12.75" customHeight="1">
      <c r="A528" s="71"/>
      <c r="AL528" s="7"/>
    </row>
    <row r="529" spans="1:38" ht="12.75" customHeight="1">
      <c r="A529" s="71"/>
      <c r="AL529" s="7"/>
    </row>
    <row r="530" spans="1:38" ht="12.75" customHeight="1">
      <c r="A530" s="71"/>
      <c r="AL530" s="7"/>
    </row>
    <row r="531" spans="1:38" ht="12.75" customHeight="1">
      <c r="A531" s="71"/>
      <c r="AL531" s="7"/>
    </row>
    <row r="532" spans="1:38" ht="12.75" customHeight="1">
      <c r="A532" s="71"/>
      <c r="AL532" s="7"/>
    </row>
    <row r="533" spans="1:38" ht="12.75" customHeight="1">
      <c r="A533" s="71"/>
      <c r="AL533" s="7"/>
    </row>
    <row r="534" spans="1:38" ht="12.75" customHeight="1">
      <c r="A534" s="71"/>
      <c r="AL534" s="7"/>
    </row>
    <row r="535" spans="1:38" ht="12.75" customHeight="1">
      <c r="A535" s="71"/>
      <c r="AL535" s="7"/>
    </row>
    <row r="536" spans="1:38" ht="12.75" customHeight="1">
      <c r="A536" s="71"/>
      <c r="AL536" s="7"/>
    </row>
    <row r="537" spans="1:38" ht="12.75" customHeight="1">
      <c r="A537" s="71"/>
      <c r="AL537" s="7"/>
    </row>
    <row r="538" spans="1:38" ht="12.75" customHeight="1">
      <c r="A538" s="71"/>
      <c r="AL538" s="7"/>
    </row>
    <row r="539" spans="1:38" ht="12.75" customHeight="1">
      <c r="A539" s="71"/>
      <c r="AL539" s="7"/>
    </row>
    <row r="540" spans="1:38" ht="12.75" customHeight="1">
      <c r="A540" s="71"/>
      <c r="AL540" s="7"/>
    </row>
    <row r="541" spans="1:38" ht="12.75" customHeight="1">
      <c r="A541" s="71"/>
      <c r="AL541" s="7"/>
    </row>
    <row r="542" spans="1:38" ht="12.75" customHeight="1">
      <c r="A542" s="71"/>
      <c r="AL542" s="7"/>
    </row>
    <row r="543" spans="1:38" ht="12.75" customHeight="1">
      <c r="A543" s="71"/>
      <c r="AL543" s="7"/>
    </row>
    <row r="544" spans="1:38" ht="12.75" customHeight="1">
      <c r="A544" s="71"/>
      <c r="AL544" s="7"/>
    </row>
    <row r="545" spans="1:38" ht="12.75" customHeight="1">
      <c r="A545" s="71"/>
      <c r="AL545" s="7"/>
    </row>
    <row r="546" spans="1:38" ht="12.75" customHeight="1">
      <c r="A546" s="71"/>
      <c r="AL546" s="7"/>
    </row>
    <row r="547" spans="1:38" ht="12.75" customHeight="1">
      <c r="A547" s="71"/>
      <c r="AL547" s="7"/>
    </row>
    <row r="548" spans="1:38" ht="12.75" customHeight="1">
      <c r="A548" s="71"/>
      <c r="AL548" s="7"/>
    </row>
    <row r="549" spans="1:38" ht="12.75" customHeight="1">
      <c r="A549" s="71"/>
      <c r="AL549" s="7"/>
    </row>
    <row r="550" spans="1:38" ht="12.75" customHeight="1">
      <c r="A550" s="71"/>
      <c r="AL550" s="7"/>
    </row>
    <row r="551" spans="1:38" ht="12.75" customHeight="1">
      <c r="A551" s="71"/>
      <c r="AL551" s="7"/>
    </row>
    <row r="552" spans="1:38" ht="12.75" customHeight="1">
      <c r="A552" s="71"/>
      <c r="AL552" s="7"/>
    </row>
    <row r="553" spans="1:38" ht="12.75" customHeight="1">
      <c r="A553" s="71"/>
      <c r="AL553" s="7"/>
    </row>
    <row r="554" spans="1:38" ht="12.75" customHeight="1">
      <c r="A554" s="71"/>
      <c r="AL554" s="7"/>
    </row>
    <row r="555" spans="1:38" ht="12.75" customHeight="1">
      <c r="A555" s="71"/>
      <c r="AL555" s="7"/>
    </row>
    <row r="556" spans="1:38" ht="12.75" customHeight="1">
      <c r="A556" s="71"/>
      <c r="AL556" s="7"/>
    </row>
    <row r="557" spans="1:38" ht="12.75" customHeight="1">
      <c r="A557" s="71"/>
      <c r="AL557" s="7"/>
    </row>
    <row r="558" spans="1:38" ht="12.75" customHeight="1">
      <c r="A558" s="71"/>
      <c r="AL558" s="7"/>
    </row>
    <row r="559" spans="1:38" ht="12.75" customHeight="1">
      <c r="A559" s="71"/>
      <c r="AL559" s="7"/>
    </row>
    <row r="560" spans="1:38" ht="12.75" customHeight="1">
      <c r="A560" s="71"/>
      <c r="AL560" s="7"/>
    </row>
    <row r="561" spans="1:38" ht="12.75" customHeight="1">
      <c r="A561" s="71"/>
      <c r="AL561" s="7"/>
    </row>
    <row r="562" spans="1:38" ht="12.75" customHeight="1">
      <c r="A562" s="71"/>
      <c r="AL562" s="7"/>
    </row>
    <row r="563" spans="1:38" ht="12.75" customHeight="1">
      <c r="A563" s="71"/>
      <c r="AL563" s="7"/>
    </row>
    <row r="564" spans="1:38" ht="12.75" customHeight="1">
      <c r="A564" s="71"/>
      <c r="AL564" s="7"/>
    </row>
    <row r="565" spans="1:38" ht="12.75" customHeight="1">
      <c r="A565" s="71"/>
      <c r="AL565" s="7"/>
    </row>
    <row r="566" spans="1:38" ht="12.75" customHeight="1">
      <c r="A566" s="71"/>
      <c r="AL566" s="7"/>
    </row>
    <row r="567" spans="1:38" ht="12.75" customHeight="1">
      <c r="A567" s="71"/>
      <c r="AL567" s="7"/>
    </row>
    <row r="568" spans="1:38" ht="12.75" customHeight="1">
      <c r="A568" s="71"/>
      <c r="AL568" s="7"/>
    </row>
    <row r="569" spans="1:38" ht="12.75" customHeight="1">
      <c r="A569" s="71"/>
      <c r="AL569" s="7"/>
    </row>
    <row r="570" spans="1:38" ht="12.75" customHeight="1">
      <c r="A570" s="71"/>
      <c r="AL570" s="7"/>
    </row>
    <row r="571" spans="1:38" ht="12.75" customHeight="1">
      <c r="A571" s="71"/>
      <c r="AL571" s="7"/>
    </row>
    <row r="572" spans="1:38" ht="12.75" customHeight="1">
      <c r="A572" s="71"/>
      <c r="AL572" s="7"/>
    </row>
    <row r="573" spans="1:38" ht="12.75" customHeight="1">
      <c r="A573" s="71"/>
      <c r="AL573" s="7"/>
    </row>
    <row r="574" spans="1:38" ht="12.75" customHeight="1">
      <c r="A574" s="71"/>
      <c r="AL574" s="7"/>
    </row>
    <row r="575" spans="1:38" ht="12.75" customHeight="1">
      <c r="A575" s="71"/>
      <c r="AL575" s="7"/>
    </row>
    <row r="576" spans="1:38" ht="12.75" customHeight="1">
      <c r="A576" s="71"/>
      <c r="AL576" s="7"/>
    </row>
    <row r="577" spans="1:38" ht="12.75" customHeight="1">
      <c r="A577" s="71"/>
      <c r="AL577" s="7"/>
    </row>
    <row r="578" spans="1:38" ht="12.75" customHeight="1">
      <c r="A578" s="71"/>
      <c r="AL578" s="7"/>
    </row>
    <row r="579" spans="1:38" ht="12.75" customHeight="1">
      <c r="A579" s="71"/>
      <c r="AL579" s="7"/>
    </row>
    <row r="580" spans="1:38" ht="12.75" customHeight="1">
      <c r="A580" s="71"/>
      <c r="AL580" s="7"/>
    </row>
    <row r="581" spans="1:38" ht="12.75" customHeight="1">
      <c r="A581" s="71"/>
      <c r="AL581" s="7"/>
    </row>
    <row r="582" spans="1:38" ht="12.75" customHeight="1">
      <c r="A582" s="71"/>
      <c r="AL582" s="7"/>
    </row>
    <row r="583" spans="1:38" ht="12.75" customHeight="1">
      <c r="A583" s="71"/>
      <c r="AL583" s="7"/>
    </row>
    <row r="584" spans="1:38" ht="12.75" customHeight="1">
      <c r="A584" s="71"/>
      <c r="AL584" s="7"/>
    </row>
    <row r="585" spans="1:38" ht="12.75" customHeight="1">
      <c r="A585" s="71"/>
      <c r="AL585" s="7"/>
    </row>
    <row r="586" spans="1:38" ht="12.75" customHeight="1">
      <c r="A586" s="71"/>
      <c r="AL586" s="7"/>
    </row>
    <row r="587" spans="1:38" ht="12.75" customHeight="1">
      <c r="A587" s="71"/>
      <c r="AL587" s="7"/>
    </row>
    <row r="588" spans="1:38" ht="12.75" customHeight="1">
      <c r="A588" s="71"/>
      <c r="AL588" s="7"/>
    </row>
    <row r="589" spans="1:38" ht="12.75" customHeight="1">
      <c r="A589" s="71"/>
      <c r="AL589" s="7"/>
    </row>
    <row r="590" spans="1:38" ht="12.75" customHeight="1">
      <c r="A590" s="71"/>
      <c r="AL590" s="7"/>
    </row>
    <row r="591" spans="1:38" ht="12.75" customHeight="1">
      <c r="A591" s="71"/>
      <c r="AL591" s="7"/>
    </row>
    <row r="592" spans="1:38" ht="12.75" customHeight="1">
      <c r="A592" s="71"/>
      <c r="AL592" s="7"/>
    </row>
    <row r="593" spans="1:38" ht="12.75" customHeight="1">
      <c r="A593" s="71"/>
      <c r="AL593" s="7"/>
    </row>
    <row r="594" spans="1:38" ht="12.75" customHeight="1">
      <c r="A594" s="71"/>
      <c r="AL594" s="7"/>
    </row>
    <row r="595" spans="1:38" ht="12.75" customHeight="1">
      <c r="A595" s="71"/>
      <c r="AL595" s="7"/>
    </row>
    <row r="596" spans="1:38" ht="12.75" customHeight="1">
      <c r="A596" s="71"/>
      <c r="AL596" s="7"/>
    </row>
    <row r="597" spans="1:38" ht="12.75" customHeight="1">
      <c r="A597" s="71"/>
      <c r="AL597" s="7"/>
    </row>
    <row r="598" spans="1:38" ht="12.75" customHeight="1">
      <c r="A598" s="71"/>
      <c r="AL598" s="7"/>
    </row>
    <row r="599" spans="1:38" ht="12.75" customHeight="1">
      <c r="A599" s="71"/>
      <c r="AL599" s="7"/>
    </row>
    <row r="600" spans="1:38" ht="12.75" customHeight="1">
      <c r="A600" s="71"/>
      <c r="AL600" s="7"/>
    </row>
    <row r="601" spans="1:38" ht="12.75" customHeight="1">
      <c r="A601" s="71"/>
      <c r="AL601" s="7"/>
    </row>
    <row r="602" spans="1:38" ht="12.75" customHeight="1">
      <c r="A602" s="71"/>
      <c r="AL602" s="7"/>
    </row>
    <row r="603" spans="1:38" ht="12.75" customHeight="1">
      <c r="A603" s="71"/>
      <c r="AL603" s="7"/>
    </row>
    <row r="604" spans="1:38" ht="12.75" customHeight="1">
      <c r="A604" s="71"/>
      <c r="AL604" s="7"/>
    </row>
    <row r="605" spans="1:38" ht="12.75" customHeight="1">
      <c r="A605" s="71"/>
      <c r="AL605" s="7"/>
    </row>
    <row r="606" spans="1:38" ht="12.75" customHeight="1">
      <c r="A606" s="71"/>
      <c r="AL606" s="7"/>
    </row>
    <row r="607" spans="1:38" ht="12.75" customHeight="1">
      <c r="A607" s="71"/>
      <c r="AL607" s="7"/>
    </row>
    <row r="608" spans="1:38" ht="12.75" customHeight="1">
      <c r="A608" s="71"/>
      <c r="AL608" s="7"/>
    </row>
    <row r="609" spans="1:38" ht="12.75" customHeight="1">
      <c r="A609" s="71"/>
      <c r="AL609" s="7"/>
    </row>
    <row r="610" spans="1:38" ht="12.75" customHeight="1">
      <c r="A610" s="71"/>
      <c r="AL610" s="7"/>
    </row>
    <row r="611" spans="1:38" ht="12.75" customHeight="1">
      <c r="A611" s="71"/>
      <c r="AL611" s="7"/>
    </row>
    <row r="612" spans="1:38" ht="12.75" customHeight="1">
      <c r="A612" s="71"/>
      <c r="AL612" s="7"/>
    </row>
    <row r="613" spans="1:38" ht="12.75" customHeight="1">
      <c r="A613" s="71"/>
      <c r="AL613" s="7"/>
    </row>
    <row r="614" spans="1:38" ht="12.75" customHeight="1">
      <c r="A614" s="71"/>
      <c r="AL614" s="7"/>
    </row>
    <row r="615" spans="1:38" ht="12.75" customHeight="1">
      <c r="A615" s="71"/>
      <c r="AL615" s="7"/>
    </row>
    <row r="616" spans="1:38" ht="12.75" customHeight="1">
      <c r="A616" s="71"/>
      <c r="AL616" s="7"/>
    </row>
    <row r="617" spans="1:38" ht="12.75" customHeight="1">
      <c r="A617" s="71"/>
      <c r="AL617" s="7"/>
    </row>
    <row r="618" spans="1:38" ht="12.75" customHeight="1">
      <c r="A618" s="71"/>
      <c r="AL618" s="7"/>
    </row>
    <row r="619" spans="1:38" ht="12.75" customHeight="1">
      <c r="A619" s="71"/>
      <c r="AL619" s="7"/>
    </row>
    <row r="620" spans="1:38" ht="12.75" customHeight="1">
      <c r="A620" s="71"/>
      <c r="AL620" s="7"/>
    </row>
    <row r="621" spans="1:38" ht="12.75" customHeight="1">
      <c r="A621" s="71"/>
      <c r="AL621" s="7"/>
    </row>
    <row r="622" spans="1:38" ht="12.75" customHeight="1">
      <c r="A622" s="71"/>
      <c r="AL622" s="7"/>
    </row>
    <row r="623" spans="1:38" ht="12.75" customHeight="1">
      <c r="A623" s="71"/>
      <c r="AL623" s="7"/>
    </row>
    <row r="624" spans="1:38" ht="12.75" customHeight="1">
      <c r="A624" s="71"/>
      <c r="AL624" s="7"/>
    </row>
    <row r="625" spans="1:38" ht="12.75" customHeight="1">
      <c r="A625" s="71"/>
      <c r="AL625" s="7"/>
    </row>
    <row r="626" spans="1:38" ht="12.75" customHeight="1">
      <c r="A626" s="71"/>
      <c r="AL626" s="7"/>
    </row>
    <row r="627" spans="1:38" ht="12.75" customHeight="1">
      <c r="A627" s="71"/>
      <c r="AL627" s="7"/>
    </row>
    <row r="628" spans="1:38" ht="12.75" customHeight="1">
      <c r="A628" s="71"/>
      <c r="AL628" s="7"/>
    </row>
    <row r="629" spans="1:38" ht="12.75" customHeight="1">
      <c r="A629" s="71"/>
      <c r="AL629" s="7"/>
    </row>
    <row r="630" spans="1:38" ht="12.75" customHeight="1">
      <c r="A630" s="71"/>
      <c r="AL630" s="7"/>
    </row>
    <row r="631" spans="1:38" ht="12.75" customHeight="1">
      <c r="A631" s="71"/>
      <c r="AL631" s="7"/>
    </row>
    <row r="632" spans="1:38" ht="12.75" customHeight="1">
      <c r="A632" s="71"/>
      <c r="AL632" s="7"/>
    </row>
    <row r="633" spans="1:38" ht="12.75" customHeight="1">
      <c r="A633" s="71"/>
      <c r="AL633" s="7"/>
    </row>
    <row r="634" spans="1:38" ht="12.75" customHeight="1">
      <c r="A634" s="71"/>
      <c r="AL634" s="7"/>
    </row>
    <row r="635" spans="1:38" ht="12.75" customHeight="1">
      <c r="A635" s="71"/>
      <c r="AL635" s="7"/>
    </row>
    <row r="636" spans="1:38" ht="12.75" customHeight="1">
      <c r="A636" s="71"/>
      <c r="AL636" s="7"/>
    </row>
    <row r="637" spans="1:38" ht="12.75" customHeight="1">
      <c r="A637" s="71"/>
      <c r="AL637" s="7"/>
    </row>
    <row r="638" spans="1:38" ht="12.75" customHeight="1">
      <c r="A638" s="71"/>
      <c r="AL638" s="7"/>
    </row>
    <row r="639" spans="1:38" ht="12.75" customHeight="1">
      <c r="A639" s="71"/>
      <c r="AL639" s="7"/>
    </row>
    <row r="640" spans="1:38" ht="12.75" customHeight="1">
      <c r="A640" s="71"/>
      <c r="AL640" s="7"/>
    </row>
    <row r="641" spans="1:38" ht="12.75" customHeight="1">
      <c r="A641" s="71"/>
      <c r="AL641" s="7"/>
    </row>
    <row r="642" spans="1:38" ht="12.75" customHeight="1">
      <c r="A642" s="71"/>
      <c r="AL642" s="7"/>
    </row>
    <row r="643" spans="1:38" ht="12.75" customHeight="1">
      <c r="A643" s="71"/>
      <c r="AL643" s="7"/>
    </row>
    <row r="644" spans="1:38" ht="12.75" customHeight="1">
      <c r="A644" s="71"/>
      <c r="AL644" s="7"/>
    </row>
    <row r="645" spans="1:38" ht="12.75" customHeight="1">
      <c r="A645" s="71"/>
      <c r="AL645" s="7"/>
    </row>
    <row r="646" spans="1:38" ht="12.75" customHeight="1">
      <c r="A646" s="71"/>
      <c r="AL646" s="7"/>
    </row>
    <row r="647" spans="1:38" ht="12.75" customHeight="1">
      <c r="A647" s="71"/>
      <c r="AL647" s="7"/>
    </row>
    <row r="648" spans="1:38" ht="12.75" customHeight="1">
      <c r="A648" s="71"/>
      <c r="AL648" s="7"/>
    </row>
    <row r="649" spans="1:38" ht="12.75" customHeight="1">
      <c r="A649" s="71"/>
      <c r="AL649" s="7"/>
    </row>
    <row r="650" spans="1:38" ht="12.75" customHeight="1">
      <c r="A650" s="71"/>
      <c r="AL650" s="7"/>
    </row>
    <row r="651" spans="1:38" ht="12.75" customHeight="1">
      <c r="A651" s="71"/>
      <c r="AL651" s="7"/>
    </row>
    <row r="652" spans="1:38" ht="12.75" customHeight="1">
      <c r="A652" s="71"/>
      <c r="AL652" s="7"/>
    </row>
    <row r="653" spans="1:38" ht="12.75" customHeight="1">
      <c r="A653" s="71"/>
      <c r="AL653" s="7"/>
    </row>
    <row r="654" spans="1:38" ht="12.75" customHeight="1">
      <c r="A654" s="71"/>
      <c r="AL654" s="7"/>
    </row>
    <row r="655" spans="1:38" ht="12.75" customHeight="1">
      <c r="A655" s="71"/>
      <c r="AL655" s="7"/>
    </row>
    <row r="656" spans="1:38" ht="12.75" customHeight="1">
      <c r="A656" s="71"/>
      <c r="AL656" s="7"/>
    </row>
    <row r="657" spans="1:38" ht="12.75" customHeight="1">
      <c r="A657" s="71"/>
      <c r="AL657" s="7"/>
    </row>
    <row r="658" spans="1:38" ht="12.75" customHeight="1">
      <c r="A658" s="71"/>
      <c r="AL658" s="7"/>
    </row>
    <row r="659" spans="1:38" ht="12.75" customHeight="1">
      <c r="A659" s="71"/>
      <c r="AL659" s="7"/>
    </row>
    <row r="660" spans="1:38" ht="12.75" customHeight="1">
      <c r="A660" s="71"/>
      <c r="AL660" s="7"/>
    </row>
    <row r="661" spans="1:38" ht="12.75" customHeight="1">
      <c r="A661" s="71"/>
      <c r="AL661" s="7"/>
    </row>
    <row r="662" spans="1:38" ht="12.75" customHeight="1">
      <c r="A662" s="71"/>
      <c r="AL662" s="7"/>
    </row>
    <row r="663" spans="1:38" ht="12.75" customHeight="1">
      <c r="A663" s="71"/>
      <c r="AL663" s="7"/>
    </row>
    <row r="664" spans="1:38" ht="12.75" customHeight="1">
      <c r="A664" s="71"/>
      <c r="AL664" s="7"/>
    </row>
    <row r="665" spans="1:38" ht="12.75" customHeight="1">
      <c r="A665" s="71"/>
      <c r="AL665" s="7"/>
    </row>
    <row r="666" spans="1:38" ht="12.75" customHeight="1">
      <c r="A666" s="71"/>
      <c r="AL666" s="7"/>
    </row>
    <row r="667" spans="1:38" ht="12.75" customHeight="1">
      <c r="A667" s="71"/>
      <c r="AL667" s="7"/>
    </row>
    <row r="668" spans="1:38" ht="12.75" customHeight="1">
      <c r="A668" s="71"/>
      <c r="AL668" s="7"/>
    </row>
    <row r="669" spans="1:38" ht="12.75" customHeight="1">
      <c r="A669" s="71"/>
      <c r="AL669" s="7"/>
    </row>
    <row r="670" spans="1:38" ht="12.75" customHeight="1">
      <c r="A670" s="71"/>
      <c r="AL670" s="7"/>
    </row>
    <row r="671" spans="1:38" ht="12.75" customHeight="1">
      <c r="A671" s="71"/>
      <c r="AL671" s="7"/>
    </row>
    <row r="672" spans="1:38" ht="12.75" customHeight="1">
      <c r="A672" s="71"/>
      <c r="AL672" s="7"/>
    </row>
    <row r="673" spans="1:38" ht="12.75" customHeight="1">
      <c r="A673" s="71"/>
      <c r="AL673" s="7"/>
    </row>
    <row r="674" spans="1:38" ht="12.75" customHeight="1">
      <c r="A674" s="71"/>
      <c r="AL674" s="7"/>
    </row>
    <row r="675" spans="1:38" ht="12.75" customHeight="1">
      <c r="A675" s="71"/>
      <c r="AL675" s="7"/>
    </row>
    <row r="676" spans="1:38" ht="12.75" customHeight="1">
      <c r="A676" s="71"/>
      <c r="AL676" s="7"/>
    </row>
    <row r="677" spans="1:38" ht="12.75" customHeight="1">
      <c r="A677" s="71"/>
      <c r="AL677" s="7"/>
    </row>
    <row r="678" spans="1:38" ht="12.75" customHeight="1">
      <c r="A678" s="71"/>
      <c r="AL678" s="7"/>
    </row>
    <row r="679" spans="1:38" ht="12.75" customHeight="1">
      <c r="A679" s="71"/>
      <c r="AL679" s="7"/>
    </row>
    <row r="680" spans="1:38" ht="12.75" customHeight="1">
      <c r="A680" s="71"/>
      <c r="AL680" s="7"/>
    </row>
    <row r="681" spans="1:38" ht="12.75" customHeight="1">
      <c r="A681" s="71"/>
      <c r="AL681" s="7"/>
    </row>
    <row r="682" spans="1:38" ht="12.75" customHeight="1">
      <c r="A682" s="71"/>
      <c r="AL682" s="7"/>
    </row>
    <row r="683" spans="1:38" ht="12.75" customHeight="1">
      <c r="A683" s="71"/>
      <c r="AL683" s="7"/>
    </row>
    <row r="684" spans="1:38" ht="12.75" customHeight="1">
      <c r="A684" s="71"/>
      <c r="AL684" s="7"/>
    </row>
    <row r="685" spans="1:38" ht="12.75" customHeight="1">
      <c r="A685" s="71"/>
      <c r="AL685" s="7"/>
    </row>
    <row r="686" spans="1:38" ht="12.75" customHeight="1">
      <c r="A686" s="71"/>
      <c r="AL686" s="7"/>
    </row>
    <row r="687" spans="1:38" ht="12.75" customHeight="1">
      <c r="A687" s="71"/>
      <c r="AL687" s="7"/>
    </row>
    <row r="688" spans="1:38" ht="12.75" customHeight="1">
      <c r="A688" s="71"/>
      <c r="AL688" s="7"/>
    </row>
    <row r="689" spans="1:38" ht="12.75" customHeight="1">
      <c r="A689" s="71"/>
      <c r="AL689" s="7"/>
    </row>
    <row r="690" spans="1:38" ht="12.75" customHeight="1">
      <c r="A690" s="71"/>
      <c r="AL690" s="7"/>
    </row>
    <row r="691" spans="1:38" ht="12.75" customHeight="1">
      <c r="A691" s="71"/>
      <c r="AL691" s="7"/>
    </row>
    <row r="692" spans="1:38" ht="12.75" customHeight="1">
      <c r="A692" s="71"/>
      <c r="AL692" s="7"/>
    </row>
    <row r="693" spans="1:38" ht="12.75" customHeight="1">
      <c r="A693" s="71"/>
      <c r="AL693" s="7"/>
    </row>
    <row r="694" spans="1:38" ht="12.75" customHeight="1">
      <c r="A694" s="71"/>
      <c r="AL694" s="7"/>
    </row>
    <row r="695" spans="1:38" ht="12.75" customHeight="1">
      <c r="A695" s="71"/>
      <c r="AL695" s="7"/>
    </row>
    <row r="696" spans="1:38" ht="12.75" customHeight="1">
      <c r="A696" s="71"/>
      <c r="AL696" s="7"/>
    </row>
    <row r="697" spans="1:38" ht="12.75" customHeight="1">
      <c r="A697" s="71"/>
      <c r="AL697" s="7"/>
    </row>
    <row r="698" spans="1:38" ht="12.75" customHeight="1">
      <c r="A698" s="71"/>
      <c r="AL698" s="7"/>
    </row>
    <row r="699" spans="1:38" ht="12.75" customHeight="1">
      <c r="A699" s="71"/>
      <c r="AL699" s="7"/>
    </row>
    <row r="700" spans="1:38" ht="12.75" customHeight="1">
      <c r="A700" s="71"/>
      <c r="AL700" s="7"/>
    </row>
    <row r="701" spans="1:38" ht="12.75" customHeight="1">
      <c r="A701" s="71"/>
      <c r="AL701" s="7"/>
    </row>
    <row r="702" spans="1:38" ht="12.75" customHeight="1">
      <c r="A702" s="71"/>
      <c r="AL702" s="7"/>
    </row>
    <row r="703" spans="1:38" ht="12.75" customHeight="1">
      <c r="A703" s="71"/>
      <c r="AL703" s="7"/>
    </row>
    <row r="704" spans="1:38" ht="12.75" customHeight="1">
      <c r="A704" s="71"/>
      <c r="AL704" s="7"/>
    </row>
    <row r="705" spans="1:38" ht="12.75" customHeight="1">
      <c r="A705" s="71"/>
      <c r="AL705" s="7"/>
    </row>
    <row r="706" spans="1:38" ht="12.75" customHeight="1">
      <c r="A706" s="71"/>
      <c r="AL706" s="7"/>
    </row>
    <row r="707" spans="1:38" ht="12.75" customHeight="1">
      <c r="A707" s="71"/>
      <c r="AL707" s="7"/>
    </row>
    <row r="708" spans="1:38" ht="12.75" customHeight="1">
      <c r="A708" s="71"/>
      <c r="AL708" s="7"/>
    </row>
    <row r="709" spans="1:38" ht="12.75" customHeight="1">
      <c r="A709" s="71"/>
      <c r="AL709" s="7"/>
    </row>
    <row r="710" spans="1:38" ht="12.75" customHeight="1">
      <c r="A710" s="71"/>
      <c r="AL710" s="7"/>
    </row>
    <row r="711" spans="1:38" ht="12.75" customHeight="1">
      <c r="A711" s="71"/>
      <c r="AL711" s="7"/>
    </row>
    <row r="712" spans="1:38" ht="12.75" customHeight="1">
      <c r="A712" s="71"/>
      <c r="AL712" s="7"/>
    </row>
    <row r="713" spans="1:38" ht="12.75" customHeight="1">
      <c r="A713" s="71"/>
      <c r="AL713" s="7"/>
    </row>
    <row r="714" spans="1:38" ht="12.75" customHeight="1">
      <c r="A714" s="71"/>
      <c r="AL714" s="7"/>
    </row>
    <row r="715" spans="1:38" ht="12.75" customHeight="1">
      <c r="A715" s="71"/>
      <c r="AL715" s="7"/>
    </row>
    <row r="716" spans="1:38" ht="12.75" customHeight="1">
      <c r="A716" s="71"/>
      <c r="AL716" s="7"/>
    </row>
    <row r="717" spans="1:38" ht="12.75" customHeight="1">
      <c r="A717" s="71"/>
      <c r="AL717" s="7"/>
    </row>
    <row r="718" spans="1:38" ht="12.75" customHeight="1">
      <c r="A718" s="71"/>
      <c r="AL718" s="7"/>
    </row>
    <row r="719" spans="1:38" ht="12.75" customHeight="1">
      <c r="A719" s="71"/>
      <c r="AL719" s="7"/>
    </row>
    <row r="720" spans="1:38" ht="12.75" customHeight="1">
      <c r="A720" s="71"/>
      <c r="AL720" s="7"/>
    </row>
    <row r="721" spans="1:38" ht="12.75" customHeight="1">
      <c r="A721" s="71"/>
      <c r="AL721" s="7"/>
    </row>
    <row r="722" spans="1:38" ht="12.75" customHeight="1">
      <c r="A722" s="71"/>
      <c r="AL722" s="7"/>
    </row>
    <row r="723" spans="1:38" ht="12.75" customHeight="1">
      <c r="A723" s="71"/>
      <c r="AL723" s="7"/>
    </row>
    <row r="724" spans="1:38" ht="12.75" customHeight="1">
      <c r="A724" s="71"/>
      <c r="AL724" s="7"/>
    </row>
    <row r="725" spans="1:38" ht="12.75" customHeight="1">
      <c r="A725" s="71"/>
      <c r="AL725" s="7"/>
    </row>
    <row r="726" spans="1:38" ht="12.75" customHeight="1">
      <c r="A726" s="71"/>
      <c r="AL726" s="7"/>
    </row>
    <row r="727" spans="1:38" ht="12.75" customHeight="1">
      <c r="A727" s="71"/>
      <c r="AL727" s="7"/>
    </row>
    <row r="728" spans="1:38" ht="12.75" customHeight="1">
      <c r="A728" s="71"/>
      <c r="AL728" s="7"/>
    </row>
    <row r="729" spans="1:38" ht="12.75" customHeight="1">
      <c r="A729" s="71"/>
      <c r="AL729" s="7"/>
    </row>
    <row r="730" spans="1:38" ht="12.75" customHeight="1">
      <c r="A730" s="71"/>
      <c r="AL730" s="7"/>
    </row>
    <row r="731" spans="1:38" ht="12.75" customHeight="1">
      <c r="A731" s="71"/>
      <c r="AL731" s="7"/>
    </row>
    <row r="732" spans="1:38" ht="12.75" customHeight="1">
      <c r="A732" s="71"/>
      <c r="AL732" s="7"/>
    </row>
    <row r="733" spans="1:38" ht="12.75" customHeight="1">
      <c r="A733" s="71"/>
      <c r="AL733" s="7"/>
    </row>
    <row r="734" spans="1:38" ht="12.75" customHeight="1">
      <c r="A734" s="71"/>
      <c r="AL734" s="7"/>
    </row>
    <row r="735" spans="1:38" ht="12.75" customHeight="1">
      <c r="A735" s="71"/>
      <c r="AL735" s="7"/>
    </row>
    <row r="736" spans="1:38" ht="12.75" customHeight="1">
      <c r="A736" s="71"/>
      <c r="AL736" s="7"/>
    </row>
    <row r="737" spans="1:38" ht="12.75" customHeight="1">
      <c r="A737" s="71"/>
      <c r="AL737" s="7"/>
    </row>
    <row r="738" spans="1:38" ht="12.75" customHeight="1">
      <c r="A738" s="71"/>
      <c r="AL738" s="7"/>
    </row>
    <row r="739" spans="1:38" ht="12.75" customHeight="1">
      <c r="A739" s="71"/>
      <c r="AL739" s="7"/>
    </row>
    <row r="740" spans="1:38" ht="12.75" customHeight="1">
      <c r="A740" s="71"/>
      <c r="AL740" s="7"/>
    </row>
    <row r="741" spans="1:38" ht="12.75" customHeight="1">
      <c r="A741" s="71"/>
      <c r="AL741" s="7"/>
    </row>
    <row r="742" spans="1:38" ht="12.75" customHeight="1">
      <c r="A742" s="71"/>
      <c r="AL742" s="7"/>
    </row>
    <row r="743" spans="1:38" ht="12.75" customHeight="1">
      <c r="A743" s="71"/>
      <c r="AL743" s="7"/>
    </row>
    <row r="744" spans="1:38" ht="12.75" customHeight="1">
      <c r="A744" s="71"/>
      <c r="AL744" s="7"/>
    </row>
    <row r="745" spans="1:38" ht="12.75" customHeight="1">
      <c r="A745" s="71"/>
      <c r="AL745" s="7"/>
    </row>
    <row r="746" spans="1:38" ht="12.75" customHeight="1">
      <c r="A746" s="71"/>
      <c r="AL746" s="7"/>
    </row>
    <row r="747" spans="1:38" ht="12.75" customHeight="1">
      <c r="A747" s="71"/>
      <c r="AL747" s="7"/>
    </row>
    <row r="748" spans="1:38" ht="12.75" customHeight="1">
      <c r="A748" s="71"/>
      <c r="AL748" s="7"/>
    </row>
    <row r="749" spans="1:38" ht="12.75" customHeight="1">
      <c r="A749" s="71"/>
      <c r="AL749" s="7"/>
    </row>
    <row r="750" spans="1:38" ht="12.75" customHeight="1">
      <c r="A750" s="71"/>
      <c r="AL750" s="7"/>
    </row>
    <row r="751" spans="1:38" ht="12.75" customHeight="1">
      <c r="A751" s="71"/>
      <c r="AL751" s="7"/>
    </row>
    <row r="752" spans="1:38" ht="12.75" customHeight="1">
      <c r="A752" s="71"/>
      <c r="AL752" s="7"/>
    </row>
    <row r="753" spans="1:38" ht="12.75" customHeight="1">
      <c r="A753" s="71"/>
      <c r="AL753" s="7"/>
    </row>
    <row r="754" spans="1:38" ht="12.75" customHeight="1">
      <c r="A754" s="71"/>
      <c r="AL754" s="7"/>
    </row>
    <row r="755" spans="1:38" ht="12.75" customHeight="1">
      <c r="A755" s="71"/>
      <c r="AL755" s="7"/>
    </row>
    <row r="756" spans="1:38" ht="12.75" customHeight="1">
      <c r="A756" s="71"/>
      <c r="AL756" s="7"/>
    </row>
    <row r="757" spans="1:38" ht="12.75" customHeight="1">
      <c r="A757" s="71"/>
      <c r="AL757" s="7"/>
    </row>
    <row r="758" spans="1:38" ht="12.75" customHeight="1">
      <c r="A758" s="71"/>
      <c r="AL758" s="7"/>
    </row>
    <row r="759" spans="1:38" ht="12.75" customHeight="1">
      <c r="A759" s="71"/>
      <c r="AL759" s="7"/>
    </row>
    <row r="760" spans="1:38" ht="12.75" customHeight="1">
      <c r="A760" s="71"/>
      <c r="AL760" s="7"/>
    </row>
    <row r="761" spans="1:38" ht="12.75" customHeight="1">
      <c r="A761" s="71"/>
      <c r="AL761" s="7"/>
    </row>
    <row r="762" spans="1:38" ht="12.75" customHeight="1">
      <c r="A762" s="71"/>
      <c r="AL762" s="7"/>
    </row>
    <row r="763" spans="1:38" ht="12.75" customHeight="1">
      <c r="A763" s="71"/>
      <c r="AL763" s="7"/>
    </row>
    <row r="764" spans="1:38" ht="12.75" customHeight="1">
      <c r="A764" s="71"/>
      <c r="AL764" s="7"/>
    </row>
    <row r="765" spans="1:38" ht="12.75" customHeight="1">
      <c r="A765" s="71"/>
      <c r="AL765" s="7"/>
    </row>
    <row r="766" spans="1:38" ht="12.75" customHeight="1">
      <c r="A766" s="71"/>
      <c r="AL766" s="7"/>
    </row>
    <row r="767" spans="1:38" ht="12.75" customHeight="1">
      <c r="A767" s="71"/>
      <c r="AL767" s="7"/>
    </row>
    <row r="768" spans="1:38" ht="12.75" customHeight="1">
      <c r="A768" s="71"/>
      <c r="AL768" s="7"/>
    </row>
    <row r="769" spans="1:38" ht="12.75" customHeight="1">
      <c r="A769" s="71"/>
      <c r="AL769" s="7"/>
    </row>
    <row r="770" spans="1:38" ht="12.75" customHeight="1">
      <c r="A770" s="71"/>
      <c r="AL770" s="7"/>
    </row>
    <row r="771" spans="1:38" ht="12.75" customHeight="1">
      <c r="A771" s="71"/>
      <c r="AL771" s="7"/>
    </row>
    <row r="772" spans="1:38" ht="12.75" customHeight="1">
      <c r="A772" s="71"/>
      <c r="AL772" s="7"/>
    </row>
    <row r="773" spans="1:38" ht="12.75" customHeight="1">
      <c r="A773" s="71"/>
      <c r="AL773" s="7"/>
    </row>
    <row r="774" spans="1:38" ht="12.75" customHeight="1">
      <c r="A774" s="71"/>
      <c r="AL774" s="7"/>
    </row>
    <row r="775" spans="1:38" ht="12.75" customHeight="1">
      <c r="A775" s="71"/>
      <c r="AL775" s="7"/>
    </row>
    <row r="776" spans="1:38" ht="12.75" customHeight="1">
      <c r="A776" s="71"/>
      <c r="AL776" s="7"/>
    </row>
    <row r="777" spans="1:38" ht="12.75" customHeight="1">
      <c r="A777" s="71"/>
      <c r="AL777" s="7"/>
    </row>
    <row r="778" spans="1:38" ht="12.75" customHeight="1">
      <c r="A778" s="71"/>
      <c r="AL778" s="7"/>
    </row>
    <row r="779" spans="1:38" ht="12.75" customHeight="1">
      <c r="A779" s="71"/>
      <c r="AL779" s="7"/>
    </row>
    <row r="780" spans="1:38" ht="12.75" customHeight="1">
      <c r="A780" s="71"/>
      <c r="AL780" s="7"/>
    </row>
    <row r="781" spans="1:38" ht="12.75" customHeight="1">
      <c r="A781" s="71"/>
      <c r="AL781" s="7"/>
    </row>
    <row r="782" spans="1:38" ht="12.75" customHeight="1">
      <c r="A782" s="71"/>
      <c r="AL782" s="7"/>
    </row>
    <row r="783" spans="1:38" ht="12.75" customHeight="1">
      <c r="A783" s="71"/>
      <c r="AL783" s="7"/>
    </row>
    <row r="784" spans="1:38" ht="12.75" customHeight="1">
      <c r="A784" s="71"/>
      <c r="AL784" s="7"/>
    </row>
    <row r="785" spans="1:38" ht="12.75" customHeight="1">
      <c r="A785" s="71"/>
      <c r="AL785" s="7"/>
    </row>
    <row r="786" spans="1:38" ht="12.75" customHeight="1">
      <c r="A786" s="71"/>
      <c r="AL786" s="7"/>
    </row>
    <row r="787" spans="1:38" ht="12.75" customHeight="1">
      <c r="A787" s="71"/>
      <c r="AL787" s="7"/>
    </row>
    <row r="788" spans="1:38" ht="12.75" customHeight="1">
      <c r="A788" s="71"/>
      <c r="AL788" s="7"/>
    </row>
    <row r="789" spans="1:38" ht="12.75" customHeight="1">
      <c r="A789" s="71"/>
      <c r="AL789" s="7"/>
    </row>
    <row r="790" spans="1:38" ht="12.75" customHeight="1">
      <c r="A790" s="71"/>
      <c r="AL790" s="7"/>
    </row>
    <row r="791" spans="1:38" ht="12.75" customHeight="1">
      <c r="A791" s="71"/>
      <c r="AL791" s="7"/>
    </row>
    <row r="792" spans="1:38" ht="12.75" customHeight="1">
      <c r="A792" s="71"/>
      <c r="AL792" s="7"/>
    </row>
    <row r="793" spans="1:38" ht="12.75" customHeight="1">
      <c r="A793" s="71"/>
      <c r="AL793" s="7"/>
    </row>
    <row r="794" spans="1:38" ht="12.75" customHeight="1">
      <c r="A794" s="71"/>
      <c r="AL794" s="7"/>
    </row>
    <row r="795" spans="1:38" ht="12.75" customHeight="1">
      <c r="A795" s="71"/>
      <c r="AL795" s="7"/>
    </row>
    <row r="796" spans="1:38" ht="12.75" customHeight="1">
      <c r="A796" s="71"/>
      <c r="AL796" s="7"/>
    </row>
    <row r="797" spans="1:38" ht="12.75" customHeight="1">
      <c r="A797" s="71"/>
      <c r="AL797" s="7"/>
    </row>
    <row r="798" spans="1:38" ht="12.75" customHeight="1">
      <c r="A798" s="71"/>
      <c r="AL798" s="7"/>
    </row>
    <row r="799" spans="1:38" ht="12.75" customHeight="1">
      <c r="A799" s="71"/>
      <c r="AL799" s="7"/>
    </row>
    <row r="800" spans="1:38" ht="12.75" customHeight="1">
      <c r="A800" s="71"/>
      <c r="AL800" s="7"/>
    </row>
    <row r="801" spans="1:38" ht="12.75" customHeight="1">
      <c r="A801" s="71"/>
      <c r="AL801" s="7"/>
    </row>
    <row r="802" spans="1:38" ht="12.75" customHeight="1">
      <c r="A802" s="71"/>
      <c r="AL802" s="7"/>
    </row>
    <row r="803" spans="1:38" ht="12.75" customHeight="1">
      <c r="A803" s="71"/>
      <c r="AL803" s="7"/>
    </row>
    <row r="804" spans="1:38" ht="12.75" customHeight="1">
      <c r="A804" s="71"/>
      <c r="AL804" s="7"/>
    </row>
    <row r="805" spans="1:38" ht="12.75" customHeight="1">
      <c r="A805" s="71"/>
      <c r="AL805" s="7"/>
    </row>
    <row r="806" spans="1:38" ht="12.75" customHeight="1">
      <c r="A806" s="71"/>
      <c r="AL806" s="7"/>
    </row>
    <row r="807" spans="1:38" ht="12.75" customHeight="1">
      <c r="A807" s="71"/>
      <c r="AL807" s="7"/>
    </row>
    <row r="808" spans="1:38" ht="12.75" customHeight="1">
      <c r="A808" s="71"/>
      <c r="AL808" s="7"/>
    </row>
    <row r="809" spans="1:38" ht="12.75" customHeight="1">
      <c r="A809" s="71"/>
      <c r="AL809" s="7"/>
    </row>
    <row r="810" spans="1:38" ht="12.75" customHeight="1">
      <c r="A810" s="71"/>
      <c r="AL810" s="7"/>
    </row>
    <row r="811" spans="1:38" ht="12.75" customHeight="1">
      <c r="A811" s="71"/>
      <c r="AL811" s="7"/>
    </row>
    <row r="812" spans="1:38" ht="12.75" customHeight="1">
      <c r="A812" s="71"/>
      <c r="AL812" s="7"/>
    </row>
    <row r="813" spans="1:38" ht="12.75" customHeight="1">
      <c r="A813" s="71"/>
      <c r="AL813" s="7"/>
    </row>
    <row r="814" spans="1:38" ht="12.75" customHeight="1">
      <c r="A814" s="71"/>
      <c r="AL814" s="7"/>
    </row>
    <row r="815" spans="1:38" ht="12.75" customHeight="1">
      <c r="A815" s="71"/>
      <c r="AL815" s="7"/>
    </row>
    <row r="816" spans="1:38" ht="12.75" customHeight="1">
      <c r="A816" s="71"/>
      <c r="AL816" s="7"/>
    </row>
    <row r="817" spans="1:38" ht="12.75" customHeight="1">
      <c r="A817" s="71"/>
      <c r="AL817" s="7"/>
    </row>
    <row r="818" spans="1:38" ht="12.75" customHeight="1">
      <c r="A818" s="71"/>
      <c r="AL818" s="7"/>
    </row>
    <row r="819" spans="1:38" ht="12.75" customHeight="1">
      <c r="A819" s="71"/>
      <c r="AL819" s="7"/>
    </row>
    <row r="820" spans="1:38" ht="12.75" customHeight="1">
      <c r="A820" s="71"/>
      <c r="AL820" s="7"/>
    </row>
    <row r="821" spans="1:38" ht="12.75" customHeight="1">
      <c r="A821" s="71"/>
      <c r="AL821" s="7"/>
    </row>
    <row r="822" spans="1:38" ht="12.75" customHeight="1">
      <c r="A822" s="71"/>
      <c r="AL822" s="7"/>
    </row>
    <row r="823" spans="1:38" ht="12.75" customHeight="1">
      <c r="A823" s="71"/>
      <c r="AL823" s="7"/>
    </row>
    <row r="824" spans="1:38" ht="12.75" customHeight="1">
      <c r="A824" s="71"/>
      <c r="AL824" s="7"/>
    </row>
    <row r="825" spans="1:38" ht="12.75" customHeight="1">
      <c r="A825" s="71"/>
      <c r="AL825" s="7"/>
    </row>
    <row r="826" spans="1:38" ht="12.75" customHeight="1">
      <c r="A826" s="71"/>
      <c r="AL826" s="7"/>
    </row>
    <row r="827" spans="1:38" ht="12.75" customHeight="1">
      <c r="A827" s="71"/>
      <c r="AL827" s="7"/>
    </row>
    <row r="828" spans="1:38" ht="12.75" customHeight="1">
      <c r="A828" s="71"/>
      <c r="AL828" s="7"/>
    </row>
    <row r="829" spans="1:38" ht="12.75" customHeight="1">
      <c r="A829" s="71"/>
      <c r="AL829" s="7"/>
    </row>
    <row r="830" spans="1:38" ht="12.75" customHeight="1">
      <c r="A830" s="71"/>
      <c r="AL830" s="7"/>
    </row>
    <row r="831" spans="1:38" ht="12.75" customHeight="1">
      <c r="A831" s="71"/>
      <c r="AL831" s="7"/>
    </row>
    <row r="832" spans="1:38" ht="12.75" customHeight="1">
      <c r="A832" s="71"/>
      <c r="AL832" s="7"/>
    </row>
    <row r="833" spans="1:38" ht="12.75" customHeight="1">
      <c r="A833" s="71"/>
      <c r="AL833" s="7"/>
    </row>
    <row r="834" spans="1:38" ht="12.75" customHeight="1">
      <c r="A834" s="71"/>
      <c r="AL834" s="7"/>
    </row>
    <row r="835" spans="1:38" ht="12.75" customHeight="1">
      <c r="A835" s="71"/>
      <c r="AL835" s="7"/>
    </row>
    <row r="836" spans="1:38" ht="12.75" customHeight="1">
      <c r="A836" s="71"/>
      <c r="AL836" s="7"/>
    </row>
    <row r="837" spans="1:38" ht="12.75" customHeight="1">
      <c r="A837" s="71"/>
      <c r="AL837" s="7"/>
    </row>
    <row r="838" spans="1:38" ht="12.75" customHeight="1">
      <c r="A838" s="71"/>
      <c r="AL838" s="7"/>
    </row>
    <row r="839" spans="1:38" ht="12.75" customHeight="1">
      <c r="A839" s="71"/>
      <c r="AL839" s="7"/>
    </row>
    <row r="840" spans="1:38" ht="12.75" customHeight="1">
      <c r="A840" s="71"/>
      <c r="AL840" s="7"/>
    </row>
    <row r="841" spans="1:38" ht="12.75" customHeight="1">
      <c r="A841" s="71"/>
      <c r="AL841" s="7"/>
    </row>
    <row r="842" spans="1:38" ht="12.75" customHeight="1">
      <c r="A842" s="71"/>
      <c r="AL842" s="7"/>
    </row>
    <row r="843" spans="1:38" ht="12.75" customHeight="1">
      <c r="A843" s="71"/>
      <c r="AL843" s="7"/>
    </row>
    <row r="844" spans="1:38" ht="12.75" customHeight="1">
      <c r="A844" s="71"/>
      <c r="AL844" s="7"/>
    </row>
    <row r="845" spans="1:38" ht="12.75" customHeight="1">
      <c r="A845" s="71"/>
      <c r="AL845" s="7"/>
    </row>
    <row r="846" spans="1:38" ht="12.75" customHeight="1">
      <c r="A846" s="71"/>
      <c r="AL846" s="7"/>
    </row>
    <row r="847" spans="1:38" ht="12.75" customHeight="1">
      <c r="A847" s="71"/>
      <c r="AL847" s="7"/>
    </row>
    <row r="848" spans="1:38" ht="12.75" customHeight="1">
      <c r="A848" s="71"/>
      <c r="AL848" s="7"/>
    </row>
    <row r="849" spans="1:38" ht="12.75" customHeight="1">
      <c r="A849" s="71"/>
      <c r="AL849" s="7"/>
    </row>
    <row r="850" spans="1:38" ht="12.75" customHeight="1">
      <c r="A850" s="71"/>
      <c r="AL850" s="7"/>
    </row>
    <row r="851" spans="1:38" ht="12.75" customHeight="1">
      <c r="A851" s="71"/>
      <c r="AL851" s="7"/>
    </row>
    <row r="852" spans="1:38" ht="12.75" customHeight="1">
      <c r="A852" s="71"/>
      <c r="AL852" s="7"/>
    </row>
    <row r="853" spans="1:38" ht="12.75" customHeight="1">
      <c r="A853" s="71"/>
      <c r="AL853" s="7"/>
    </row>
    <row r="854" spans="1:38" ht="12.75" customHeight="1">
      <c r="A854" s="71"/>
      <c r="AL854" s="7"/>
    </row>
    <row r="855" spans="1:38" ht="12.75" customHeight="1">
      <c r="A855" s="71"/>
      <c r="AL855" s="7"/>
    </row>
    <row r="856" spans="1:38" ht="12.75" customHeight="1">
      <c r="A856" s="71"/>
      <c r="AL856" s="7"/>
    </row>
    <row r="857" spans="1:38" ht="12.75" customHeight="1">
      <c r="A857" s="71"/>
      <c r="AL857" s="7"/>
    </row>
    <row r="858" spans="1:38" ht="12.75" customHeight="1">
      <c r="A858" s="71"/>
      <c r="AL858" s="7"/>
    </row>
    <row r="859" spans="1:38" ht="12.75" customHeight="1">
      <c r="A859" s="71"/>
      <c r="AL859" s="7"/>
    </row>
    <row r="860" spans="1:38" ht="12.75" customHeight="1">
      <c r="A860" s="71"/>
      <c r="AL860" s="7"/>
    </row>
    <row r="861" spans="1:38" ht="12.75" customHeight="1">
      <c r="A861" s="71"/>
      <c r="AL861" s="7"/>
    </row>
    <row r="862" spans="1:38" ht="12.75" customHeight="1">
      <c r="A862" s="71"/>
      <c r="AL862" s="7"/>
    </row>
    <row r="863" spans="1:38" ht="12.75" customHeight="1">
      <c r="A863" s="71"/>
      <c r="AL863" s="7"/>
    </row>
    <row r="864" spans="1:38" ht="12.75" customHeight="1">
      <c r="A864" s="71"/>
      <c r="AL864" s="7"/>
    </row>
    <row r="865" spans="1:38" ht="12.75" customHeight="1">
      <c r="A865" s="71"/>
      <c r="AL865" s="7"/>
    </row>
    <row r="866" spans="1:38" ht="12.75" customHeight="1">
      <c r="A866" s="71"/>
      <c r="AL866" s="7"/>
    </row>
    <row r="867" spans="1:38" ht="12.75" customHeight="1">
      <c r="A867" s="71"/>
      <c r="AL867" s="7"/>
    </row>
    <row r="868" spans="1:38" ht="12.75" customHeight="1">
      <c r="A868" s="71"/>
      <c r="AL868" s="7"/>
    </row>
    <row r="869" spans="1:38" ht="12.75" customHeight="1">
      <c r="A869" s="71"/>
      <c r="AL869" s="7"/>
    </row>
    <row r="870" spans="1:38" ht="12.75" customHeight="1">
      <c r="A870" s="71"/>
      <c r="AL870" s="7"/>
    </row>
    <row r="871" spans="1:38" ht="12.75" customHeight="1">
      <c r="A871" s="71"/>
      <c r="AL871" s="7"/>
    </row>
    <row r="872" spans="1:38" ht="12.75" customHeight="1">
      <c r="A872" s="71"/>
      <c r="AL872" s="7"/>
    </row>
    <row r="873" spans="1:38" ht="12.75" customHeight="1">
      <c r="A873" s="71"/>
      <c r="AL873" s="7"/>
    </row>
    <row r="874" spans="1:38" ht="12.75" customHeight="1">
      <c r="A874" s="71"/>
      <c r="AL874" s="7"/>
    </row>
    <row r="875" spans="1:38" ht="12.75" customHeight="1">
      <c r="A875" s="71"/>
      <c r="AL875" s="7"/>
    </row>
    <row r="876" spans="1:38" ht="12.75" customHeight="1">
      <c r="A876" s="71"/>
      <c r="AL876" s="7"/>
    </row>
    <row r="877" spans="1:38" ht="12.75" customHeight="1">
      <c r="A877" s="71"/>
      <c r="AL877" s="7"/>
    </row>
    <row r="878" spans="1:38" ht="12.75" customHeight="1">
      <c r="A878" s="71"/>
      <c r="AL878" s="7"/>
    </row>
    <row r="879" spans="1:38" ht="12.75" customHeight="1">
      <c r="A879" s="71"/>
      <c r="AL879" s="7"/>
    </row>
    <row r="880" spans="1:38" ht="12.75" customHeight="1">
      <c r="A880" s="71"/>
      <c r="AL880" s="7"/>
    </row>
    <row r="881" spans="1:38" ht="12.75" customHeight="1">
      <c r="A881" s="71"/>
      <c r="AL881" s="7"/>
    </row>
    <row r="882" spans="1:38" ht="12.75" customHeight="1">
      <c r="A882" s="71"/>
      <c r="AL882" s="7"/>
    </row>
    <row r="883" spans="1:38" ht="12.75" customHeight="1">
      <c r="A883" s="71"/>
      <c r="AL883" s="7"/>
    </row>
    <row r="884" spans="1:38" ht="12.75" customHeight="1">
      <c r="A884" s="71"/>
      <c r="AL884" s="7"/>
    </row>
    <row r="885" spans="1:38" ht="12.75" customHeight="1">
      <c r="A885" s="71"/>
      <c r="AL885" s="7"/>
    </row>
    <row r="886" spans="1:38" ht="12.75" customHeight="1">
      <c r="A886" s="71"/>
      <c r="AL886" s="7"/>
    </row>
    <row r="887" spans="1:38" ht="12.75" customHeight="1">
      <c r="A887" s="71"/>
      <c r="AL887" s="7"/>
    </row>
    <row r="888" spans="1:38" ht="12.75" customHeight="1">
      <c r="A888" s="71"/>
      <c r="AL888" s="7"/>
    </row>
    <row r="889" spans="1:38" ht="12.75" customHeight="1">
      <c r="A889" s="71"/>
      <c r="AL889" s="7"/>
    </row>
    <row r="890" spans="1:38" ht="12.75" customHeight="1">
      <c r="A890" s="71"/>
      <c r="AL890" s="7"/>
    </row>
    <row r="891" spans="1:38" ht="12.75" customHeight="1">
      <c r="A891" s="71"/>
      <c r="AL891" s="7"/>
    </row>
    <row r="892" spans="1:38" ht="12.75" customHeight="1">
      <c r="A892" s="71"/>
      <c r="AL892" s="7"/>
    </row>
    <row r="893" spans="1:38" ht="12.75" customHeight="1">
      <c r="A893" s="71"/>
      <c r="AL893" s="7"/>
    </row>
    <row r="894" spans="1:38" ht="12.75" customHeight="1">
      <c r="A894" s="71"/>
      <c r="AL894" s="7"/>
    </row>
    <row r="895" spans="1:38" ht="12.75" customHeight="1">
      <c r="A895" s="71"/>
      <c r="AL895" s="7"/>
    </row>
    <row r="896" spans="1:38" ht="12.75" customHeight="1">
      <c r="A896" s="71"/>
      <c r="AL896" s="7"/>
    </row>
    <row r="897" spans="1:38" ht="12.75" customHeight="1">
      <c r="A897" s="71"/>
      <c r="AL897" s="7"/>
    </row>
    <row r="898" spans="1:38" ht="12.75" customHeight="1">
      <c r="A898" s="71"/>
      <c r="AL898" s="7"/>
    </row>
    <row r="899" spans="1:38" ht="12.75" customHeight="1">
      <c r="A899" s="71"/>
      <c r="AL899" s="7"/>
    </row>
    <row r="900" spans="1:38" ht="12.75" customHeight="1">
      <c r="A900" s="71"/>
      <c r="AL900" s="7"/>
    </row>
    <row r="901" spans="1:38" ht="12.75" customHeight="1">
      <c r="A901" s="71"/>
      <c r="AL901" s="7"/>
    </row>
    <row r="902" spans="1:38" ht="12.75" customHeight="1">
      <c r="A902" s="71"/>
      <c r="AL902" s="7"/>
    </row>
    <row r="903" spans="1:38" ht="12.75" customHeight="1">
      <c r="A903" s="71"/>
      <c r="AL903" s="7"/>
    </row>
    <row r="904" spans="1:38" ht="12.75" customHeight="1">
      <c r="A904" s="71"/>
      <c r="AL904" s="7"/>
    </row>
    <row r="905" spans="1:38" ht="12.75" customHeight="1">
      <c r="A905" s="71"/>
      <c r="AL905" s="7"/>
    </row>
    <row r="906" spans="1:38" ht="12.75" customHeight="1">
      <c r="A906" s="71"/>
      <c r="AL906" s="7"/>
    </row>
    <row r="907" spans="1:38" ht="12.75" customHeight="1">
      <c r="A907" s="71"/>
      <c r="AL907" s="7"/>
    </row>
    <row r="908" spans="1:38" ht="12.75" customHeight="1">
      <c r="A908" s="71"/>
      <c r="AL908" s="7"/>
    </row>
    <row r="909" spans="1:38" ht="12.75" customHeight="1">
      <c r="A909" s="71"/>
      <c r="AL909" s="7"/>
    </row>
    <row r="910" spans="1:38" ht="12.75" customHeight="1">
      <c r="A910" s="71"/>
      <c r="AL910" s="7"/>
    </row>
    <row r="911" spans="1:38" ht="12.75" customHeight="1">
      <c r="A911" s="71"/>
      <c r="AL911" s="7"/>
    </row>
    <row r="912" spans="1:38" ht="12.75" customHeight="1">
      <c r="A912" s="71"/>
      <c r="AL912" s="7"/>
    </row>
    <row r="913" spans="1:38" ht="12.75" customHeight="1">
      <c r="A913" s="71"/>
      <c r="AL913" s="7"/>
    </row>
    <row r="914" spans="1:38" ht="12.75" customHeight="1">
      <c r="A914" s="71"/>
      <c r="AL914" s="7"/>
    </row>
    <row r="915" spans="1:38" ht="12.75" customHeight="1">
      <c r="A915" s="71"/>
      <c r="AL915" s="7"/>
    </row>
    <row r="916" spans="1:38" ht="12.75" customHeight="1">
      <c r="A916" s="71"/>
      <c r="AL916" s="7"/>
    </row>
    <row r="917" spans="1:38" ht="12.75" customHeight="1">
      <c r="A917" s="71"/>
      <c r="AL917" s="7"/>
    </row>
    <row r="918" spans="1:38" ht="12.75" customHeight="1">
      <c r="A918" s="71"/>
      <c r="AL918" s="7"/>
    </row>
    <row r="919" spans="1:38" ht="12.75" customHeight="1">
      <c r="A919" s="71"/>
      <c r="AL919" s="7"/>
    </row>
    <row r="920" spans="1:38" ht="12.75" customHeight="1">
      <c r="A920" s="71"/>
      <c r="AL920" s="7"/>
    </row>
    <row r="921" spans="1:38" ht="12.75" customHeight="1">
      <c r="A921" s="71"/>
      <c r="AL921" s="7"/>
    </row>
    <row r="922" spans="1:38" ht="12.75" customHeight="1">
      <c r="A922" s="71"/>
      <c r="AL922" s="7"/>
    </row>
    <row r="923" spans="1:38" ht="12.75" customHeight="1">
      <c r="A923" s="71"/>
      <c r="AL923" s="7"/>
    </row>
    <row r="924" spans="1:38" ht="12.75" customHeight="1">
      <c r="A924" s="71"/>
      <c r="AL924" s="7"/>
    </row>
    <row r="925" spans="1:38" ht="12.75" customHeight="1">
      <c r="A925" s="71"/>
      <c r="AL925" s="7"/>
    </row>
    <row r="926" spans="1:38" ht="12.75" customHeight="1">
      <c r="A926" s="71"/>
      <c r="AL926" s="7"/>
    </row>
    <row r="927" spans="1:38" ht="12.75" customHeight="1">
      <c r="A927" s="71"/>
      <c r="AL927" s="7"/>
    </row>
    <row r="928" spans="1:38" ht="12.75" customHeight="1">
      <c r="A928" s="71"/>
      <c r="AL928" s="7"/>
    </row>
    <row r="929" spans="1:38" ht="12.75" customHeight="1">
      <c r="A929" s="71"/>
      <c r="AL929" s="7"/>
    </row>
    <row r="930" spans="1:38" ht="12.75" customHeight="1">
      <c r="A930" s="71"/>
      <c r="AL930" s="7"/>
    </row>
    <row r="931" spans="1:38" ht="12.75" customHeight="1">
      <c r="A931" s="71"/>
      <c r="AL931" s="7"/>
    </row>
    <row r="932" spans="1:38" ht="12.75" customHeight="1">
      <c r="A932" s="71"/>
      <c r="AL932" s="7"/>
    </row>
    <row r="933" spans="1:38" ht="12.75" customHeight="1">
      <c r="A933" s="71"/>
      <c r="AL933" s="7"/>
    </row>
    <row r="934" spans="1:38" ht="12.75" customHeight="1">
      <c r="A934" s="71"/>
      <c r="AL934" s="7"/>
    </row>
    <row r="935" spans="1:38" ht="12.75" customHeight="1">
      <c r="A935" s="71"/>
      <c r="AL935" s="7"/>
    </row>
    <row r="936" spans="1:38" ht="12.75" customHeight="1">
      <c r="A936" s="71"/>
      <c r="AL936" s="7"/>
    </row>
    <row r="937" spans="1:38" ht="12.75" customHeight="1">
      <c r="A937" s="71"/>
      <c r="AL937" s="7"/>
    </row>
    <row r="938" spans="1:38" ht="12.75" customHeight="1">
      <c r="A938" s="71"/>
      <c r="AL938" s="7"/>
    </row>
    <row r="939" spans="1:38" ht="12.75" customHeight="1">
      <c r="A939" s="71"/>
      <c r="AL939" s="7"/>
    </row>
    <row r="940" spans="1:38" ht="12.75" customHeight="1">
      <c r="A940" s="71"/>
      <c r="AL940" s="7"/>
    </row>
    <row r="941" spans="1:38" ht="12.75" customHeight="1">
      <c r="A941" s="71"/>
      <c r="AL941" s="7"/>
    </row>
    <row r="942" spans="1:38" ht="12.75" customHeight="1">
      <c r="A942" s="71"/>
      <c r="AL942" s="7"/>
    </row>
    <row r="943" spans="1:38" ht="12.75" customHeight="1">
      <c r="A943" s="71"/>
      <c r="AL943" s="7"/>
    </row>
    <row r="944" spans="1:38" ht="12.75" customHeight="1">
      <c r="A944" s="71"/>
      <c r="AL944" s="7"/>
    </row>
    <row r="945" spans="1:38" ht="12.75" customHeight="1">
      <c r="A945" s="71"/>
      <c r="AL945" s="7"/>
    </row>
    <row r="946" spans="1:38" ht="12.75" customHeight="1">
      <c r="A946" s="71"/>
      <c r="AL946" s="7"/>
    </row>
    <row r="947" spans="1:38" ht="12.75" customHeight="1">
      <c r="A947" s="71"/>
      <c r="AL947" s="7"/>
    </row>
    <row r="948" spans="1:38" ht="12.75" customHeight="1">
      <c r="A948" s="71"/>
      <c r="AL948" s="7"/>
    </row>
    <row r="949" spans="1:38" ht="12.75" customHeight="1">
      <c r="A949" s="71"/>
      <c r="AL949" s="7"/>
    </row>
    <row r="950" spans="1:38" ht="12.75" customHeight="1">
      <c r="A950" s="71"/>
      <c r="AL950" s="7"/>
    </row>
    <row r="951" spans="1:38" ht="12.75" customHeight="1">
      <c r="A951" s="71"/>
      <c r="AL951" s="7"/>
    </row>
    <row r="952" spans="1:38" ht="12.75" customHeight="1">
      <c r="A952" s="71"/>
      <c r="AL952" s="7"/>
    </row>
    <row r="953" spans="1:38" ht="12.75" customHeight="1">
      <c r="A953" s="71"/>
      <c r="AL953" s="7"/>
    </row>
    <row r="954" spans="1:38" ht="12.75" customHeight="1">
      <c r="A954" s="71"/>
      <c r="AL954" s="7"/>
    </row>
    <row r="955" spans="1:38" ht="12.75" customHeight="1">
      <c r="A955" s="71"/>
      <c r="AL955" s="7"/>
    </row>
    <row r="956" spans="1:38" ht="12.75" customHeight="1">
      <c r="A956" s="71"/>
      <c r="AL956" s="7"/>
    </row>
    <row r="957" spans="1:38" ht="12.75" customHeight="1">
      <c r="A957" s="71"/>
      <c r="AL957" s="7"/>
    </row>
    <row r="958" spans="1:38" ht="12.75" customHeight="1">
      <c r="A958" s="71"/>
      <c r="AL958" s="7"/>
    </row>
    <row r="959" spans="1:38" ht="12.75" customHeight="1">
      <c r="A959" s="71"/>
      <c r="AL959" s="7"/>
    </row>
    <row r="960" spans="1:38" ht="12.75" customHeight="1">
      <c r="A960" s="71"/>
      <c r="AL960" s="7"/>
    </row>
    <row r="961" spans="1:38" ht="12.75" customHeight="1">
      <c r="A961" s="71"/>
      <c r="AL961" s="7"/>
    </row>
    <row r="962" spans="1:38" ht="12.75" customHeight="1">
      <c r="A962" s="71"/>
      <c r="AL962" s="7"/>
    </row>
    <row r="963" spans="1:38" ht="12.75" customHeight="1">
      <c r="A963" s="71"/>
      <c r="AL963" s="7"/>
    </row>
    <row r="964" spans="1:38" ht="12.75" customHeight="1">
      <c r="A964" s="71"/>
      <c r="AL964" s="7"/>
    </row>
    <row r="965" spans="1:38" ht="12.75" customHeight="1">
      <c r="A965" s="71"/>
      <c r="AL965" s="7"/>
    </row>
    <row r="966" spans="1:38" ht="12.75" customHeight="1">
      <c r="A966" s="71"/>
      <c r="AL966" s="7"/>
    </row>
    <row r="967" spans="1:38" ht="12.75" customHeight="1">
      <c r="A967" s="71"/>
      <c r="AL967" s="7"/>
    </row>
    <row r="968" spans="1:38" ht="12.75" customHeight="1">
      <c r="A968" s="71"/>
      <c r="AL968" s="7"/>
    </row>
    <row r="969" spans="1:38" ht="12.75" customHeight="1">
      <c r="A969" s="71"/>
      <c r="AL969" s="7"/>
    </row>
    <row r="970" spans="1:38" ht="12.75" customHeight="1">
      <c r="A970" s="71"/>
      <c r="AL970" s="7"/>
    </row>
    <row r="971" spans="1:38" ht="12.75" customHeight="1">
      <c r="A971" s="71"/>
      <c r="AL971" s="7"/>
    </row>
    <row r="972" spans="1:38" ht="12.75" customHeight="1">
      <c r="A972" s="71"/>
      <c r="AL972" s="7"/>
    </row>
    <row r="973" spans="1:38" ht="12.75" customHeight="1">
      <c r="A973" s="71"/>
      <c r="AL973" s="7"/>
    </row>
    <row r="974" spans="1:38" ht="12.75" customHeight="1">
      <c r="A974" s="71"/>
      <c r="AL974" s="7"/>
    </row>
    <row r="975" spans="1:38" ht="12.75" customHeight="1">
      <c r="A975" s="71"/>
      <c r="AL975" s="7"/>
    </row>
    <row r="976" spans="1:38" ht="12.75" customHeight="1">
      <c r="A976" s="71"/>
      <c r="AL976" s="7"/>
    </row>
    <row r="977" spans="1:38" ht="12.75" customHeight="1">
      <c r="A977" s="71"/>
      <c r="AL977" s="7"/>
    </row>
    <row r="978" spans="1:38" ht="12.75" customHeight="1">
      <c r="A978" s="71"/>
      <c r="AL978" s="7"/>
    </row>
    <row r="979" spans="1:38" ht="12.75" customHeight="1">
      <c r="A979" s="71"/>
      <c r="AL979" s="7"/>
    </row>
    <row r="980" spans="1:38" ht="12.75" customHeight="1">
      <c r="A980" s="71"/>
      <c r="AL980" s="7"/>
    </row>
    <row r="981" spans="1:38" ht="12.75" customHeight="1">
      <c r="A981" s="71"/>
      <c r="AL981" s="7"/>
    </row>
    <row r="982" spans="1:38" ht="12.75" customHeight="1">
      <c r="A982" s="71"/>
      <c r="AL982" s="7"/>
    </row>
    <row r="983" spans="1:38" ht="12.75" customHeight="1">
      <c r="A983" s="71"/>
      <c r="AL983" s="7"/>
    </row>
    <row r="984" spans="1:38" ht="12.75" customHeight="1">
      <c r="A984" s="71"/>
      <c r="AL984" s="7"/>
    </row>
    <row r="985" spans="1:38" ht="12.75" customHeight="1">
      <c r="A985" s="71"/>
      <c r="AL985" s="7"/>
    </row>
    <row r="986" spans="1:38" ht="12.75" customHeight="1">
      <c r="A986" s="71"/>
      <c r="AL986" s="7"/>
    </row>
    <row r="987" spans="1:38" ht="12.75" customHeight="1">
      <c r="A987" s="71"/>
      <c r="AL987" s="7"/>
    </row>
    <row r="988" spans="1:38" ht="12.75" customHeight="1">
      <c r="A988" s="71"/>
      <c r="AL988" s="7"/>
    </row>
    <row r="989" spans="1:38" ht="12.75" customHeight="1">
      <c r="A989" s="71"/>
      <c r="AL989" s="7"/>
    </row>
    <row r="990" spans="1:38" ht="12.75" customHeight="1">
      <c r="A990" s="71"/>
      <c r="AL990" s="7"/>
    </row>
    <row r="991" spans="1:38" ht="12.75" customHeight="1">
      <c r="A991" s="71"/>
      <c r="AL991" s="7"/>
    </row>
    <row r="992" spans="1:38" ht="12.75" customHeight="1">
      <c r="A992" s="71"/>
      <c r="AL992" s="7"/>
    </row>
    <row r="993" spans="1:38" ht="12.75" customHeight="1">
      <c r="A993" s="71"/>
      <c r="AL993" s="7"/>
    </row>
    <row r="994" spans="1:38" ht="12.75" customHeight="1">
      <c r="A994" s="71"/>
      <c r="AL994" s="7"/>
    </row>
    <row r="995" spans="1:38" ht="12.75" customHeight="1">
      <c r="A995" s="71"/>
      <c r="AL995" s="7"/>
    </row>
    <row r="996" spans="1:38" ht="12.75" customHeight="1">
      <c r="A996" s="71"/>
      <c r="AL996" s="7"/>
    </row>
    <row r="997" spans="1:38" ht="12.75" customHeight="1">
      <c r="A997" s="71"/>
      <c r="AL997" s="7"/>
    </row>
    <row r="998" spans="1:38" ht="12.75" customHeight="1">
      <c r="A998" s="71"/>
      <c r="AL998" s="7"/>
    </row>
    <row r="999" spans="1:38" ht="12.75" customHeight="1">
      <c r="A999" s="71"/>
      <c r="AL999" s="7"/>
    </row>
    <row r="1000" spans="1:38" ht="12.75" customHeight="1">
      <c r="A1000" s="71"/>
      <c r="AL1000" s="7"/>
    </row>
  </sheetData>
  <mergeCells count="7">
    <mergeCell ref="P1:Q1"/>
    <mergeCell ref="V2:X2"/>
    <mergeCell ref="A1:E1"/>
    <mergeCell ref="F1:G1"/>
    <mergeCell ref="H1:I1"/>
    <mergeCell ref="J1:M1"/>
    <mergeCell ref="N1:O1"/>
  </mergeCells>
  <pageMargins left="0.19685039370078741" right="0.19685039370078741" top="0.19685039370078741" bottom="0.19685039370078741" header="0" footer="0"/>
  <pageSetup paperSize="9" orientation="landscape"/>
  <ignoredErrors>
    <ignoredError sqref="U35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58DB3EC-9C54-4B7A-ABD9-33DAF3BBB3AB}">
            <xm:f>IFERROR(IF(VLOOKUP($A4,Feiertage!$B:$D,3,0)="ja",1),0)=1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D9447D00-30C0-422D-8089-6D41D805D554}">
            <xm:f>IFERROR(IF(VLOOKUP($A4,Feiertage!$B:$D,3,0)="nein",1),0)=1</xm:f>
            <x14:dxf>
              <fill>
                <patternFill>
                  <bgColor rgb="FFFFFF00"/>
                </patternFill>
              </fill>
            </x14:dxf>
          </x14:cfRule>
          <xm:sqref>C4:Q34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1"/>
  <sheetViews>
    <sheetView topLeftCell="A11" zoomScale="85" zoomScaleNormal="85" workbookViewId="0"/>
  </sheetViews>
  <sheetFormatPr defaultColWidth="14.42578125" defaultRowHeight="15" customHeight="1"/>
  <cols>
    <col min="1" max="1" width="43" customWidth="1"/>
    <col min="2" max="2" width="17.85546875" customWidth="1"/>
    <col min="3" max="3" width="18.7109375" customWidth="1"/>
    <col min="4" max="4" width="15.42578125" customWidth="1"/>
    <col min="5" max="6" width="10.5703125" customWidth="1"/>
    <col min="7" max="7" width="14.140625" customWidth="1"/>
    <col min="8" max="26" width="10.5703125" customWidth="1"/>
  </cols>
  <sheetData>
    <row r="1" spans="1:26" ht="18" customHeight="1">
      <c r="A1" s="132" t="s">
        <v>54</v>
      </c>
      <c r="B1" s="132" t="s">
        <v>55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8" customHeight="1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8" customHeight="1">
      <c r="A3" s="132" t="s">
        <v>1</v>
      </c>
      <c r="B3" s="132" t="s">
        <v>56</v>
      </c>
      <c r="C3" s="132"/>
      <c r="D3" s="132"/>
      <c r="E3" s="132"/>
      <c r="F3" s="132"/>
      <c r="G3" s="133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8" customHeight="1">
      <c r="A4" s="132"/>
      <c r="B4" s="132"/>
      <c r="C4" s="132"/>
      <c r="D4" s="132"/>
      <c r="E4" s="132"/>
      <c r="F4" s="132"/>
      <c r="G4" s="134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8" customHeight="1">
      <c r="A5" s="132" t="s">
        <v>57</v>
      </c>
      <c r="B5" s="135">
        <v>1</v>
      </c>
      <c r="C5" s="132"/>
      <c r="D5" s="132"/>
      <c r="E5" s="132"/>
      <c r="F5" s="132"/>
      <c r="G5" s="134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8" customHeight="1">
      <c r="A6" s="132" t="s">
        <v>58</v>
      </c>
      <c r="B6" s="132">
        <v>42</v>
      </c>
      <c r="C6" s="132"/>
      <c r="D6" s="132"/>
      <c r="E6" s="132"/>
      <c r="F6" s="132"/>
      <c r="G6" s="134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8" customHeight="1">
      <c r="A7" s="132"/>
      <c r="B7" s="135"/>
      <c r="C7" s="132"/>
      <c r="D7" s="132"/>
      <c r="E7" s="132"/>
      <c r="F7" s="132"/>
      <c r="G7" s="134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8" customHeight="1">
      <c r="A8" s="132"/>
      <c r="B8" s="136" t="s">
        <v>59</v>
      </c>
      <c r="C8" s="136" t="s">
        <v>60</v>
      </c>
      <c r="D8" s="132"/>
      <c r="E8" s="132"/>
      <c r="F8" s="132"/>
      <c r="G8" s="134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8" customHeight="1">
      <c r="A9" s="132" t="s">
        <v>61</v>
      </c>
      <c r="B9" s="137">
        <f>B6/5*B5</f>
        <v>8.4</v>
      </c>
      <c r="C9" s="137">
        <f t="shared" ref="C9:C12" si="0">B9*60</f>
        <v>504</v>
      </c>
      <c r="D9" s="132"/>
      <c r="E9" s="132"/>
      <c r="F9" s="132"/>
      <c r="G9" s="134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8" customHeight="1">
      <c r="A10" s="132" t="s">
        <v>62</v>
      </c>
      <c r="B10" s="137">
        <v>0</v>
      </c>
      <c r="C10" s="137">
        <f t="shared" si="0"/>
        <v>0</v>
      </c>
      <c r="D10" s="132"/>
      <c r="E10" s="132"/>
      <c r="F10" s="132"/>
      <c r="G10" s="134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8" customHeight="1">
      <c r="A11" s="132" t="s">
        <v>63</v>
      </c>
      <c r="B11" s="137">
        <f>B25/C25-B9</f>
        <v>0</v>
      </c>
      <c r="C11" s="137">
        <f t="shared" si="0"/>
        <v>0</v>
      </c>
      <c r="D11" s="132"/>
      <c r="E11" s="132"/>
      <c r="F11" s="132"/>
      <c r="G11" s="134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8" customHeight="1">
      <c r="A12" s="132" t="s">
        <v>64</v>
      </c>
      <c r="B12" s="137">
        <f>B9+B11</f>
        <v>8.4</v>
      </c>
      <c r="C12" s="137">
        <f t="shared" si="0"/>
        <v>504</v>
      </c>
      <c r="D12" s="138"/>
      <c r="E12" s="132"/>
      <c r="F12" s="132"/>
      <c r="G12" s="134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8" customHeight="1">
      <c r="A13" s="132"/>
      <c r="B13" s="132"/>
      <c r="C13" s="132"/>
      <c r="D13" s="139"/>
      <c r="E13" s="132"/>
      <c r="F13" s="132"/>
      <c r="G13" s="134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8" customHeight="1">
      <c r="A14" s="132" t="s">
        <v>65</v>
      </c>
      <c r="B14" s="132">
        <v>0</v>
      </c>
      <c r="C14" s="132"/>
      <c r="D14" s="139"/>
      <c r="E14" s="132"/>
      <c r="F14" s="132"/>
      <c r="G14" s="134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8" customHeight="1">
      <c r="A15" s="132" t="s">
        <v>66</v>
      </c>
      <c r="B15" s="132">
        <v>0</v>
      </c>
      <c r="C15" s="132"/>
      <c r="D15" s="139"/>
      <c r="E15" s="132"/>
      <c r="F15" s="132"/>
      <c r="G15" s="134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8" customHeight="1">
      <c r="A16" s="132" t="s">
        <v>67</v>
      </c>
      <c r="B16" s="132">
        <f>6.5/12*20-0.00333333</f>
        <v>10.830000003333332</v>
      </c>
      <c r="C16" s="132"/>
      <c r="D16" s="132"/>
      <c r="E16" s="132"/>
      <c r="F16" s="132"/>
      <c r="G16" s="134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8" customHeight="1">
      <c r="A17" s="132" t="s">
        <v>68</v>
      </c>
      <c r="B17" s="132">
        <v>12</v>
      </c>
      <c r="C17" s="132"/>
      <c r="D17" s="132"/>
      <c r="E17" s="132"/>
      <c r="F17" s="132"/>
      <c r="G17" s="134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8" customHeight="1">
      <c r="A18" s="132" t="s">
        <v>69</v>
      </c>
      <c r="B18" s="132">
        <f>ROUND(B15+B17/12*B16,1)</f>
        <v>10.8</v>
      </c>
      <c r="C18" s="132"/>
      <c r="D18" s="132"/>
      <c r="E18" s="132"/>
      <c r="F18" s="132"/>
      <c r="G18" s="134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8" customHeight="1">
      <c r="A19" s="132" t="s">
        <v>70</v>
      </c>
      <c r="B19" s="132">
        <f>Dez!H2+(Dez!Q35/B9)</f>
        <v>2</v>
      </c>
      <c r="C19" s="132"/>
      <c r="D19" s="132"/>
      <c r="E19" s="132"/>
      <c r="F19" s="132"/>
      <c r="G19" s="134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8" customHeight="1">
      <c r="A20" s="132" t="s">
        <v>71</v>
      </c>
      <c r="B20" s="132">
        <f>B18-B19</f>
        <v>8.8000000000000007</v>
      </c>
      <c r="C20" s="132"/>
      <c r="D20" s="132"/>
      <c r="E20" s="132"/>
      <c r="F20" s="132"/>
      <c r="G20" s="134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8" customHeight="1">
      <c r="A21" s="132"/>
      <c r="B21" s="132"/>
      <c r="C21" s="132"/>
      <c r="D21" s="132"/>
      <c r="E21" s="132"/>
      <c r="F21" s="132"/>
      <c r="G21" s="134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8" customHeight="1">
      <c r="A22" s="132"/>
      <c r="B22" s="136" t="s">
        <v>72</v>
      </c>
      <c r="C22" s="136" t="s">
        <v>73</v>
      </c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8" customHeight="1">
      <c r="A23" s="132" t="s">
        <v>74</v>
      </c>
      <c r="B23" s="132">
        <f>(Jan!R35+Feb!R32+Mar!R35+Apr!R34+Mai!R35+Jun!R34+Jul!R35+Aug!R35+Sep!R34+Okt!R35+Nov!R34+Dez!R35)*(B17/12)</f>
        <v>1184.4000000000005</v>
      </c>
      <c r="C23" s="140">
        <f>B23/B9</f>
        <v>141.00000000000006</v>
      </c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8" customHeight="1">
      <c r="A24" s="132" t="s">
        <v>75</v>
      </c>
      <c r="B24" s="132">
        <f>(Jan!R35+Feb!R32+Mar!R35+Apr!R34+Mai!R35+Jun!R34+Jul!R35+Aug!R35+Sep!R34+Okt!R35+Nov!R34+Dez!R35-B18*B9)*(B17/12)</f>
        <v>1093.6800000000005</v>
      </c>
      <c r="C24" s="140">
        <f>B24/B9</f>
        <v>130.20000000000005</v>
      </c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8" customHeight="1">
      <c r="A25" s="132" t="s">
        <v>76</v>
      </c>
      <c r="B25" s="132">
        <f>(Jan!R35+Feb!R32+Mar!R35+Apr!R34+Mai!R35+Jun!R34+Jul!R35+Aug!R35+Sep!R34+Okt!R35+Nov!R34+Dez!R35-B18*B9)*(B17/12)</f>
        <v>1093.6800000000005</v>
      </c>
      <c r="C25" s="140">
        <f>C24-B10</f>
        <v>130.20000000000005</v>
      </c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8" customHeight="1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8" customHeight="1">
      <c r="A27" s="132" t="s">
        <v>77</v>
      </c>
      <c r="B27" s="139">
        <v>46023</v>
      </c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8" customHeight="1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8" customHeight="1">
      <c r="A29" s="136" t="s">
        <v>78</v>
      </c>
      <c r="B29" s="141" t="s">
        <v>79</v>
      </c>
      <c r="C29" s="132" t="s">
        <v>80</v>
      </c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8" customHeight="1">
      <c r="A30" s="142">
        <f>Jan!P1</f>
        <v>46023</v>
      </c>
      <c r="B30" s="143">
        <f>Jan!R35</f>
        <v>0</v>
      </c>
      <c r="C30" s="137">
        <f>Jan!S35</f>
        <v>0</v>
      </c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8" customHeight="1">
      <c r="A31" s="142">
        <f>Feb!P1</f>
        <v>46054</v>
      </c>
      <c r="B31" s="143">
        <f>Feb!R32</f>
        <v>0</v>
      </c>
      <c r="C31" s="137">
        <f>Feb!S32</f>
        <v>0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8" customHeight="1">
      <c r="A32" s="142">
        <f>Mar!P1</f>
        <v>46082</v>
      </c>
      <c r="B32" s="143">
        <f>Mar!R35</f>
        <v>0</v>
      </c>
      <c r="C32" s="137">
        <f>Mar!S35</f>
        <v>0</v>
      </c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8" customHeight="1">
      <c r="A33" s="142">
        <f>Apr!P1</f>
        <v>46113</v>
      </c>
      <c r="B33" s="143">
        <f>Apr!R34</f>
        <v>0</v>
      </c>
      <c r="C33" s="137">
        <f>Apr!S34</f>
        <v>0</v>
      </c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8" customHeight="1">
      <c r="A34" s="142">
        <f>Mai!P1</f>
        <v>46143</v>
      </c>
      <c r="B34" s="143">
        <f>Mai!R35</f>
        <v>0</v>
      </c>
      <c r="C34" s="137">
        <f>Mai!S35</f>
        <v>0</v>
      </c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8" customHeight="1">
      <c r="A35" s="142">
        <f>Jun!P1</f>
        <v>46174</v>
      </c>
      <c r="B35" s="143">
        <f>Jun!R34</f>
        <v>100.80000000000003</v>
      </c>
      <c r="C35" s="137">
        <f>Jun!S34</f>
        <v>103.29</v>
      </c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8" customHeight="1">
      <c r="A36" s="142">
        <f>Jul!P1</f>
        <v>46204</v>
      </c>
      <c r="B36" s="143">
        <f>Jul!R35</f>
        <v>193.20000000000007</v>
      </c>
      <c r="C36" s="137">
        <f>Jul!S35</f>
        <v>186.35000000000002</v>
      </c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8" customHeight="1">
      <c r="A37" s="142">
        <f>Aug!P1</f>
        <v>46235</v>
      </c>
      <c r="B37" s="143">
        <f>Aug!R35</f>
        <v>176.40000000000006</v>
      </c>
      <c r="C37" s="137">
        <f>Aug!S35</f>
        <v>139.4</v>
      </c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8" customHeight="1">
      <c r="A38" s="142">
        <f>Sep!P1</f>
        <v>46266</v>
      </c>
      <c r="B38" s="143">
        <f>Sep!R34</f>
        <v>176.40000000000006</v>
      </c>
      <c r="C38" s="137">
        <f>Sep!S34</f>
        <v>22</v>
      </c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8" customHeight="1">
      <c r="A39" s="142">
        <f>Okt!P1</f>
        <v>46296</v>
      </c>
      <c r="B39" s="143">
        <f>Okt!R35</f>
        <v>184.80000000000007</v>
      </c>
      <c r="C39" s="137">
        <f>Okt!S35</f>
        <v>0</v>
      </c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8" customHeight="1">
      <c r="A40" s="142">
        <f>Nov!P1</f>
        <v>46327</v>
      </c>
      <c r="B40" s="143">
        <f>Nov!R34</f>
        <v>176.40000000000006</v>
      </c>
      <c r="C40" s="137">
        <f>Nov!S34</f>
        <v>0</v>
      </c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8" customHeight="1">
      <c r="A41" s="142">
        <f>Dez!P1</f>
        <v>46357</v>
      </c>
      <c r="B41" s="143">
        <f>Dez!R35</f>
        <v>176.40000000000006</v>
      </c>
      <c r="C41" s="137">
        <f>Dez!S35</f>
        <v>0</v>
      </c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8" customHeight="1">
      <c r="A42" s="132"/>
      <c r="B42" s="143">
        <f t="shared" ref="B42:C42" si="1">SUM(B30:B41)</f>
        <v>1184.4000000000005</v>
      </c>
      <c r="C42" s="137">
        <f t="shared" si="1"/>
        <v>451.04000000000008</v>
      </c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8" customHeight="1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8" customHeight="1">
      <c r="A44" s="132" t="s">
        <v>81</v>
      </c>
      <c r="B44" s="132">
        <v>0.7</v>
      </c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8" customHeight="1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8" customHeight="1">
      <c r="A46" s="132" t="s">
        <v>9</v>
      </c>
      <c r="B46" s="132" t="s">
        <v>82</v>
      </c>
      <c r="C46" s="132" t="s">
        <v>23</v>
      </c>
      <c r="D46" s="132" t="s">
        <v>83</v>
      </c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8" customHeight="1">
      <c r="A47" s="136" t="s">
        <v>78</v>
      </c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8" customHeight="1">
      <c r="A48" s="142">
        <f>Jan!P1</f>
        <v>46023</v>
      </c>
      <c r="B48" s="144">
        <f>Jan!V35</f>
        <v>0</v>
      </c>
      <c r="C48" s="144">
        <f>Jan!W35</f>
        <v>0</v>
      </c>
      <c r="D48" s="144">
        <f t="shared" ref="D48:D60" si="2">B48+C48</f>
        <v>0</v>
      </c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8" customHeight="1">
      <c r="A49" s="142">
        <f>Feb!P1</f>
        <v>46054</v>
      </c>
      <c r="B49" s="144">
        <f>Feb!V32</f>
        <v>0</v>
      </c>
      <c r="C49" s="144">
        <f>Feb!W32</f>
        <v>0</v>
      </c>
      <c r="D49" s="144">
        <f t="shared" si="2"/>
        <v>0</v>
      </c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8" customHeight="1">
      <c r="A50" s="142">
        <f>Mar!P1</f>
        <v>46082</v>
      </c>
      <c r="B50" s="144">
        <f>Mar!V35</f>
        <v>0</v>
      </c>
      <c r="C50" s="144">
        <f>Mar!W35</f>
        <v>0</v>
      </c>
      <c r="D50" s="144">
        <f t="shared" si="2"/>
        <v>0</v>
      </c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8" customHeight="1">
      <c r="A51" s="142">
        <f>Apr!P1</f>
        <v>46113</v>
      </c>
      <c r="B51" s="144">
        <f>Apr!V34</f>
        <v>0</v>
      </c>
      <c r="C51" s="144">
        <f>Apr!W34</f>
        <v>0</v>
      </c>
      <c r="D51" s="144">
        <f t="shared" si="2"/>
        <v>0</v>
      </c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8" customHeight="1">
      <c r="A52" s="142">
        <f>Mai!P1</f>
        <v>46143</v>
      </c>
      <c r="B52" s="144">
        <f>Mai!V35</f>
        <v>0</v>
      </c>
      <c r="C52" s="144">
        <f>Mai!W35</f>
        <v>0</v>
      </c>
      <c r="D52" s="144">
        <f t="shared" si="2"/>
        <v>0</v>
      </c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8" customHeight="1">
      <c r="A53" s="142">
        <f>Jun!P1</f>
        <v>46174</v>
      </c>
      <c r="B53" s="144">
        <f>Jun!V34</f>
        <v>0</v>
      </c>
      <c r="C53" s="144">
        <f>Jun!W34</f>
        <v>0</v>
      </c>
      <c r="D53" s="144">
        <f t="shared" si="2"/>
        <v>0</v>
      </c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8" customHeight="1">
      <c r="A54" s="142">
        <f>Jul!P1</f>
        <v>46204</v>
      </c>
      <c r="B54" s="144">
        <f>Jul!V35</f>
        <v>0</v>
      </c>
      <c r="C54" s="144">
        <f>Jul!W35</f>
        <v>0</v>
      </c>
      <c r="D54" s="144">
        <f t="shared" si="2"/>
        <v>0</v>
      </c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8" customHeight="1">
      <c r="A55" s="142">
        <f>Aug!P1</f>
        <v>46235</v>
      </c>
      <c r="B55" s="144">
        <f>Aug!V35</f>
        <v>0</v>
      </c>
      <c r="C55" s="144">
        <f>Aug!W35</f>
        <v>0</v>
      </c>
      <c r="D55" s="144">
        <f t="shared" si="2"/>
        <v>0</v>
      </c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8" customHeight="1">
      <c r="A56" s="142">
        <f>Sep!P1</f>
        <v>46266</v>
      </c>
      <c r="B56" s="144">
        <f>Sep!V34</f>
        <v>0</v>
      </c>
      <c r="C56" s="144">
        <f>Sep!W34</f>
        <v>0</v>
      </c>
      <c r="D56" s="144">
        <f t="shared" si="2"/>
        <v>0</v>
      </c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8" customHeight="1">
      <c r="A57" s="142">
        <f>Okt!P1</f>
        <v>46296</v>
      </c>
      <c r="B57" s="144">
        <f>Okt!V35</f>
        <v>0</v>
      </c>
      <c r="C57" s="144">
        <f>Okt!W35</f>
        <v>0</v>
      </c>
      <c r="D57" s="144">
        <f t="shared" si="2"/>
        <v>0</v>
      </c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8" customHeight="1">
      <c r="A58" s="142">
        <f>Nov!P1</f>
        <v>46327</v>
      </c>
      <c r="B58" s="144">
        <f>Nov!V34</f>
        <v>0</v>
      </c>
      <c r="C58" s="144">
        <f>Nov!W34</f>
        <v>0</v>
      </c>
      <c r="D58" s="144">
        <f t="shared" si="2"/>
        <v>0</v>
      </c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8" customHeight="1">
      <c r="A59" s="142">
        <f>Dez!P1</f>
        <v>46357</v>
      </c>
      <c r="B59" s="144">
        <f>Dez!V35</f>
        <v>0</v>
      </c>
      <c r="C59" s="144">
        <f>Dez!W35</f>
        <v>0</v>
      </c>
      <c r="D59" s="144">
        <f t="shared" si="2"/>
        <v>0</v>
      </c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8" customHeight="1">
      <c r="A60" s="142" t="s">
        <v>83</v>
      </c>
      <c r="B60" s="144">
        <f t="shared" ref="B60:C60" si="3">SUM(B48:B59)</f>
        <v>0</v>
      </c>
      <c r="C60" s="144">
        <f t="shared" si="3"/>
        <v>0</v>
      </c>
      <c r="D60" s="144">
        <f t="shared" si="2"/>
        <v>0</v>
      </c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8" customHeight="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8" customHeight="1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8" customHeight="1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8" customHeight="1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8" customHeight="1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8" customHeight="1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8" customHeight="1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8" customHeight="1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8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8" customHeight="1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8" customHeight="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8" customHeight="1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8" customHeight="1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8" customHeight="1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8" customHeight="1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8" customHeight="1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8" customHeight="1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8" customHeight="1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8" customHeight="1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8" customHeight="1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8" customHeight="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8" customHeight="1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8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8" customHeight="1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8" customHeight="1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8" customHeight="1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8" customHeight="1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8" customHeight="1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8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8" customHeight="1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8" customHeight="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8" customHeight="1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8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8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8" customHeight="1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8" customHeight="1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8" customHeight="1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8" customHeight="1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8" customHeight="1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8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8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8" customHeight="1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8" customHeight="1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8" customHeight="1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8" customHeight="1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8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8" customHeight="1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8" customHeight="1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8" customHeight="1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8" customHeight="1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8" customHeight="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8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8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8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8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8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8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8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8" customHeight="1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8" customHeight="1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8" customHeight="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8" customHeight="1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8" customHeight="1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8" customHeight="1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8" customHeight="1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8" customHeight="1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8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8" customHeight="1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8" customHeight="1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8" customHeight="1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8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8" customHeight="1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8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8" customHeight="1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8" customHeight="1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8" customHeight="1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8" customHeight="1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8" customHeight="1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8" customHeight="1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8" customHeight="1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8" customHeight="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8" customHeight="1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8" customHeight="1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8" customHeight="1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8" customHeight="1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8" customHeight="1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8" customHeight="1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8" customHeight="1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8" customHeight="1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8" customHeight="1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8" customHeight="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8" customHeight="1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8" customHeight="1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8" customHeight="1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8" customHeight="1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8" customHeight="1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8" customHeight="1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8" customHeight="1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8" customHeight="1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8" customHeight="1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8" customHeight="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8" customHeight="1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8" customHeight="1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8" customHeight="1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8" customHeight="1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8" customHeight="1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8" customHeight="1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8" customHeight="1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8" customHeight="1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8" customHeight="1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8" customHeight="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8" customHeight="1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8" customHeight="1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8" customHeight="1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8" customHeight="1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8" customHeight="1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8" customHeight="1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8" customHeight="1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8" customHeight="1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8" customHeight="1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8" customHeight="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8" customHeight="1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8" customHeight="1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8" customHeight="1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8" customHeight="1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8" customHeight="1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8" customHeight="1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8" customHeight="1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8" customHeight="1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8" customHeight="1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8" customHeight="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8" customHeight="1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8" customHeight="1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8" customHeight="1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8" customHeight="1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8" customHeight="1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8" customHeight="1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8" customHeight="1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8" customHeight="1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8" customHeight="1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8" customHeight="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8" customHeight="1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8" customHeight="1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8" customHeight="1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8" customHeight="1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8" customHeight="1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8" customHeight="1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8" customHeight="1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8" customHeight="1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8" customHeight="1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8" customHeight="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8" customHeight="1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8" customHeight="1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8" customHeight="1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8" customHeight="1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8" customHeight="1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8" customHeight="1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8" customHeight="1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8" customHeight="1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8" customHeight="1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8" customHeight="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8" customHeight="1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8" customHeight="1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8" customHeight="1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8" customHeight="1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8" customHeight="1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8" customHeight="1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8" customHeight="1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8" customHeight="1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8" customHeight="1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8" customHeight="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8" customHeight="1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8" customHeight="1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8" customHeight="1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8" customHeight="1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8" customHeight="1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8" customHeight="1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8" customHeight="1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8" customHeight="1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8" customHeight="1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8" customHeight="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8" customHeight="1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8" customHeight="1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8" customHeight="1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8" customHeight="1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8" customHeight="1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8" customHeight="1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8" customHeight="1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8" customHeight="1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8" customHeight="1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8" customHeight="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8" customHeight="1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8" customHeight="1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8" customHeight="1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8" customHeight="1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8" customHeight="1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8" customHeight="1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8" customHeight="1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8" customHeight="1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8" customHeight="1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8" customHeight="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8" customHeight="1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8" customHeight="1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8" customHeight="1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8" customHeight="1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8" customHeight="1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8" customHeight="1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8" customHeight="1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8" customHeight="1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8" customHeight="1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8" customHeight="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8" customHeight="1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8" customHeight="1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8" customHeight="1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8" customHeight="1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8" customHeight="1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8" customHeight="1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8" customHeight="1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8" customHeight="1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8" customHeight="1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8" customHeight="1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8" customHeight="1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8" customHeight="1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8" customHeight="1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8" customHeight="1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8" customHeight="1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8" customHeight="1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8" customHeight="1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8" customHeight="1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8" customHeight="1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8" customHeight="1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8" customHeight="1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8" customHeight="1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8" customHeight="1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8" customHeight="1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8" customHeight="1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8" customHeight="1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8" customHeight="1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8" customHeight="1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8" customHeight="1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8" customHeight="1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8" customHeight="1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8" customHeight="1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8" customHeight="1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8" customHeight="1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8" customHeight="1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8" customHeight="1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8" customHeight="1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8" customHeight="1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8" customHeight="1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8" customHeight="1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8" customHeight="1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8" customHeight="1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8" customHeight="1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8" customHeight="1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8" customHeight="1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8" customHeight="1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8" customHeight="1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8" customHeight="1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8" customHeight="1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8" customHeight="1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8" customHeight="1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8" customHeight="1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8" customHeight="1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8" customHeight="1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8" customHeight="1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8" customHeight="1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8" customHeight="1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8" customHeight="1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8" customHeight="1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8" customHeight="1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8" customHeight="1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8" customHeight="1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8" customHeight="1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8" customHeight="1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8" customHeight="1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8" customHeight="1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8" customHeight="1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8" customHeight="1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8" customHeight="1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8" customHeight="1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8" customHeight="1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8" customHeight="1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8" customHeight="1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8" customHeight="1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8" customHeight="1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8" customHeight="1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8" customHeight="1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8" customHeight="1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8" customHeight="1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8" customHeight="1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8" customHeight="1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8" customHeight="1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8" customHeight="1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8" customHeight="1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8" customHeight="1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8" customHeight="1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8" customHeight="1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8" customHeight="1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8" customHeight="1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8" customHeight="1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8" customHeight="1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8" customHeight="1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8" customHeight="1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8" customHeight="1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8" customHeight="1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8" customHeight="1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8" customHeight="1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8" customHeight="1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8" customHeight="1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8" customHeight="1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8" customHeight="1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8" customHeight="1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8" customHeight="1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8" customHeight="1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8" customHeight="1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8" customHeight="1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8" customHeight="1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8" customHeight="1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8" customHeight="1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8" customHeight="1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8" customHeight="1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8" customHeight="1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8" customHeight="1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8" customHeight="1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8" customHeight="1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8" customHeight="1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8" customHeight="1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8" customHeight="1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8" customHeight="1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8" customHeight="1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8" customHeight="1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8" customHeight="1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8" customHeight="1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8" customHeight="1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8" customHeight="1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8" customHeight="1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8" customHeight="1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8" customHeight="1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8" customHeight="1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8" customHeight="1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8" customHeight="1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8" customHeight="1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8" customHeight="1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8" customHeight="1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8" customHeight="1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8" customHeight="1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8" customHeight="1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8" customHeight="1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8" customHeight="1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8" customHeight="1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8" customHeight="1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8" customHeight="1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8" customHeight="1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8" customHeight="1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8" customHeight="1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8" customHeight="1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8" customHeight="1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8" customHeight="1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8" customHeight="1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8" customHeight="1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8" customHeight="1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8" customHeight="1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8" customHeight="1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8" customHeight="1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8" customHeight="1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8" customHeight="1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8" customHeight="1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8" customHeight="1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8" customHeight="1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8" customHeight="1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8" customHeight="1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8" customHeight="1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8" customHeight="1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8" customHeight="1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8" customHeight="1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8" customHeight="1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8" customHeight="1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8" customHeight="1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8" customHeight="1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8" customHeight="1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8" customHeight="1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8" customHeight="1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8" customHeight="1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8" customHeight="1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8" customHeight="1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8" customHeight="1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8" customHeight="1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8" customHeight="1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8" customHeight="1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8" customHeight="1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8" customHeight="1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8" customHeight="1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8" customHeight="1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8" customHeight="1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8" customHeight="1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8" customHeight="1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8" customHeight="1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8" customHeight="1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8" customHeight="1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8" customHeight="1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8" customHeight="1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8" customHeight="1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8" customHeight="1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8" customHeight="1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8" customHeight="1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8" customHeight="1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8" customHeight="1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8" customHeight="1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8" customHeight="1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8" customHeight="1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8" customHeight="1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8" customHeight="1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8" customHeight="1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8" customHeight="1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8" customHeight="1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8" customHeight="1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8" customHeight="1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8" customHeight="1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8" customHeight="1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8" customHeight="1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8" customHeight="1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8" customHeight="1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8" customHeight="1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8" customHeight="1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8" customHeight="1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8" customHeight="1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8" customHeight="1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8" customHeight="1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8" customHeight="1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8" customHeight="1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8" customHeight="1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8" customHeight="1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8" customHeight="1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8" customHeight="1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8" customHeight="1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8" customHeight="1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8" customHeight="1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8" customHeight="1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8" customHeight="1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8" customHeight="1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8" customHeight="1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8" customHeight="1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8" customHeight="1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8" customHeight="1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8" customHeight="1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8" customHeight="1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8" customHeight="1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8" customHeight="1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8" customHeight="1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8" customHeight="1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8" customHeight="1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8" customHeight="1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8" customHeight="1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8" customHeight="1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8" customHeight="1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8" customHeight="1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8" customHeight="1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8" customHeight="1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8" customHeight="1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8" customHeight="1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8" customHeight="1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8" customHeight="1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8" customHeight="1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8" customHeight="1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8" customHeight="1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8" customHeight="1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8" customHeight="1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8" customHeight="1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8" customHeight="1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8" customHeight="1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8" customHeight="1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8" customHeight="1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8" customHeight="1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8" customHeight="1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8" customHeight="1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8" customHeight="1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8" customHeight="1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8" customHeight="1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8" customHeight="1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8" customHeight="1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8" customHeight="1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8" customHeight="1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8" customHeight="1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8" customHeight="1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8" customHeight="1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8" customHeight="1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8" customHeight="1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8" customHeight="1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8" customHeight="1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8" customHeight="1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8" customHeight="1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8" customHeight="1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8" customHeight="1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8" customHeight="1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8" customHeight="1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8" customHeight="1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8" customHeight="1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8" customHeight="1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8" customHeight="1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8" customHeight="1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8" customHeight="1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8" customHeight="1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8" customHeight="1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8" customHeight="1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8" customHeight="1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8" customHeight="1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8" customHeight="1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8" customHeight="1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8" customHeight="1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8" customHeight="1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8" customHeight="1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8" customHeight="1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8" customHeight="1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8" customHeight="1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8" customHeight="1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8" customHeight="1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8" customHeight="1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8" customHeight="1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8" customHeight="1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8" customHeight="1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8" customHeight="1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8" customHeight="1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8" customHeight="1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8" customHeight="1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8" customHeight="1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8" customHeight="1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8" customHeight="1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8" customHeight="1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8" customHeight="1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8" customHeight="1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8" customHeight="1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8" customHeight="1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8" customHeight="1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8" customHeight="1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8" customHeight="1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8" customHeight="1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8" customHeight="1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8" customHeight="1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8" customHeight="1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8" customHeight="1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8" customHeight="1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8" customHeight="1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8" customHeight="1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8" customHeight="1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8" customHeight="1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8" customHeight="1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8" customHeight="1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8" customHeight="1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8" customHeight="1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8" customHeight="1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8" customHeight="1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8" customHeight="1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8" customHeight="1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8" customHeight="1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8" customHeight="1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8" customHeight="1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8" customHeight="1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8" customHeight="1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8" customHeight="1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8" customHeight="1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8" customHeight="1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8" customHeight="1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8" customHeight="1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8" customHeight="1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8" customHeight="1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8" customHeight="1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8" customHeight="1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8" customHeight="1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8" customHeight="1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8" customHeight="1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8" customHeight="1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8" customHeight="1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8" customHeight="1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8" customHeight="1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8" customHeight="1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8" customHeight="1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8" customHeight="1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8" customHeight="1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8" customHeight="1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8" customHeight="1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8" customHeight="1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8" customHeight="1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8" customHeight="1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8" customHeight="1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8" customHeight="1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8" customHeight="1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8" customHeight="1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8" customHeight="1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8" customHeight="1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8" customHeight="1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8" customHeight="1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8" customHeight="1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8" customHeight="1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8" customHeight="1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8" customHeight="1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8" customHeight="1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8" customHeight="1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8" customHeight="1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8" customHeight="1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8" customHeight="1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8" customHeight="1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8" customHeight="1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8" customHeight="1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8" customHeight="1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8" customHeight="1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8" customHeight="1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8" customHeight="1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8" customHeight="1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8" customHeight="1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8" customHeight="1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8" customHeight="1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8" customHeight="1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8" customHeight="1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8" customHeight="1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8" customHeight="1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8" customHeight="1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8" customHeight="1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8" customHeight="1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8" customHeight="1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8" customHeight="1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8" customHeight="1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8" customHeight="1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8" customHeight="1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8" customHeight="1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8" customHeight="1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8" customHeight="1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8" customHeight="1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8" customHeight="1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8" customHeight="1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8" customHeight="1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8" customHeight="1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8" customHeight="1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8" customHeight="1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8" customHeight="1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8" customHeight="1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8" customHeight="1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8" customHeight="1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8" customHeight="1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8" customHeight="1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8" customHeight="1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8" customHeight="1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8" customHeight="1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8" customHeight="1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8" customHeight="1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8" customHeight="1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8" customHeight="1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8" customHeight="1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8" customHeight="1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8" customHeight="1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8" customHeight="1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8" customHeight="1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8" customHeight="1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8" customHeight="1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8" customHeight="1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8" customHeight="1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8" customHeight="1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8" customHeight="1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8" customHeight="1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8" customHeight="1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8" customHeight="1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8" customHeight="1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8" customHeight="1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8" customHeight="1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8" customHeight="1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8" customHeight="1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8" customHeight="1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8" customHeight="1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8" customHeight="1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8" customHeight="1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8" customHeight="1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8" customHeight="1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8" customHeight="1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8" customHeight="1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8" customHeight="1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8" customHeight="1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8" customHeight="1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8" customHeight="1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8" customHeight="1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8" customHeight="1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8" customHeight="1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8" customHeight="1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8" customHeight="1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8" customHeight="1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8" customHeight="1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8" customHeight="1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8" customHeight="1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8" customHeight="1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8" customHeight="1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8" customHeight="1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8" customHeight="1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8" customHeight="1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8" customHeight="1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8" customHeight="1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8" customHeight="1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8" customHeight="1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8" customHeight="1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8" customHeight="1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8" customHeight="1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8" customHeight="1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8" customHeight="1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8" customHeight="1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8" customHeight="1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8" customHeight="1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8" customHeight="1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8" customHeight="1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8" customHeight="1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8" customHeight="1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8" customHeight="1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8" customHeight="1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8" customHeight="1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8" customHeight="1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8" customHeight="1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8" customHeight="1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8" customHeight="1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8" customHeight="1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8" customHeight="1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8" customHeight="1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8" customHeight="1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8" customHeight="1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8" customHeight="1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8" customHeight="1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8" customHeight="1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8" customHeight="1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8" customHeight="1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8" customHeight="1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8" customHeight="1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8" customHeight="1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8" customHeight="1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8" customHeight="1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8" customHeight="1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8" customHeight="1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8" customHeight="1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8" customHeight="1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8" customHeight="1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8" customHeight="1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8" customHeight="1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8" customHeight="1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8" customHeight="1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8" customHeight="1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8" customHeight="1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8" customHeight="1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8" customHeight="1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8" customHeight="1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8" customHeight="1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8" customHeight="1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8" customHeight="1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8" customHeight="1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8" customHeight="1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8" customHeight="1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8" customHeight="1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8" customHeight="1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8" customHeight="1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8" customHeight="1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8" customHeight="1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8" customHeight="1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8" customHeight="1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8" customHeight="1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8" customHeight="1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8" customHeight="1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8" customHeight="1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8" customHeight="1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8" customHeight="1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8" customHeight="1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8" customHeight="1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8" customHeight="1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8" customHeight="1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8" customHeight="1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8" customHeight="1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8" customHeight="1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8" customHeight="1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8" customHeight="1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8" customHeight="1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8" customHeight="1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8" customHeight="1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8" customHeight="1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8" customHeight="1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8" customHeight="1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8" customHeight="1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8" customHeight="1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8" customHeight="1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8" customHeight="1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8" customHeight="1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8" customHeight="1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8" customHeight="1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8" customHeight="1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8" customHeight="1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8" customHeight="1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8" customHeight="1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8" customHeight="1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8" customHeight="1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8" customHeight="1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8" customHeight="1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8" customHeight="1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8" customHeight="1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8" customHeight="1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8" customHeight="1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8" customHeight="1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8" customHeight="1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8" customHeight="1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8" customHeight="1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8" customHeight="1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8" customHeight="1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8" customHeight="1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8" customHeight="1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8" customHeight="1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8" customHeight="1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8" customHeight="1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8" customHeight="1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8" customHeight="1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8" customHeight="1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8" customHeight="1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8" customHeight="1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8" customHeight="1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8" customHeight="1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8" customHeight="1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8" customHeight="1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8" customHeight="1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8" customHeight="1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8" customHeight="1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8" customHeight="1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8" customHeight="1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8" customHeight="1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8" customHeight="1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8" customHeight="1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8" customHeight="1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8" customHeight="1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8" customHeight="1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8" customHeight="1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8" customHeight="1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8" customHeight="1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8" customHeight="1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8" customHeight="1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8" customHeight="1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8" customHeight="1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8" customHeight="1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8" customHeight="1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8" customHeight="1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8" customHeight="1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8" customHeight="1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8" customHeight="1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8" customHeight="1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8" customHeight="1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8" customHeight="1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8" customHeight="1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8" customHeight="1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8" customHeight="1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8" customHeight="1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8" customHeight="1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8" customHeight="1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8" customHeight="1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8" customHeight="1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8" customHeight="1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8" customHeight="1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8" customHeight="1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8" customHeight="1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8" customHeight="1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8" customHeight="1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8" customHeight="1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8" customHeight="1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8" customHeight="1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8" customHeight="1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8" customHeight="1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8" customHeight="1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8" customHeight="1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8" customHeight="1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8" customHeight="1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8" customHeight="1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8" customHeight="1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8" customHeight="1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8" customHeight="1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8" customHeight="1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8" customHeight="1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8" customHeight="1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8" customHeight="1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8" customHeight="1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8" customHeight="1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8" customHeight="1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8" customHeight="1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8" customHeight="1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8" customHeight="1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8" customHeight="1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8" customHeight="1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8" customHeight="1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8" customHeight="1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8" customHeight="1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8" customHeight="1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8" customHeight="1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8" customHeight="1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8" customHeight="1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8" customHeight="1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8" customHeight="1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8" customHeight="1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8" customHeight="1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8" customHeight="1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8" customHeight="1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8" customHeight="1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8" customHeight="1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8" customHeight="1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8" customHeight="1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8" customHeight="1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8" customHeight="1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8" customHeight="1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8" customHeight="1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8" customHeight="1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8" customHeight="1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8" customHeight="1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8" customHeight="1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8" customHeight="1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8" customHeight="1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8" customHeight="1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8" customHeight="1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8" customHeight="1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8" customHeight="1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8" customHeight="1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8" customHeight="1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8" customHeight="1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8" customHeight="1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8" customHeight="1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8" customHeight="1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8" customHeight="1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8" customHeight="1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8" customHeight="1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8" customHeight="1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8" customHeight="1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8" customHeight="1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8" customHeight="1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8" customHeight="1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8" customHeight="1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8" customHeight="1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8" customHeight="1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8" customHeight="1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8" customHeight="1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8" customHeight="1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8" customHeight="1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8" customHeight="1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8" customHeight="1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8" customHeight="1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8" customHeight="1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8" customHeight="1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  <row r="1001" spans="1:26" ht="18" customHeight="1">
      <c r="A1001" s="132"/>
      <c r="B1001" s="132"/>
      <c r="C1001" s="132"/>
      <c r="D1001" s="132"/>
      <c r="E1001" s="132"/>
      <c r="F1001" s="132"/>
      <c r="G1001" s="132"/>
      <c r="H1001" s="132"/>
      <c r="I1001" s="132"/>
      <c r="J1001" s="132"/>
      <c r="K1001" s="132"/>
      <c r="L1001" s="132"/>
      <c r="M1001" s="132"/>
      <c r="N1001" s="132"/>
      <c r="O1001" s="132"/>
      <c r="P1001" s="132"/>
      <c r="Q1001" s="132"/>
      <c r="R1001" s="132"/>
      <c r="S1001" s="132"/>
      <c r="T1001" s="132"/>
      <c r="U1001" s="132"/>
      <c r="V1001" s="132"/>
      <c r="W1001" s="132"/>
      <c r="X1001" s="132"/>
      <c r="Y1001" s="132"/>
      <c r="Z1001" s="132"/>
    </row>
  </sheetData>
  <pageMargins left="0.31496062992125984" right="0.31496062992125984" top="0.19685039370078741" bottom="0.19685039370078741" header="0" footer="0"/>
  <pageSetup paperSize="9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00"/>
  <sheetViews>
    <sheetView workbookViewId="0">
      <selection activeCell="B17" sqref="B17"/>
    </sheetView>
  </sheetViews>
  <sheetFormatPr defaultColWidth="14.42578125" defaultRowHeight="15" customHeight="1"/>
  <cols>
    <col min="1" max="1" width="10.7109375" customWidth="1"/>
    <col min="2" max="2" width="12.85546875" customWidth="1"/>
    <col min="3" max="3" width="88.5703125" customWidth="1"/>
    <col min="4" max="4" width="17.28515625" customWidth="1"/>
    <col min="5" max="5" width="20.28515625" customWidth="1"/>
    <col min="6" max="26" width="10.7109375" customWidth="1"/>
  </cols>
  <sheetData>
    <row r="1" spans="1:4" ht="12.75" customHeight="1">
      <c r="B1" s="74"/>
    </row>
    <row r="2" spans="1:4" ht="12.75" customHeight="1">
      <c r="B2" s="74"/>
    </row>
    <row r="3" spans="1:4" ht="12.75" customHeight="1">
      <c r="B3" s="74" t="s">
        <v>84</v>
      </c>
      <c r="C3" s="88" t="s">
        <v>85</v>
      </c>
      <c r="D3" s="88" t="s">
        <v>86</v>
      </c>
    </row>
    <row r="4" spans="1:4" ht="12.75" customHeight="1">
      <c r="A4" s="74"/>
      <c r="B4" s="74">
        <v>46023</v>
      </c>
      <c r="C4" s="88" t="s">
        <v>87</v>
      </c>
      <c r="D4" s="88" t="s">
        <v>88</v>
      </c>
    </row>
    <row r="5" spans="1:4" ht="12.75" customHeight="1">
      <c r="A5" s="74"/>
      <c r="B5" s="74">
        <v>46100</v>
      </c>
      <c r="C5" s="88" t="s">
        <v>89</v>
      </c>
      <c r="D5" s="88" t="s">
        <v>88</v>
      </c>
    </row>
    <row r="6" spans="1:4" ht="12.75" customHeight="1">
      <c r="A6" s="74"/>
      <c r="B6" s="74">
        <v>46115</v>
      </c>
      <c r="C6" s="88" t="s">
        <v>90</v>
      </c>
      <c r="D6" s="88" t="s">
        <v>88</v>
      </c>
    </row>
    <row r="7" spans="1:4" ht="12.75" customHeight="1">
      <c r="A7" s="74"/>
      <c r="B7" s="74">
        <v>46118</v>
      </c>
      <c r="C7" s="88" t="s">
        <v>91</v>
      </c>
      <c r="D7" s="88" t="s">
        <v>92</v>
      </c>
    </row>
    <row r="8" spans="1:4" ht="12.75" customHeight="1">
      <c r="A8" s="74"/>
      <c r="B8" s="74">
        <v>46156</v>
      </c>
      <c r="C8" s="88" t="s">
        <v>93</v>
      </c>
      <c r="D8" s="88" t="s">
        <v>88</v>
      </c>
    </row>
    <row r="9" spans="1:4" ht="12.75" customHeight="1">
      <c r="A9" s="74"/>
      <c r="B9" s="74">
        <v>46167</v>
      </c>
      <c r="C9" s="88" t="s">
        <v>94</v>
      </c>
      <c r="D9" s="88" t="s">
        <v>92</v>
      </c>
    </row>
    <row r="10" spans="1:4" ht="12.75" customHeight="1">
      <c r="A10" s="74"/>
      <c r="B10" s="74">
        <v>46177</v>
      </c>
      <c r="C10" s="88" t="s">
        <v>95</v>
      </c>
      <c r="D10" s="88" t="s">
        <v>88</v>
      </c>
    </row>
    <row r="11" spans="1:4" ht="12.75" customHeight="1">
      <c r="A11" s="74"/>
      <c r="B11" s="74">
        <v>46235</v>
      </c>
      <c r="C11" s="88" t="s">
        <v>96</v>
      </c>
      <c r="D11" s="88" t="s">
        <v>88</v>
      </c>
    </row>
    <row r="12" spans="1:4" ht="12.75" customHeight="1">
      <c r="A12" s="74"/>
      <c r="B12" s="74">
        <v>46249</v>
      </c>
      <c r="C12" s="88" t="s">
        <v>97</v>
      </c>
      <c r="D12" s="88" t="s">
        <v>88</v>
      </c>
    </row>
    <row r="13" spans="1:4" ht="12.75" customHeight="1">
      <c r="A13" s="74"/>
      <c r="B13" s="74">
        <v>46267</v>
      </c>
      <c r="C13" s="88" t="s">
        <v>98</v>
      </c>
      <c r="D13" s="88" t="s">
        <v>88</v>
      </c>
    </row>
    <row r="14" spans="1:4" ht="12.75" customHeight="1">
      <c r="A14" s="74"/>
      <c r="B14" s="74">
        <v>46327</v>
      </c>
      <c r="C14" s="88" t="s">
        <v>99</v>
      </c>
      <c r="D14" s="88" t="s">
        <v>88</v>
      </c>
    </row>
    <row r="15" spans="1:4" ht="12.75" customHeight="1">
      <c r="A15" s="74"/>
      <c r="B15" s="74">
        <v>46364</v>
      </c>
      <c r="C15" s="88" t="s">
        <v>100</v>
      </c>
      <c r="D15" s="88" t="s">
        <v>88</v>
      </c>
    </row>
    <row r="16" spans="1:4" ht="12.75" customHeight="1">
      <c r="A16" s="74"/>
      <c r="B16" s="74">
        <v>46381</v>
      </c>
      <c r="C16" s="88" t="s">
        <v>101</v>
      </c>
      <c r="D16" s="88" t="s">
        <v>88</v>
      </c>
    </row>
    <row r="17" spans="1:8" ht="12.75" customHeight="1">
      <c r="A17" s="74"/>
      <c r="B17" s="74">
        <v>46382</v>
      </c>
      <c r="C17" s="88" t="s">
        <v>102</v>
      </c>
      <c r="D17" s="88" t="s">
        <v>88</v>
      </c>
    </row>
    <row r="18" spans="1:8" ht="12.75" customHeight="1">
      <c r="A18" s="74"/>
      <c r="B18" s="74"/>
    </row>
    <row r="19" spans="1:8" ht="12.75" customHeight="1">
      <c r="B19" s="74"/>
    </row>
    <row r="20" spans="1:8" ht="12.75" customHeight="1">
      <c r="B20" s="74"/>
    </row>
    <row r="21" spans="1:8" ht="12.75" customHeight="1">
      <c r="B21" s="74"/>
      <c r="H21" s="88" t="str">
        <f>IFERROR(VLOOKUP(A21, Feiertage!$B:$C, 2, 0),"")</f>
        <v/>
      </c>
    </row>
    <row r="22" spans="1:8" ht="12.75" customHeight="1">
      <c r="B22" s="74"/>
      <c r="C22" s="88" t="s">
        <v>103</v>
      </c>
    </row>
    <row r="23" spans="1:8" ht="12.75" customHeight="1">
      <c r="B23" s="74"/>
      <c r="C23" s="88" t="s">
        <v>104</v>
      </c>
    </row>
    <row r="24" spans="1:8" ht="12.75" customHeight="1">
      <c r="B24" s="74"/>
    </row>
    <row r="25" spans="1:8" ht="12.75" customHeight="1">
      <c r="B25" s="74"/>
    </row>
    <row r="26" spans="1:8" ht="12.75" customHeight="1">
      <c r="B26" s="74"/>
    </row>
    <row r="27" spans="1:8" ht="12.75" customHeight="1">
      <c r="B27" s="74"/>
    </row>
    <row r="28" spans="1:8" ht="12.75" customHeight="1">
      <c r="B28" s="74"/>
    </row>
    <row r="29" spans="1:8" ht="12.75" customHeight="1">
      <c r="B29" s="74"/>
    </row>
    <row r="30" spans="1:8" ht="12.75" customHeight="1">
      <c r="B30" s="74"/>
    </row>
    <row r="31" spans="1:8" ht="12.75" customHeight="1">
      <c r="B31" s="74"/>
    </row>
    <row r="32" spans="1:8" ht="12.75" customHeight="1">
      <c r="B32" s="74"/>
    </row>
    <row r="33" spans="2:2" ht="12.75" customHeight="1">
      <c r="B33" s="74"/>
    </row>
    <row r="34" spans="2:2" ht="12.75" customHeight="1">
      <c r="B34" s="74"/>
    </row>
    <row r="35" spans="2:2" ht="12.75" customHeight="1">
      <c r="B35" s="74"/>
    </row>
    <row r="36" spans="2:2" ht="12.75" customHeight="1">
      <c r="B36" s="74"/>
    </row>
    <row r="37" spans="2:2" ht="12.75" customHeight="1">
      <c r="B37" s="74"/>
    </row>
    <row r="38" spans="2:2" ht="12.75" customHeight="1">
      <c r="B38" s="74"/>
    </row>
    <row r="39" spans="2:2" ht="12.75" customHeight="1">
      <c r="B39" s="74"/>
    </row>
    <row r="40" spans="2:2" ht="12.75" customHeight="1">
      <c r="B40" s="74"/>
    </row>
    <row r="41" spans="2:2" ht="12.75" customHeight="1">
      <c r="B41" s="74"/>
    </row>
    <row r="42" spans="2:2" ht="12.75" customHeight="1">
      <c r="B42" s="74"/>
    </row>
    <row r="43" spans="2:2" ht="12.75" customHeight="1">
      <c r="B43" s="74"/>
    </row>
    <row r="44" spans="2:2" ht="12.75" customHeight="1">
      <c r="B44" s="74"/>
    </row>
    <row r="45" spans="2:2" ht="12.75" customHeight="1">
      <c r="B45" s="74"/>
    </row>
    <row r="46" spans="2:2" ht="12.75" customHeight="1">
      <c r="B46" s="74"/>
    </row>
    <row r="47" spans="2:2" ht="12.75" customHeight="1">
      <c r="B47" s="74"/>
    </row>
    <row r="48" spans="2:2" ht="12.75" customHeight="1">
      <c r="B48" s="74"/>
    </row>
    <row r="49" spans="2:2" ht="12.75" customHeight="1">
      <c r="B49" s="74"/>
    </row>
    <row r="50" spans="2:2" ht="12.75" customHeight="1">
      <c r="B50" s="74"/>
    </row>
    <row r="51" spans="2:2" ht="12.75" customHeight="1">
      <c r="B51" s="74"/>
    </row>
    <row r="52" spans="2:2" ht="12.75" customHeight="1">
      <c r="B52" s="74"/>
    </row>
    <row r="53" spans="2:2" ht="12.75" customHeight="1">
      <c r="B53" s="74"/>
    </row>
    <row r="54" spans="2:2" ht="12.75" customHeight="1">
      <c r="B54" s="74"/>
    </row>
    <row r="55" spans="2:2" ht="12.75" customHeight="1">
      <c r="B55" s="74"/>
    </row>
    <row r="56" spans="2:2" ht="12.75" customHeight="1">
      <c r="B56" s="74"/>
    </row>
    <row r="57" spans="2:2" ht="12.75" customHeight="1">
      <c r="B57" s="74"/>
    </row>
    <row r="58" spans="2:2" ht="12.75" customHeight="1">
      <c r="B58" s="74"/>
    </row>
    <row r="59" spans="2:2" ht="12.75" customHeight="1">
      <c r="B59" s="74"/>
    </row>
    <row r="60" spans="2:2" ht="12.75" customHeight="1">
      <c r="B60" s="74"/>
    </row>
    <row r="61" spans="2:2" ht="12.75" customHeight="1">
      <c r="B61" s="74"/>
    </row>
    <row r="62" spans="2:2" ht="12.75" customHeight="1">
      <c r="B62" s="74"/>
    </row>
    <row r="63" spans="2:2" ht="12.75" customHeight="1">
      <c r="B63" s="74"/>
    </row>
    <row r="64" spans="2:2" ht="12.75" customHeight="1">
      <c r="B64" s="74"/>
    </row>
    <row r="65" spans="2:2" ht="12.75" customHeight="1">
      <c r="B65" s="74"/>
    </row>
    <row r="66" spans="2:2" ht="12.75" customHeight="1">
      <c r="B66" s="74"/>
    </row>
    <row r="67" spans="2:2" ht="12.75" customHeight="1">
      <c r="B67" s="74"/>
    </row>
    <row r="68" spans="2:2" ht="12.75" customHeight="1">
      <c r="B68" s="74"/>
    </row>
    <row r="69" spans="2:2" ht="12.75" customHeight="1">
      <c r="B69" s="74"/>
    </row>
    <row r="70" spans="2:2" ht="12.75" customHeight="1">
      <c r="B70" s="74"/>
    </row>
    <row r="71" spans="2:2" ht="12.75" customHeight="1">
      <c r="B71" s="74"/>
    </row>
    <row r="72" spans="2:2" ht="12.75" customHeight="1">
      <c r="B72" s="74"/>
    </row>
    <row r="73" spans="2:2" ht="12.75" customHeight="1">
      <c r="B73" s="74"/>
    </row>
    <row r="74" spans="2:2" ht="12.75" customHeight="1">
      <c r="B74" s="74"/>
    </row>
    <row r="75" spans="2:2" ht="12.75" customHeight="1">
      <c r="B75" s="74"/>
    </row>
    <row r="76" spans="2:2" ht="12.75" customHeight="1">
      <c r="B76" s="74"/>
    </row>
    <row r="77" spans="2:2" ht="12.75" customHeight="1">
      <c r="B77" s="74"/>
    </row>
    <row r="78" spans="2:2" ht="12.75" customHeight="1">
      <c r="B78" s="74"/>
    </row>
    <row r="79" spans="2:2" ht="12.75" customHeight="1">
      <c r="B79" s="74"/>
    </row>
    <row r="80" spans="2:2" ht="12.75" customHeight="1">
      <c r="B80" s="74"/>
    </row>
    <row r="81" spans="2:2" ht="12.75" customHeight="1">
      <c r="B81" s="74"/>
    </row>
    <row r="82" spans="2:2" ht="12.75" customHeight="1">
      <c r="B82" s="74"/>
    </row>
    <row r="83" spans="2:2" ht="12.75" customHeight="1">
      <c r="B83" s="74"/>
    </row>
    <row r="84" spans="2:2" ht="12.75" customHeight="1">
      <c r="B84" s="74"/>
    </row>
    <row r="85" spans="2:2" ht="12.75" customHeight="1">
      <c r="B85" s="74"/>
    </row>
    <row r="86" spans="2:2" ht="12.75" customHeight="1">
      <c r="B86" s="74"/>
    </row>
    <row r="87" spans="2:2" ht="12.75" customHeight="1">
      <c r="B87" s="74"/>
    </row>
    <row r="88" spans="2:2" ht="12.75" customHeight="1">
      <c r="B88" s="74"/>
    </row>
    <row r="89" spans="2:2" ht="12.75" customHeight="1">
      <c r="B89" s="74"/>
    </row>
    <row r="90" spans="2:2" ht="12.75" customHeight="1">
      <c r="B90" s="74"/>
    </row>
    <row r="91" spans="2:2" ht="12.75" customHeight="1">
      <c r="B91" s="74"/>
    </row>
    <row r="92" spans="2:2" ht="12.75" customHeight="1">
      <c r="B92" s="74"/>
    </row>
    <row r="93" spans="2:2" ht="12.75" customHeight="1">
      <c r="B93" s="74"/>
    </row>
    <row r="94" spans="2:2" ht="12.75" customHeight="1">
      <c r="B94" s="74"/>
    </row>
    <row r="95" spans="2:2" ht="12.75" customHeight="1">
      <c r="B95" s="74"/>
    </row>
    <row r="96" spans="2:2" ht="12.75" customHeight="1">
      <c r="B96" s="74"/>
    </row>
    <row r="97" spans="2:2" ht="12.75" customHeight="1">
      <c r="B97" s="74"/>
    </row>
    <row r="98" spans="2:2" ht="12.75" customHeight="1">
      <c r="B98" s="74"/>
    </row>
    <row r="99" spans="2:2" ht="12.75" customHeight="1">
      <c r="B99" s="74"/>
    </row>
    <row r="100" spans="2:2" ht="12.75" customHeight="1">
      <c r="B100" s="74"/>
    </row>
    <row r="101" spans="2:2" ht="12.75" customHeight="1">
      <c r="B101" s="74"/>
    </row>
    <row r="102" spans="2:2" ht="12.75" customHeight="1">
      <c r="B102" s="74"/>
    </row>
    <row r="103" spans="2:2" ht="12.75" customHeight="1">
      <c r="B103" s="74"/>
    </row>
    <row r="104" spans="2:2" ht="12.75" customHeight="1">
      <c r="B104" s="74"/>
    </row>
    <row r="105" spans="2:2" ht="12.75" customHeight="1">
      <c r="B105" s="74"/>
    </row>
    <row r="106" spans="2:2" ht="12.75" customHeight="1">
      <c r="B106" s="74"/>
    </row>
    <row r="107" spans="2:2" ht="12.75" customHeight="1">
      <c r="B107" s="74"/>
    </row>
    <row r="108" spans="2:2" ht="12.75" customHeight="1">
      <c r="B108" s="74"/>
    </row>
    <row r="109" spans="2:2" ht="12.75" customHeight="1">
      <c r="B109" s="74"/>
    </row>
    <row r="110" spans="2:2" ht="12.75" customHeight="1">
      <c r="B110" s="74"/>
    </row>
    <row r="111" spans="2:2" ht="12.75" customHeight="1">
      <c r="B111" s="74"/>
    </row>
    <row r="112" spans="2:2" ht="12.75" customHeight="1">
      <c r="B112" s="74"/>
    </row>
    <row r="113" spans="2:2" ht="12.75" customHeight="1">
      <c r="B113" s="74"/>
    </row>
    <row r="114" spans="2:2" ht="12.75" customHeight="1">
      <c r="B114" s="74"/>
    </row>
    <row r="115" spans="2:2" ht="12.75" customHeight="1">
      <c r="B115" s="74"/>
    </row>
    <row r="116" spans="2:2" ht="12.75" customHeight="1">
      <c r="B116" s="74"/>
    </row>
    <row r="117" spans="2:2" ht="12.75" customHeight="1">
      <c r="B117" s="74"/>
    </row>
    <row r="118" spans="2:2" ht="12.75" customHeight="1">
      <c r="B118" s="74"/>
    </row>
    <row r="119" spans="2:2" ht="12.75" customHeight="1">
      <c r="B119" s="74"/>
    </row>
    <row r="120" spans="2:2" ht="12.75" customHeight="1">
      <c r="B120" s="74"/>
    </row>
    <row r="121" spans="2:2" ht="12.75" customHeight="1">
      <c r="B121" s="74"/>
    </row>
    <row r="122" spans="2:2" ht="12.75" customHeight="1">
      <c r="B122" s="74"/>
    </row>
    <row r="123" spans="2:2" ht="12.75" customHeight="1">
      <c r="B123" s="74"/>
    </row>
    <row r="124" spans="2:2" ht="12.75" customHeight="1">
      <c r="B124" s="74"/>
    </row>
    <row r="125" spans="2:2" ht="12.75" customHeight="1">
      <c r="B125" s="74"/>
    </row>
    <row r="126" spans="2:2" ht="12.75" customHeight="1">
      <c r="B126" s="74"/>
    </row>
    <row r="127" spans="2:2" ht="12.75" customHeight="1">
      <c r="B127" s="74"/>
    </row>
    <row r="128" spans="2:2" ht="12.75" customHeight="1">
      <c r="B128" s="74"/>
    </row>
    <row r="129" spans="2:2" ht="12.75" customHeight="1">
      <c r="B129" s="74"/>
    </row>
    <row r="130" spans="2:2" ht="12.75" customHeight="1">
      <c r="B130" s="74"/>
    </row>
    <row r="131" spans="2:2" ht="12.75" customHeight="1">
      <c r="B131" s="74"/>
    </row>
    <row r="132" spans="2:2" ht="12.75" customHeight="1">
      <c r="B132" s="74"/>
    </row>
    <row r="133" spans="2:2" ht="12.75" customHeight="1">
      <c r="B133" s="74"/>
    </row>
    <row r="134" spans="2:2" ht="12.75" customHeight="1">
      <c r="B134" s="74"/>
    </row>
    <row r="135" spans="2:2" ht="12.75" customHeight="1">
      <c r="B135" s="74"/>
    </row>
    <row r="136" spans="2:2" ht="12.75" customHeight="1">
      <c r="B136" s="74"/>
    </row>
    <row r="137" spans="2:2" ht="12.75" customHeight="1">
      <c r="B137" s="74"/>
    </row>
    <row r="138" spans="2:2" ht="12.75" customHeight="1">
      <c r="B138" s="74"/>
    </row>
    <row r="139" spans="2:2" ht="12.75" customHeight="1">
      <c r="B139" s="74"/>
    </row>
    <row r="140" spans="2:2" ht="12.75" customHeight="1">
      <c r="B140" s="74"/>
    </row>
    <row r="141" spans="2:2" ht="12.75" customHeight="1">
      <c r="B141" s="74"/>
    </row>
    <row r="142" spans="2:2" ht="12.75" customHeight="1">
      <c r="B142" s="74"/>
    </row>
    <row r="143" spans="2:2" ht="12.75" customHeight="1">
      <c r="B143" s="74"/>
    </row>
    <row r="144" spans="2:2" ht="12.75" customHeight="1">
      <c r="B144" s="74"/>
    </row>
    <row r="145" spans="2:2" ht="12.75" customHeight="1">
      <c r="B145" s="74"/>
    </row>
    <row r="146" spans="2:2" ht="12.75" customHeight="1">
      <c r="B146" s="74"/>
    </row>
    <row r="147" spans="2:2" ht="12.75" customHeight="1">
      <c r="B147" s="74"/>
    </row>
    <row r="148" spans="2:2" ht="12.75" customHeight="1">
      <c r="B148" s="74"/>
    </row>
    <row r="149" spans="2:2" ht="12.75" customHeight="1">
      <c r="B149" s="74"/>
    </row>
    <row r="150" spans="2:2" ht="12.75" customHeight="1">
      <c r="B150" s="74"/>
    </row>
    <row r="151" spans="2:2" ht="12.75" customHeight="1">
      <c r="B151" s="74"/>
    </row>
    <row r="152" spans="2:2" ht="12.75" customHeight="1">
      <c r="B152" s="74"/>
    </row>
    <row r="153" spans="2:2" ht="12.75" customHeight="1">
      <c r="B153" s="74"/>
    </row>
    <row r="154" spans="2:2" ht="12.75" customHeight="1">
      <c r="B154" s="74"/>
    </row>
    <row r="155" spans="2:2" ht="12.75" customHeight="1">
      <c r="B155" s="74"/>
    </row>
    <row r="156" spans="2:2" ht="12.75" customHeight="1">
      <c r="B156" s="74"/>
    </row>
    <row r="157" spans="2:2" ht="12.75" customHeight="1">
      <c r="B157" s="74"/>
    </row>
    <row r="158" spans="2:2" ht="12.75" customHeight="1">
      <c r="B158" s="74"/>
    </row>
    <row r="159" spans="2:2" ht="12.75" customHeight="1">
      <c r="B159" s="74"/>
    </row>
    <row r="160" spans="2:2" ht="12.75" customHeight="1">
      <c r="B160" s="74"/>
    </row>
    <row r="161" spans="2:2" ht="12.75" customHeight="1">
      <c r="B161" s="74"/>
    </row>
    <row r="162" spans="2:2" ht="12.75" customHeight="1">
      <c r="B162" s="74"/>
    </row>
    <row r="163" spans="2:2" ht="12.75" customHeight="1">
      <c r="B163" s="74"/>
    </row>
    <row r="164" spans="2:2" ht="12.75" customHeight="1">
      <c r="B164" s="74"/>
    </row>
    <row r="165" spans="2:2" ht="12.75" customHeight="1">
      <c r="B165" s="74"/>
    </row>
    <row r="166" spans="2:2" ht="12.75" customHeight="1">
      <c r="B166" s="74"/>
    </row>
    <row r="167" spans="2:2" ht="12.75" customHeight="1">
      <c r="B167" s="74"/>
    </row>
    <row r="168" spans="2:2" ht="12.75" customHeight="1">
      <c r="B168" s="74"/>
    </row>
    <row r="169" spans="2:2" ht="12.75" customHeight="1">
      <c r="B169" s="74"/>
    </row>
    <row r="170" spans="2:2" ht="12.75" customHeight="1">
      <c r="B170" s="74"/>
    </row>
    <row r="171" spans="2:2" ht="12.75" customHeight="1">
      <c r="B171" s="74"/>
    </row>
    <row r="172" spans="2:2" ht="12.75" customHeight="1">
      <c r="B172" s="74"/>
    </row>
    <row r="173" spans="2:2" ht="12.75" customHeight="1">
      <c r="B173" s="74"/>
    </row>
    <row r="174" spans="2:2" ht="12.75" customHeight="1">
      <c r="B174" s="74"/>
    </row>
    <row r="175" spans="2:2" ht="12.75" customHeight="1">
      <c r="B175" s="74"/>
    </row>
    <row r="176" spans="2:2" ht="12.75" customHeight="1">
      <c r="B176" s="74"/>
    </row>
    <row r="177" spans="2:2" ht="12.75" customHeight="1">
      <c r="B177" s="74"/>
    </row>
    <row r="178" spans="2:2" ht="12.75" customHeight="1">
      <c r="B178" s="74"/>
    </row>
    <row r="179" spans="2:2" ht="12.75" customHeight="1">
      <c r="B179" s="74"/>
    </row>
    <row r="180" spans="2:2" ht="12.75" customHeight="1">
      <c r="B180" s="74"/>
    </row>
    <row r="181" spans="2:2" ht="12.75" customHeight="1">
      <c r="B181" s="74"/>
    </row>
    <row r="182" spans="2:2" ht="12.75" customHeight="1">
      <c r="B182" s="74"/>
    </row>
    <row r="183" spans="2:2" ht="12.75" customHeight="1">
      <c r="B183" s="74"/>
    </row>
    <row r="184" spans="2:2" ht="12.75" customHeight="1">
      <c r="B184" s="74"/>
    </row>
    <row r="185" spans="2:2" ht="12.75" customHeight="1">
      <c r="B185" s="74"/>
    </row>
    <row r="186" spans="2:2" ht="12.75" customHeight="1">
      <c r="B186" s="74"/>
    </row>
    <row r="187" spans="2:2" ht="12.75" customHeight="1">
      <c r="B187" s="74"/>
    </row>
    <row r="188" spans="2:2" ht="12.75" customHeight="1">
      <c r="B188" s="74"/>
    </row>
    <row r="189" spans="2:2" ht="12.75" customHeight="1">
      <c r="B189" s="74"/>
    </row>
    <row r="190" spans="2:2" ht="12.75" customHeight="1">
      <c r="B190" s="74"/>
    </row>
    <row r="191" spans="2:2" ht="12.75" customHeight="1">
      <c r="B191" s="74"/>
    </row>
    <row r="192" spans="2:2" ht="12.75" customHeight="1">
      <c r="B192" s="74"/>
    </row>
    <row r="193" spans="2:2" ht="12.75" customHeight="1">
      <c r="B193" s="74"/>
    </row>
    <row r="194" spans="2:2" ht="12.75" customHeight="1">
      <c r="B194" s="74"/>
    </row>
    <row r="195" spans="2:2" ht="12.75" customHeight="1">
      <c r="B195" s="74"/>
    </row>
    <row r="196" spans="2:2" ht="12.75" customHeight="1">
      <c r="B196" s="74"/>
    </row>
    <row r="197" spans="2:2" ht="12.75" customHeight="1">
      <c r="B197" s="74"/>
    </row>
    <row r="198" spans="2:2" ht="12.75" customHeight="1">
      <c r="B198" s="74"/>
    </row>
    <row r="199" spans="2:2" ht="12.75" customHeight="1">
      <c r="B199" s="74"/>
    </row>
    <row r="200" spans="2:2" ht="12.75" customHeight="1">
      <c r="B200" s="74"/>
    </row>
    <row r="201" spans="2:2" ht="12.75" customHeight="1">
      <c r="B201" s="74"/>
    </row>
    <row r="202" spans="2:2" ht="12.75" customHeight="1">
      <c r="B202" s="74"/>
    </row>
    <row r="203" spans="2:2" ht="12.75" customHeight="1">
      <c r="B203" s="74"/>
    </row>
    <row r="204" spans="2:2" ht="12.75" customHeight="1">
      <c r="B204" s="74"/>
    </row>
    <row r="205" spans="2:2" ht="12.75" customHeight="1">
      <c r="B205" s="74"/>
    </row>
    <row r="206" spans="2:2" ht="12.75" customHeight="1">
      <c r="B206" s="74"/>
    </row>
    <row r="207" spans="2:2" ht="12.75" customHeight="1">
      <c r="B207" s="74"/>
    </row>
    <row r="208" spans="2:2" ht="12.75" customHeight="1">
      <c r="B208" s="74"/>
    </row>
    <row r="209" spans="2:2" ht="12.75" customHeight="1">
      <c r="B209" s="74"/>
    </row>
    <row r="210" spans="2:2" ht="12.75" customHeight="1">
      <c r="B210" s="74"/>
    </row>
    <row r="211" spans="2:2" ht="12.75" customHeight="1">
      <c r="B211" s="74"/>
    </row>
    <row r="212" spans="2:2" ht="12.75" customHeight="1">
      <c r="B212" s="74"/>
    </row>
    <row r="213" spans="2:2" ht="12.75" customHeight="1">
      <c r="B213" s="74"/>
    </row>
    <row r="214" spans="2:2" ht="12.75" customHeight="1">
      <c r="B214" s="74"/>
    </row>
    <row r="215" spans="2:2" ht="12.75" customHeight="1">
      <c r="B215" s="74"/>
    </row>
    <row r="216" spans="2:2" ht="12.75" customHeight="1">
      <c r="B216" s="74"/>
    </row>
    <row r="217" spans="2:2" ht="12.75" customHeight="1">
      <c r="B217" s="74"/>
    </row>
    <row r="218" spans="2:2" ht="12.75" customHeight="1">
      <c r="B218" s="74"/>
    </row>
    <row r="219" spans="2:2" ht="12.75" customHeight="1">
      <c r="B219" s="74"/>
    </row>
    <row r="220" spans="2:2" ht="12.75" customHeight="1">
      <c r="B220" s="74"/>
    </row>
    <row r="221" spans="2:2" ht="12.75" customHeight="1">
      <c r="B221" s="74"/>
    </row>
    <row r="222" spans="2:2" ht="12.75" customHeight="1">
      <c r="B222" s="74"/>
    </row>
    <row r="223" spans="2:2" ht="12.75" customHeight="1">
      <c r="B223" s="74"/>
    </row>
    <row r="224" spans="2:2" ht="12.75" customHeight="1">
      <c r="B224" s="74"/>
    </row>
    <row r="225" spans="2:2" ht="12.75" customHeight="1">
      <c r="B225" s="74"/>
    </row>
    <row r="226" spans="2:2" ht="12.75" customHeight="1">
      <c r="B226" s="74"/>
    </row>
    <row r="227" spans="2:2" ht="12.75" customHeight="1">
      <c r="B227" s="74"/>
    </row>
    <row r="228" spans="2:2" ht="12.75" customHeight="1">
      <c r="B228" s="74"/>
    </row>
    <row r="229" spans="2:2" ht="12.75" customHeight="1">
      <c r="B229" s="74"/>
    </row>
    <row r="230" spans="2:2" ht="12.75" customHeight="1">
      <c r="B230" s="74"/>
    </row>
    <row r="231" spans="2:2" ht="12.75" customHeight="1">
      <c r="B231" s="74"/>
    </row>
    <row r="232" spans="2:2" ht="12.75" customHeight="1">
      <c r="B232" s="74"/>
    </row>
    <row r="233" spans="2:2" ht="12.75" customHeight="1">
      <c r="B233" s="74"/>
    </row>
    <row r="234" spans="2:2" ht="12.75" customHeight="1">
      <c r="B234" s="74"/>
    </row>
    <row r="235" spans="2:2" ht="12.75" customHeight="1">
      <c r="B235" s="74"/>
    </row>
    <row r="236" spans="2:2" ht="12.75" customHeight="1">
      <c r="B236" s="74"/>
    </row>
    <row r="237" spans="2:2" ht="12.75" customHeight="1">
      <c r="B237" s="74"/>
    </row>
    <row r="238" spans="2:2" ht="12.75" customHeight="1">
      <c r="B238" s="74"/>
    </row>
    <row r="239" spans="2:2" ht="12.75" customHeight="1">
      <c r="B239" s="74"/>
    </row>
    <row r="240" spans="2:2" ht="12.75" customHeight="1">
      <c r="B240" s="74"/>
    </row>
    <row r="241" spans="2:2" ht="12.75" customHeight="1">
      <c r="B241" s="74"/>
    </row>
    <row r="242" spans="2:2" ht="12.75" customHeight="1">
      <c r="B242" s="74"/>
    </row>
    <row r="243" spans="2:2" ht="12.75" customHeight="1">
      <c r="B243" s="74"/>
    </row>
    <row r="244" spans="2:2" ht="12.75" customHeight="1">
      <c r="B244" s="74"/>
    </row>
    <row r="245" spans="2:2" ht="12.75" customHeight="1">
      <c r="B245" s="74"/>
    </row>
    <row r="246" spans="2:2" ht="12.75" customHeight="1">
      <c r="B246" s="74"/>
    </row>
    <row r="247" spans="2:2" ht="12.75" customHeight="1">
      <c r="B247" s="74"/>
    </row>
    <row r="248" spans="2:2" ht="12.75" customHeight="1">
      <c r="B248" s="74"/>
    </row>
    <row r="249" spans="2:2" ht="12.75" customHeight="1">
      <c r="B249" s="74"/>
    </row>
    <row r="250" spans="2:2" ht="12.75" customHeight="1">
      <c r="B250" s="74"/>
    </row>
    <row r="251" spans="2:2" ht="12.75" customHeight="1">
      <c r="B251" s="74"/>
    </row>
    <row r="252" spans="2:2" ht="12.75" customHeight="1">
      <c r="B252" s="74"/>
    </row>
    <row r="253" spans="2:2" ht="12.75" customHeight="1">
      <c r="B253" s="74"/>
    </row>
    <row r="254" spans="2:2" ht="12.75" customHeight="1">
      <c r="B254" s="74"/>
    </row>
    <row r="255" spans="2:2" ht="12.75" customHeight="1">
      <c r="B255" s="74"/>
    </row>
    <row r="256" spans="2:2" ht="12.75" customHeight="1">
      <c r="B256" s="74"/>
    </row>
    <row r="257" spans="2:2" ht="12.75" customHeight="1">
      <c r="B257" s="74"/>
    </row>
    <row r="258" spans="2:2" ht="12.75" customHeight="1">
      <c r="B258" s="74"/>
    </row>
    <row r="259" spans="2:2" ht="12.75" customHeight="1">
      <c r="B259" s="74"/>
    </row>
    <row r="260" spans="2:2" ht="12.75" customHeight="1">
      <c r="B260" s="74"/>
    </row>
    <row r="261" spans="2:2" ht="12.75" customHeight="1">
      <c r="B261" s="74"/>
    </row>
    <row r="262" spans="2:2" ht="12.75" customHeight="1">
      <c r="B262" s="74"/>
    </row>
    <row r="263" spans="2:2" ht="12.75" customHeight="1">
      <c r="B263" s="74"/>
    </row>
    <row r="264" spans="2:2" ht="12.75" customHeight="1">
      <c r="B264" s="74"/>
    </row>
    <row r="265" spans="2:2" ht="12.75" customHeight="1">
      <c r="B265" s="74"/>
    </row>
    <row r="266" spans="2:2" ht="12.75" customHeight="1">
      <c r="B266" s="74"/>
    </row>
    <row r="267" spans="2:2" ht="12.75" customHeight="1">
      <c r="B267" s="74"/>
    </row>
    <row r="268" spans="2:2" ht="12.75" customHeight="1">
      <c r="B268" s="74"/>
    </row>
    <row r="269" spans="2:2" ht="12.75" customHeight="1">
      <c r="B269" s="74"/>
    </row>
    <row r="270" spans="2:2" ht="12.75" customHeight="1">
      <c r="B270" s="74"/>
    </row>
    <row r="271" spans="2:2" ht="12.75" customHeight="1">
      <c r="B271" s="74"/>
    </row>
    <row r="272" spans="2:2" ht="12.75" customHeight="1">
      <c r="B272" s="74"/>
    </row>
    <row r="273" spans="2:2" ht="12.75" customHeight="1">
      <c r="B273" s="74"/>
    </row>
    <row r="274" spans="2:2" ht="12.75" customHeight="1">
      <c r="B274" s="74"/>
    </row>
    <row r="275" spans="2:2" ht="12.75" customHeight="1">
      <c r="B275" s="74"/>
    </row>
    <row r="276" spans="2:2" ht="12.75" customHeight="1">
      <c r="B276" s="74"/>
    </row>
    <row r="277" spans="2:2" ht="12.75" customHeight="1">
      <c r="B277" s="74"/>
    </row>
    <row r="278" spans="2:2" ht="12.75" customHeight="1">
      <c r="B278" s="74"/>
    </row>
    <row r="279" spans="2:2" ht="12.75" customHeight="1">
      <c r="B279" s="74"/>
    </row>
    <row r="280" spans="2:2" ht="12.75" customHeight="1">
      <c r="B280" s="74"/>
    </row>
    <row r="281" spans="2:2" ht="12.75" customHeight="1">
      <c r="B281" s="74"/>
    </row>
    <row r="282" spans="2:2" ht="12.75" customHeight="1">
      <c r="B282" s="74"/>
    </row>
    <row r="283" spans="2:2" ht="12.75" customHeight="1">
      <c r="B283" s="74"/>
    </row>
    <row r="284" spans="2:2" ht="12.75" customHeight="1">
      <c r="B284" s="74"/>
    </row>
    <row r="285" spans="2:2" ht="12.75" customHeight="1">
      <c r="B285" s="74"/>
    </row>
    <row r="286" spans="2:2" ht="12.75" customHeight="1">
      <c r="B286" s="74"/>
    </row>
    <row r="287" spans="2:2" ht="12.75" customHeight="1">
      <c r="B287" s="74"/>
    </row>
    <row r="288" spans="2:2" ht="12.75" customHeight="1">
      <c r="B288" s="74"/>
    </row>
    <row r="289" spans="2:2" ht="12.75" customHeight="1">
      <c r="B289" s="74"/>
    </row>
    <row r="290" spans="2:2" ht="12.75" customHeight="1">
      <c r="B290" s="74"/>
    </row>
    <row r="291" spans="2:2" ht="12.75" customHeight="1">
      <c r="B291" s="74"/>
    </row>
    <row r="292" spans="2:2" ht="12.75" customHeight="1">
      <c r="B292" s="74"/>
    </row>
    <row r="293" spans="2:2" ht="12.75" customHeight="1">
      <c r="B293" s="74"/>
    </row>
    <row r="294" spans="2:2" ht="12.75" customHeight="1">
      <c r="B294" s="74"/>
    </row>
    <row r="295" spans="2:2" ht="12.75" customHeight="1">
      <c r="B295" s="74"/>
    </row>
    <row r="296" spans="2:2" ht="12.75" customHeight="1">
      <c r="B296" s="74"/>
    </row>
    <row r="297" spans="2:2" ht="12.75" customHeight="1">
      <c r="B297" s="74"/>
    </row>
    <row r="298" spans="2:2" ht="12.75" customHeight="1">
      <c r="B298" s="74"/>
    </row>
    <row r="299" spans="2:2" ht="12.75" customHeight="1">
      <c r="B299" s="74"/>
    </row>
    <row r="300" spans="2:2" ht="12.75" customHeight="1">
      <c r="B300" s="74"/>
    </row>
    <row r="301" spans="2:2" ht="12.75" customHeight="1">
      <c r="B301" s="74"/>
    </row>
    <row r="302" spans="2:2" ht="12.75" customHeight="1">
      <c r="B302" s="74"/>
    </row>
    <row r="303" spans="2:2" ht="12.75" customHeight="1">
      <c r="B303" s="74"/>
    </row>
    <row r="304" spans="2:2" ht="12.75" customHeight="1">
      <c r="B304" s="74"/>
    </row>
    <row r="305" spans="2:2" ht="12.75" customHeight="1">
      <c r="B305" s="74"/>
    </row>
    <row r="306" spans="2:2" ht="12.75" customHeight="1">
      <c r="B306" s="74"/>
    </row>
    <row r="307" spans="2:2" ht="12.75" customHeight="1">
      <c r="B307" s="74"/>
    </row>
    <row r="308" spans="2:2" ht="12.75" customHeight="1">
      <c r="B308" s="74"/>
    </row>
    <row r="309" spans="2:2" ht="12.75" customHeight="1">
      <c r="B309" s="74"/>
    </row>
    <row r="310" spans="2:2" ht="12.75" customHeight="1">
      <c r="B310" s="74"/>
    </row>
    <row r="311" spans="2:2" ht="12.75" customHeight="1">
      <c r="B311" s="74"/>
    </row>
    <row r="312" spans="2:2" ht="12.75" customHeight="1">
      <c r="B312" s="74"/>
    </row>
    <row r="313" spans="2:2" ht="12.75" customHeight="1">
      <c r="B313" s="74"/>
    </row>
    <row r="314" spans="2:2" ht="12.75" customHeight="1">
      <c r="B314" s="74"/>
    </row>
    <row r="315" spans="2:2" ht="12.75" customHeight="1">
      <c r="B315" s="74"/>
    </row>
    <row r="316" spans="2:2" ht="12.75" customHeight="1">
      <c r="B316" s="74"/>
    </row>
    <row r="317" spans="2:2" ht="12.75" customHeight="1">
      <c r="B317" s="74"/>
    </row>
    <row r="318" spans="2:2" ht="12.75" customHeight="1">
      <c r="B318" s="74"/>
    </row>
    <row r="319" spans="2:2" ht="12.75" customHeight="1">
      <c r="B319" s="74"/>
    </row>
    <row r="320" spans="2:2" ht="12.75" customHeight="1">
      <c r="B320" s="74"/>
    </row>
    <row r="321" spans="2:2" ht="12.75" customHeight="1">
      <c r="B321" s="74"/>
    </row>
    <row r="322" spans="2:2" ht="12.75" customHeight="1">
      <c r="B322" s="74"/>
    </row>
    <row r="323" spans="2:2" ht="12.75" customHeight="1">
      <c r="B323" s="74"/>
    </row>
    <row r="324" spans="2:2" ht="12.75" customHeight="1">
      <c r="B324" s="74"/>
    </row>
    <row r="325" spans="2:2" ht="12.75" customHeight="1">
      <c r="B325" s="74"/>
    </row>
    <row r="326" spans="2:2" ht="12.75" customHeight="1">
      <c r="B326" s="74"/>
    </row>
    <row r="327" spans="2:2" ht="12.75" customHeight="1">
      <c r="B327" s="74"/>
    </row>
    <row r="328" spans="2:2" ht="12.75" customHeight="1">
      <c r="B328" s="74"/>
    </row>
    <row r="329" spans="2:2" ht="12.75" customHeight="1">
      <c r="B329" s="74"/>
    </row>
    <row r="330" spans="2:2" ht="12.75" customHeight="1">
      <c r="B330" s="74"/>
    </row>
    <row r="331" spans="2:2" ht="12.75" customHeight="1">
      <c r="B331" s="74"/>
    </row>
    <row r="332" spans="2:2" ht="12.75" customHeight="1">
      <c r="B332" s="74"/>
    </row>
    <row r="333" spans="2:2" ht="12.75" customHeight="1">
      <c r="B333" s="74"/>
    </row>
    <row r="334" spans="2:2" ht="12.75" customHeight="1">
      <c r="B334" s="74"/>
    </row>
    <row r="335" spans="2:2" ht="12.75" customHeight="1">
      <c r="B335" s="74"/>
    </row>
    <row r="336" spans="2:2" ht="12.75" customHeight="1">
      <c r="B336" s="74"/>
    </row>
    <row r="337" spans="2:2" ht="12.75" customHeight="1">
      <c r="B337" s="74"/>
    </row>
    <row r="338" spans="2:2" ht="12.75" customHeight="1">
      <c r="B338" s="74"/>
    </row>
    <row r="339" spans="2:2" ht="12.75" customHeight="1">
      <c r="B339" s="74"/>
    </row>
    <row r="340" spans="2:2" ht="12.75" customHeight="1">
      <c r="B340" s="74"/>
    </row>
    <row r="341" spans="2:2" ht="12.75" customHeight="1">
      <c r="B341" s="74"/>
    </row>
    <row r="342" spans="2:2" ht="12.75" customHeight="1">
      <c r="B342" s="74"/>
    </row>
    <row r="343" spans="2:2" ht="12.75" customHeight="1">
      <c r="B343" s="74"/>
    </row>
    <row r="344" spans="2:2" ht="12.75" customHeight="1">
      <c r="B344" s="74"/>
    </row>
    <row r="345" spans="2:2" ht="12.75" customHeight="1">
      <c r="B345" s="74"/>
    </row>
    <row r="346" spans="2:2" ht="12.75" customHeight="1">
      <c r="B346" s="74"/>
    </row>
    <row r="347" spans="2:2" ht="12.75" customHeight="1">
      <c r="B347" s="74"/>
    </row>
    <row r="348" spans="2:2" ht="12.75" customHeight="1">
      <c r="B348" s="74"/>
    </row>
    <row r="349" spans="2:2" ht="12.75" customHeight="1">
      <c r="B349" s="74"/>
    </row>
    <row r="350" spans="2:2" ht="12.75" customHeight="1">
      <c r="B350" s="74"/>
    </row>
    <row r="351" spans="2:2" ht="12.75" customHeight="1">
      <c r="B351" s="74"/>
    </row>
    <row r="352" spans="2:2" ht="12.75" customHeight="1">
      <c r="B352" s="74"/>
    </row>
    <row r="353" spans="2:2" ht="12.75" customHeight="1">
      <c r="B353" s="74"/>
    </row>
    <row r="354" spans="2:2" ht="12.75" customHeight="1">
      <c r="B354" s="74"/>
    </row>
    <row r="355" spans="2:2" ht="12.75" customHeight="1">
      <c r="B355" s="74"/>
    </row>
    <row r="356" spans="2:2" ht="12.75" customHeight="1">
      <c r="B356" s="74"/>
    </row>
    <row r="357" spans="2:2" ht="12.75" customHeight="1">
      <c r="B357" s="74"/>
    </row>
    <row r="358" spans="2:2" ht="12.75" customHeight="1">
      <c r="B358" s="74"/>
    </row>
    <row r="359" spans="2:2" ht="12.75" customHeight="1">
      <c r="B359" s="74"/>
    </row>
    <row r="360" spans="2:2" ht="12.75" customHeight="1">
      <c r="B360" s="74"/>
    </row>
    <row r="361" spans="2:2" ht="12.75" customHeight="1">
      <c r="B361" s="74"/>
    </row>
    <row r="362" spans="2:2" ht="12.75" customHeight="1">
      <c r="B362" s="74"/>
    </row>
    <row r="363" spans="2:2" ht="12.75" customHeight="1">
      <c r="B363" s="74"/>
    </row>
    <row r="364" spans="2:2" ht="12.75" customHeight="1">
      <c r="B364" s="74"/>
    </row>
    <row r="365" spans="2:2" ht="12.75" customHeight="1">
      <c r="B365" s="74"/>
    </row>
    <row r="366" spans="2:2" ht="12.75" customHeight="1">
      <c r="B366" s="74"/>
    </row>
    <row r="367" spans="2:2" ht="12.75" customHeight="1">
      <c r="B367" s="74"/>
    </row>
    <row r="368" spans="2:2" ht="12.75" customHeight="1">
      <c r="B368" s="74"/>
    </row>
    <row r="369" spans="2:2" ht="12.75" customHeight="1">
      <c r="B369" s="74"/>
    </row>
    <row r="370" spans="2:2" ht="12.75" customHeight="1">
      <c r="B370" s="74"/>
    </row>
    <row r="371" spans="2:2" ht="12.75" customHeight="1">
      <c r="B371" s="74"/>
    </row>
    <row r="372" spans="2:2" ht="12.75" customHeight="1">
      <c r="B372" s="74"/>
    </row>
    <row r="373" spans="2:2" ht="12.75" customHeight="1">
      <c r="B373" s="74"/>
    </row>
    <row r="374" spans="2:2" ht="12.75" customHeight="1">
      <c r="B374" s="74"/>
    </row>
    <row r="375" spans="2:2" ht="12.75" customHeight="1">
      <c r="B375" s="74"/>
    </row>
    <row r="376" spans="2:2" ht="12.75" customHeight="1">
      <c r="B376" s="74"/>
    </row>
    <row r="377" spans="2:2" ht="12.75" customHeight="1">
      <c r="B377" s="74"/>
    </row>
    <row r="378" spans="2:2" ht="12.75" customHeight="1">
      <c r="B378" s="74"/>
    </row>
    <row r="379" spans="2:2" ht="12.75" customHeight="1">
      <c r="B379" s="74"/>
    </row>
    <row r="380" spans="2:2" ht="12.75" customHeight="1">
      <c r="B380" s="74"/>
    </row>
    <row r="381" spans="2:2" ht="12.75" customHeight="1">
      <c r="B381" s="74"/>
    </row>
    <row r="382" spans="2:2" ht="12.75" customHeight="1">
      <c r="B382" s="74"/>
    </row>
    <row r="383" spans="2:2" ht="12.75" customHeight="1">
      <c r="B383" s="74"/>
    </row>
    <row r="384" spans="2:2" ht="12.75" customHeight="1">
      <c r="B384" s="74"/>
    </row>
    <row r="385" spans="2:2" ht="12.75" customHeight="1">
      <c r="B385" s="74"/>
    </row>
    <row r="386" spans="2:2" ht="12.75" customHeight="1">
      <c r="B386" s="74"/>
    </row>
    <row r="387" spans="2:2" ht="12.75" customHeight="1">
      <c r="B387" s="74"/>
    </row>
    <row r="388" spans="2:2" ht="12.75" customHeight="1">
      <c r="B388" s="74"/>
    </row>
    <row r="389" spans="2:2" ht="12.75" customHeight="1">
      <c r="B389" s="74"/>
    </row>
    <row r="390" spans="2:2" ht="12.75" customHeight="1">
      <c r="B390" s="74"/>
    </row>
    <row r="391" spans="2:2" ht="12.75" customHeight="1">
      <c r="B391" s="74"/>
    </row>
    <row r="392" spans="2:2" ht="12.75" customHeight="1">
      <c r="B392" s="74"/>
    </row>
    <row r="393" spans="2:2" ht="12.75" customHeight="1">
      <c r="B393" s="74"/>
    </row>
    <row r="394" spans="2:2" ht="12.75" customHeight="1">
      <c r="B394" s="74"/>
    </row>
    <row r="395" spans="2:2" ht="12.75" customHeight="1">
      <c r="B395" s="74"/>
    </row>
    <row r="396" spans="2:2" ht="12.75" customHeight="1">
      <c r="B396" s="74"/>
    </row>
    <row r="397" spans="2:2" ht="12.75" customHeight="1">
      <c r="B397" s="74"/>
    </row>
    <row r="398" spans="2:2" ht="12.75" customHeight="1">
      <c r="B398" s="74"/>
    </row>
    <row r="399" spans="2:2" ht="12.75" customHeight="1">
      <c r="B399" s="74"/>
    </row>
    <row r="400" spans="2:2" ht="12.75" customHeight="1">
      <c r="B400" s="74"/>
    </row>
    <row r="401" spans="2:2" ht="12.75" customHeight="1">
      <c r="B401" s="74"/>
    </row>
    <row r="402" spans="2:2" ht="12.75" customHeight="1">
      <c r="B402" s="74"/>
    </row>
    <row r="403" spans="2:2" ht="12.75" customHeight="1">
      <c r="B403" s="74"/>
    </row>
    <row r="404" spans="2:2" ht="12.75" customHeight="1">
      <c r="B404" s="74"/>
    </row>
    <row r="405" spans="2:2" ht="12.75" customHeight="1">
      <c r="B405" s="74"/>
    </row>
    <row r="406" spans="2:2" ht="12.75" customHeight="1">
      <c r="B406" s="74"/>
    </row>
    <row r="407" spans="2:2" ht="12.75" customHeight="1">
      <c r="B407" s="74"/>
    </row>
    <row r="408" spans="2:2" ht="12.75" customHeight="1">
      <c r="B408" s="74"/>
    </row>
    <row r="409" spans="2:2" ht="12.75" customHeight="1">
      <c r="B409" s="74"/>
    </row>
    <row r="410" spans="2:2" ht="12.75" customHeight="1">
      <c r="B410" s="74"/>
    </row>
    <row r="411" spans="2:2" ht="12.75" customHeight="1">
      <c r="B411" s="74"/>
    </row>
    <row r="412" spans="2:2" ht="12.75" customHeight="1">
      <c r="B412" s="74"/>
    </row>
    <row r="413" spans="2:2" ht="12.75" customHeight="1">
      <c r="B413" s="74"/>
    </row>
    <row r="414" spans="2:2" ht="12.75" customHeight="1">
      <c r="B414" s="74"/>
    </row>
    <row r="415" spans="2:2" ht="12.75" customHeight="1">
      <c r="B415" s="74"/>
    </row>
    <row r="416" spans="2:2" ht="12.75" customHeight="1">
      <c r="B416" s="74"/>
    </row>
    <row r="417" spans="2:2" ht="12.75" customHeight="1">
      <c r="B417" s="74"/>
    </row>
    <row r="418" spans="2:2" ht="12.75" customHeight="1">
      <c r="B418" s="74"/>
    </row>
    <row r="419" spans="2:2" ht="12.75" customHeight="1">
      <c r="B419" s="74"/>
    </row>
    <row r="420" spans="2:2" ht="12.75" customHeight="1">
      <c r="B420" s="74"/>
    </row>
    <row r="421" spans="2:2" ht="12.75" customHeight="1">
      <c r="B421" s="74"/>
    </row>
    <row r="422" spans="2:2" ht="12.75" customHeight="1">
      <c r="B422" s="74"/>
    </row>
    <row r="423" spans="2:2" ht="12.75" customHeight="1">
      <c r="B423" s="74"/>
    </row>
    <row r="424" spans="2:2" ht="12.75" customHeight="1">
      <c r="B424" s="74"/>
    </row>
    <row r="425" spans="2:2" ht="12.75" customHeight="1">
      <c r="B425" s="74"/>
    </row>
    <row r="426" spans="2:2" ht="12.75" customHeight="1">
      <c r="B426" s="74"/>
    </row>
    <row r="427" spans="2:2" ht="12.75" customHeight="1">
      <c r="B427" s="74"/>
    </row>
    <row r="428" spans="2:2" ht="12.75" customHeight="1">
      <c r="B428" s="74"/>
    </row>
    <row r="429" spans="2:2" ht="12.75" customHeight="1">
      <c r="B429" s="74"/>
    </row>
    <row r="430" spans="2:2" ht="12.75" customHeight="1">
      <c r="B430" s="74"/>
    </row>
    <row r="431" spans="2:2" ht="12.75" customHeight="1">
      <c r="B431" s="74"/>
    </row>
    <row r="432" spans="2:2" ht="12.75" customHeight="1">
      <c r="B432" s="74"/>
    </row>
    <row r="433" spans="2:2" ht="12.75" customHeight="1">
      <c r="B433" s="74"/>
    </row>
    <row r="434" spans="2:2" ht="12.75" customHeight="1">
      <c r="B434" s="74"/>
    </row>
    <row r="435" spans="2:2" ht="12.75" customHeight="1">
      <c r="B435" s="74"/>
    </row>
    <row r="436" spans="2:2" ht="12.75" customHeight="1">
      <c r="B436" s="74"/>
    </row>
    <row r="437" spans="2:2" ht="12.75" customHeight="1">
      <c r="B437" s="74"/>
    </row>
    <row r="438" spans="2:2" ht="12.75" customHeight="1">
      <c r="B438" s="74"/>
    </row>
    <row r="439" spans="2:2" ht="12.75" customHeight="1">
      <c r="B439" s="74"/>
    </row>
    <row r="440" spans="2:2" ht="12.75" customHeight="1">
      <c r="B440" s="74"/>
    </row>
    <row r="441" spans="2:2" ht="12.75" customHeight="1">
      <c r="B441" s="74"/>
    </row>
    <row r="442" spans="2:2" ht="12.75" customHeight="1">
      <c r="B442" s="74"/>
    </row>
    <row r="443" spans="2:2" ht="12.75" customHeight="1">
      <c r="B443" s="74"/>
    </row>
    <row r="444" spans="2:2" ht="12.75" customHeight="1">
      <c r="B444" s="74"/>
    </row>
    <row r="445" spans="2:2" ht="12.75" customHeight="1">
      <c r="B445" s="74"/>
    </row>
    <row r="446" spans="2:2" ht="12.75" customHeight="1">
      <c r="B446" s="74"/>
    </row>
    <row r="447" spans="2:2" ht="12.75" customHeight="1">
      <c r="B447" s="74"/>
    </row>
    <row r="448" spans="2:2" ht="12.75" customHeight="1">
      <c r="B448" s="74"/>
    </row>
    <row r="449" spans="2:2" ht="12.75" customHeight="1">
      <c r="B449" s="74"/>
    </row>
    <row r="450" spans="2:2" ht="12.75" customHeight="1">
      <c r="B450" s="74"/>
    </row>
    <row r="451" spans="2:2" ht="12.75" customHeight="1">
      <c r="B451" s="74"/>
    </row>
    <row r="452" spans="2:2" ht="12.75" customHeight="1">
      <c r="B452" s="74"/>
    </row>
    <row r="453" spans="2:2" ht="12.75" customHeight="1">
      <c r="B453" s="74"/>
    </row>
    <row r="454" spans="2:2" ht="12.75" customHeight="1">
      <c r="B454" s="74"/>
    </row>
    <row r="455" spans="2:2" ht="12.75" customHeight="1">
      <c r="B455" s="74"/>
    </row>
    <row r="456" spans="2:2" ht="12.75" customHeight="1">
      <c r="B456" s="74"/>
    </row>
    <row r="457" spans="2:2" ht="12.75" customHeight="1">
      <c r="B457" s="74"/>
    </row>
    <row r="458" spans="2:2" ht="12.75" customHeight="1">
      <c r="B458" s="74"/>
    </row>
    <row r="459" spans="2:2" ht="12.75" customHeight="1">
      <c r="B459" s="74"/>
    </row>
    <row r="460" spans="2:2" ht="12.75" customHeight="1">
      <c r="B460" s="74"/>
    </row>
    <row r="461" spans="2:2" ht="12.75" customHeight="1">
      <c r="B461" s="74"/>
    </row>
    <row r="462" spans="2:2" ht="12.75" customHeight="1">
      <c r="B462" s="74"/>
    </row>
    <row r="463" spans="2:2" ht="12.75" customHeight="1">
      <c r="B463" s="74"/>
    </row>
    <row r="464" spans="2:2" ht="12.75" customHeight="1">
      <c r="B464" s="74"/>
    </row>
    <row r="465" spans="2:2" ht="12.75" customHeight="1">
      <c r="B465" s="74"/>
    </row>
    <row r="466" spans="2:2" ht="12.75" customHeight="1">
      <c r="B466" s="74"/>
    </row>
    <row r="467" spans="2:2" ht="12.75" customHeight="1">
      <c r="B467" s="74"/>
    </row>
    <row r="468" spans="2:2" ht="12.75" customHeight="1">
      <c r="B468" s="74"/>
    </row>
    <row r="469" spans="2:2" ht="12.75" customHeight="1">
      <c r="B469" s="74"/>
    </row>
    <row r="470" spans="2:2" ht="12.75" customHeight="1">
      <c r="B470" s="74"/>
    </row>
    <row r="471" spans="2:2" ht="12.75" customHeight="1">
      <c r="B471" s="74"/>
    </row>
    <row r="472" spans="2:2" ht="12.75" customHeight="1">
      <c r="B472" s="74"/>
    </row>
    <row r="473" spans="2:2" ht="12.75" customHeight="1">
      <c r="B473" s="74"/>
    </row>
    <row r="474" spans="2:2" ht="12.75" customHeight="1">
      <c r="B474" s="74"/>
    </row>
    <row r="475" spans="2:2" ht="12.75" customHeight="1">
      <c r="B475" s="74"/>
    </row>
    <row r="476" spans="2:2" ht="12.75" customHeight="1">
      <c r="B476" s="74"/>
    </row>
    <row r="477" spans="2:2" ht="12.75" customHeight="1">
      <c r="B477" s="74"/>
    </row>
    <row r="478" spans="2:2" ht="12.75" customHeight="1">
      <c r="B478" s="74"/>
    </row>
    <row r="479" spans="2:2" ht="12.75" customHeight="1">
      <c r="B479" s="74"/>
    </row>
    <row r="480" spans="2:2" ht="12.75" customHeight="1">
      <c r="B480" s="74"/>
    </row>
    <row r="481" spans="2:2" ht="12.75" customHeight="1">
      <c r="B481" s="74"/>
    </row>
    <row r="482" spans="2:2" ht="12.75" customHeight="1">
      <c r="B482" s="74"/>
    </row>
    <row r="483" spans="2:2" ht="12.75" customHeight="1">
      <c r="B483" s="74"/>
    </row>
    <row r="484" spans="2:2" ht="12.75" customHeight="1">
      <c r="B484" s="74"/>
    </row>
    <row r="485" spans="2:2" ht="12.75" customHeight="1">
      <c r="B485" s="74"/>
    </row>
    <row r="486" spans="2:2" ht="12.75" customHeight="1">
      <c r="B486" s="74"/>
    </row>
    <row r="487" spans="2:2" ht="12.75" customHeight="1">
      <c r="B487" s="74"/>
    </row>
    <row r="488" spans="2:2" ht="12.75" customHeight="1">
      <c r="B488" s="74"/>
    </row>
    <row r="489" spans="2:2" ht="12.75" customHeight="1">
      <c r="B489" s="74"/>
    </row>
    <row r="490" spans="2:2" ht="12.75" customHeight="1">
      <c r="B490" s="74"/>
    </row>
    <row r="491" spans="2:2" ht="12.75" customHeight="1">
      <c r="B491" s="74"/>
    </row>
    <row r="492" spans="2:2" ht="12.75" customHeight="1">
      <c r="B492" s="74"/>
    </row>
    <row r="493" spans="2:2" ht="12.75" customHeight="1">
      <c r="B493" s="74"/>
    </row>
    <row r="494" spans="2:2" ht="12.75" customHeight="1">
      <c r="B494" s="74"/>
    </row>
    <row r="495" spans="2:2" ht="12.75" customHeight="1">
      <c r="B495" s="74"/>
    </row>
    <row r="496" spans="2:2" ht="12.75" customHeight="1">
      <c r="B496" s="74"/>
    </row>
    <row r="497" spans="2:2" ht="12.75" customHeight="1">
      <c r="B497" s="74"/>
    </row>
    <row r="498" spans="2:2" ht="12.75" customHeight="1">
      <c r="B498" s="74"/>
    </row>
    <row r="499" spans="2:2" ht="12.75" customHeight="1">
      <c r="B499" s="74"/>
    </row>
    <row r="500" spans="2:2" ht="12.75" customHeight="1">
      <c r="B500" s="74"/>
    </row>
    <row r="501" spans="2:2" ht="12.75" customHeight="1">
      <c r="B501" s="74"/>
    </row>
    <row r="502" spans="2:2" ht="12.75" customHeight="1">
      <c r="B502" s="74"/>
    </row>
    <row r="503" spans="2:2" ht="12.75" customHeight="1">
      <c r="B503" s="74"/>
    </row>
    <row r="504" spans="2:2" ht="12.75" customHeight="1">
      <c r="B504" s="74"/>
    </row>
    <row r="505" spans="2:2" ht="12.75" customHeight="1">
      <c r="B505" s="74"/>
    </row>
    <row r="506" spans="2:2" ht="12.75" customHeight="1">
      <c r="B506" s="74"/>
    </row>
    <row r="507" spans="2:2" ht="12.75" customHeight="1">
      <c r="B507" s="74"/>
    </row>
    <row r="508" spans="2:2" ht="12.75" customHeight="1">
      <c r="B508" s="74"/>
    </row>
    <row r="509" spans="2:2" ht="12.75" customHeight="1">
      <c r="B509" s="74"/>
    </row>
    <row r="510" spans="2:2" ht="12.75" customHeight="1">
      <c r="B510" s="74"/>
    </row>
    <row r="511" spans="2:2" ht="12.75" customHeight="1">
      <c r="B511" s="74"/>
    </row>
    <row r="512" spans="2:2" ht="12.75" customHeight="1">
      <c r="B512" s="74"/>
    </row>
    <row r="513" spans="2:2" ht="12.75" customHeight="1">
      <c r="B513" s="74"/>
    </row>
    <row r="514" spans="2:2" ht="12.75" customHeight="1">
      <c r="B514" s="74"/>
    </row>
    <row r="515" spans="2:2" ht="12.75" customHeight="1">
      <c r="B515" s="74"/>
    </row>
    <row r="516" spans="2:2" ht="12.75" customHeight="1">
      <c r="B516" s="74"/>
    </row>
    <row r="517" spans="2:2" ht="12.75" customHeight="1">
      <c r="B517" s="74"/>
    </row>
    <row r="518" spans="2:2" ht="12.75" customHeight="1">
      <c r="B518" s="74"/>
    </row>
    <row r="519" spans="2:2" ht="12.75" customHeight="1">
      <c r="B519" s="74"/>
    </row>
    <row r="520" spans="2:2" ht="12.75" customHeight="1">
      <c r="B520" s="74"/>
    </row>
    <row r="521" spans="2:2" ht="12.75" customHeight="1">
      <c r="B521" s="74"/>
    </row>
    <row r="522" spans="2:2" ht="12.75" customHeight="1">
      <c r="B522" s="74"/>
    </row>
    <row r="523" spans="2:2" ht="12.75" customHeight="1">
      <c r="B523" s="74"/>
    </row>
    <row r="524" spans="2:2" ht="12.75" customHeight="1">
      <c r="B524" s="74"/>
    </row>
    <row r="525" spans="2:2" ht="12.75" customHeight="1">
      <c r="B525" s="74"/>
    </row>
    <row r="526" spans="2:2" ht="12.75" customHeight="1">
      <c r="B526" s="74"/>
    </row>
    <row r="527" spans="2:2" ht="12.75" customHeight="1">
      <c r="B527" s="74"/>
    </row>
    <row r="528" spans="2:2" ht="12.75" customHeight="1">
      <c r="B528" s="74"/>
    </row>
    <row r="529" spans="2:2" ht="12.75" customHeight="1">
      <c r="B529" s="74"/>
    </row>
    <row r="530" spans="2:2" ht="12.75" customHeight="1">
      <c r="B530" s="74"/>
    </row>
    <row r="531" spans="2:2" ht="12.75" customHeight="1">
      <c r="B531" s="74"/>
    </row>
    <row r="532" spans="2:2" ht="12.75" customHeight="1">
      <c r="B532" s="74"/>
    </row>
    <row r="533" spans="2:2" ht="12.75" customHeight="1">
      <c r="B533" s="74"/>
    </row>
    <row r="534" spans="2:2" ht="12.75" customHeight="1">
      <c r="B534" s="74"/>
    </row>
    <row r="535" spans="2:2" ht="12.75" customHeight="1">
      <c r="B535" s="74"/>
    </row>
    <row r="536" spans="2:2" ht="12.75" customHeight="1">
      <c r="B536" s="74"/>
    </row>
    <row r="537" spans="2:2" ht="12.75" customHeight="1">
      <c r="B537" s="74"/>
    </row>
    <row r="538" spans="2:2" ht="12.75" customHeight="1">
      <c r="B538" s="74"/>
    </row>
    <row r="539" spans="2:2" ht="12.75" customHeight="1">
      <c r="B539" s="74"/>
    </row>
    <row r="540" spans="2:2" ht="12.75" customHeight="1">
      <c r="B540" s="74"/>
    </row>
    <row r="541" spans="2:2" ht="12.75" customHeight="1">
      <c r="B541" s="74"/>
    </row>
    <row r="542" spans="2:2" ht="12.75" customHeight="1">
      <c r="B542" s="74"/>
    </row>
    <row r="543" spans="2:2" ht="12.75" customHeight="1">
      <c r="B543" s="74"/>
    </row>
    <row r="544" spans="2:2" ht="12.75" customHeight="1">
      <c r="B544" s="74"/>
    </row>
    <row r="545" spans="2:2" ht="12.75" customHeight="1">
      <c r="B545" s="74"/>
    </row>
    <row r="546" spans="2:2" ht="12.75" customHeight="1">
      <c r="B546" s="74"/>
    </row>
    <row r="547" spans="2:2" ht="12.75" customHeight="1">
      <c r="B547" s="74"/>
    </row>
    <row r="548" spans="2:2" ht="12.75" customHeight="1">
      <c r="B548" s="74"/>
    </row>
    <row r="549" spans="2:2" ht="12.75" customHeight="1">
      <c r="B549" s="74"/>
    </row>
    <row r="550" spans="2:2" ht="12.75" customHeight="1">
      <c r="B550" s="74"/>
    </row>
    <row r="551" spans="2:2" ht="12.75" customHeight="1">
      <c r="B551" s="74"/>
    </row>
    <row r="552" spans="2:2" ht="12.75" customHeight="1">
      <c r="B552" s="74"/>
    </row>
    <row r="553" spans="2:2" ht="12.75" customHeight="1">
      <c r="B553" s="74"/>
    </row>
    <row r="554" spans="2:2" ht="12.75" customHeight="1">
      <c r="B554" s="74"/>
    </row>
    <row r="555" spans="2:2" ht="12.75" customHeight="1">
      <c r="B555" s="74"/>
    </row>
    <row r="556" spans="2:2" ht="12.75" customHeight="1">
      <c r="B556" s="74"/>
    </row>
    <row r="557" spans="2:2" ht="12.75" customHeight="1">
      <c r="B557" s="74"/>
    </row>
    <row r="558" spans="2:2" ht="12.75" customHeight="1">
      <c r="B558" s="74"/>
    </row>
    <row r="559" spans="2:2" ht="12.75" customHeight="1">
      <c r="B559" s="74"/>
    </row>
    <row r="560" spans="2:2" ht="12.75" customHeight="1">
      <c r="B560" s="74"/>
    </row>
    <row r="561" spans="2:2" ht="12.75" customHeight="1">
      <c r="B561" s="74"/>
    </row>
    <row r="562" spans="2:2" ht="12.75" customHeight="1">
      <c r="B562" s="74"/>
    </row>
    <row r="563" spans="2:2" ht="12.75" customHeight="1">
      <c r="B563" s="74"/>
    </row>
    <row r="564" spans="2:2" ht="12.75" customHeight="1">
      <c r="B564" s="74"/>
    </row>
    <row r="565" spans="2:2" ht="12.75" customHeight="1">
      <c r="B565" s="74"/>
    </row>
    <row r="566" spans="2:2" ht="12.75" customHeight="1">
      <c r="B566" s="74"/>
    </row>
    <row r="567" spans="2:2" ht="12.75" customHeight="1">
      <c r="B567" s="74"/>
    </row>
    <row r="568" spans="2:2" ht="12.75" customHeight="1">
      <c r="B568" s="74"/>
    </row>
    <row r="569" spans="2:2" ht="12.75" customHeight="1">
      <c r="B569" s="74"/>
    </row>
    <row r="570" spans="2:2" ht="12.75" customHeight="1">
      <c r="B570" s="74"/>
    </row>
    <row r="571" spans="2:2" ht="12.75" customHeight="1">
      <c r="B571" s="74"/>
    </row>
    <row r="572" spans="2:2" ht="12.75" customHeight="1">
      <c r="B572" s="74"/>
    </row>
    <row r="573" spans="2:2" ht="12.75" customHeight="1">
      <c r="B573" s="74"/>
    </row>
    <row r="574" spans="2:2" ht="12.75" customHeight="1">
      <c r="B574" s="74"/>
    </row>
    <row r="575" spans="2:2" ht="12.75" customHeight="1">
      <c r="B575" s="74"/>
    </row>
    <row r="576" spans="2:2" ht="12.75" customHeight="1">
      <c r="B576" s="74"/>
    </row>
    <row r="577" spans="2:2" ht="12.75" customHeight="1">
      <c r="B577" s="74"/>
    </row>
    <row r="578" spans="2:2" ht="12.75" customHeight="1">
      <c r="B578" s="74"/>
    </row>
    <row r="579" spans="2:2" ht="12.75" customHeight="1">
      <c r="B579" s="74"/>
    </row>
    <row r="580" spans="2:2" ht="12.75" customHeight="1">
      <c r="B580" s="74"/>
    </row>
    <row r="581" spans="2:2" ht="12.75" customHeight="1">
      <c r="B581" s="74"/>
    </row>
    <row r="582" spans="2:2" ht="12.75" customHeight="1">
      <c r="B582" s="74"/>
    </row>
    <row r="583" spans="2:2" ht="12.75" customHeight="1">
      <c r="B583" s="74"/>
    </row>
    <row r="584" spans="2:2" ht="12.75" customHeight="1">
      <c r="B584" s="74"/>
    </row>
    <row r="585" spans="2:2" ht="12.75" customHeight="1">
      <c r="B585" s="74"/>
    </row>
    <row r="586" spans="2:2" ht="12.75" customHeight="1">
      <c r="B586" s="74"/>
    </row>
    <row r="587" spans="2:2" ht="12.75" customHeight="1">
      <c r="B587" s="74"/>
    </row>
    <row r="588" spans="2:2" ht="12.75" customHeight="1">
      <c r="B588" s="74"/>
    </row>
    <row r="589" spans="2:2" ht="12.75" customHeight="1">
      <c r="B589" s="74"/>
    </row>
    <row r="590" spans="2:2" ht="12.75" customHeight="1">
      <c r="B590" s="74"/>
    </row>
    <row r="591" spans="2:2" ht="12.75" customHeight="1">
      <c r="B591" s="74"/>
    </row>
    <row r="592" spans="2:2" ht="12.75" customHeight="1">
      <c r="B592" s="74"/>
    </row>
    <row r="593" spans="2:2" ht="12.75" customHeight="1">
      <c r="B593" s="74"/>
    </row>
    <row r="594" spans="2:2" ht="12.75" customHeight="1">
      <c r="B594" s="74"/>
    </row>
    <row r="595" spans="2:2" ht="12.75" customHeight="1">
      <c r="B595" s="74"/>
    </row>
    <row r="596" spans="2:2" ht="12.75" customHeight="1">
      <c r="B596" s="74"/>
    </row>
    <row r="597" spans="2:2" ht="12.75" customHeight="1">
      <c r="B597" s="74"/>
    </row>
    <row r="598" spans="2:2" ht="12.75" customHeight="1">
      <c r="B598" s="74"/>
    </row>
    <row r="599" spans="2:2" ht="12.75" customHeight="1">
      <c r="B599" s="74"/>
    </row>
    <row r="600" spans="2:2" ht="12.75" customHeight="1">
      <c r="B600" s="74"/>
    </row>
    <row r="601" spans="2:2" ht="12.75" customHeight="1">
      <c r="B601" s="74"/>
    </row>
    <row r="602" spans="2:2" ht="12.75" customHeight="1">
      <c r="B602" s="74"/>
    </row>
    <row r="603" spans="2:2" ht="12.75" customHeight="1">
      <c r="B603" s="74"/>
    </row>
    <row r="604" spans="2:2" ht="12.75" customHeight="1">
      <c r="B604" s="74"/>
    </row>
    <row r="605" spans="2:2" ht="12.75" customHeight="1">
      <c r="B605" s="74"/>
    </row>
    <row r="606" spans="2:2" ht="12.75" customHeight="1">
      <c r="B606" s="74"/>
    </row>
    <row r="607" spans="2:2" ht="12.75" customHeight="1">
      <c r="B607" s="74"/>
    </row>
    <row r="608" spans="2:2" ht="12.75" customHeight="1">
      <c r="B608" s="74"/>
    </row>
    <row r="609" spans="2:2" ht="12.75" customHeight="1">
      <c r="B609" s="74"/>
    </row>
    <row r="610" spans="2:2" ht="12.75" customHeight="1">
      <c r="B610" s="74"/>
    </row>
    <row r="611" spans="2:2" ht="12.75" customHeight="1">
      <c r="B611" s="74"/>
    </row>
    <row r="612" spans="2:2" ht="12.75" customHeight="1">
      <c r="B612" s="74"/>
    </row>
    <row r="613" spans="2:2" ht="12.75" customHeight="1">
      <c r="B613" s="74"/>
    </row>
    <row r="614" spans="2:2" ht="12.75" customHeight="1">
      <c r="B614" s="74"/>
    </row>
    <row r="615" spans="2:2" ht="12.75" customHeight="1">
      <c r="B615" s="74"/>
    </row>
    <row r="616" spans="2:2" ht="12.75" customHeight="1">
      <c r="B616" s="74"/>
    </row>
    <row r="617" spans="2:2" ht="12.75" customHeight="1">
      <c r="B617" s="74"/>
    </row>
    <row r="618" spans="2:2" ht="12.75" customHeight="1">
      <c r="B618" s="74"/>
    </row>
    <row r="619" spans="2:2" ht="12.75" customHeight="1">
      <c r="B619" s="74"/>
    </row>
    <row r="620" spans="2:2" ht="12.75" customHeight="1">
      <c r="B620" s="74"/>
    </row>
    <row r="621" spans="2:2" ht="12.75" customHeight="1">
      <c r="B621" s="74"/>
    </row>
    <row r="622" spans="2:2" ht="12.75" customHeight="1">
      <c r="B622" s="74"/>
    </row>
    <row r="623" spans="2:2" ht="12.75" customHeight="1">
      <c r="B623" s="74"/>
    </row>
    <row r="624" spans="2:2" ht="12.75" customHeight="1">
      <c r="B624" s="74"/>
    </row>
    <row r="625" spans="2:2" ht="12.75" customHeight="1">
      <c r="B625" s="74"/>
    </row>
    <row r="626" spans="2:2" ht="12.75" customHeight="1">
      <c r="B626" s="74"/>
    </row>
    <row r="627" spans="2:2" ht="12.75" customHeight="1">
      <c r="B627" s="74"/>
    </row>
    <row r="628" spans="2:2" ht="12.75" customHeight="1">
      <c r="B628" s="74"/>
    </row>
    <row r="629" spans="2:2" ht="12.75" customHeight="1">
      <c r="B629" s="74"/>
    </row>
    <row r="630" spans="2:2" ht="12.75" customHeight="1">
      <c r="B630" s="74"/>
    </row>
    <row r="631" spans="2:2" ht="12.75" customHeight="1">
      <c r="B631" s="74"/>
    </row>
    <row r="632" spans="2:2" ht="12.75" customHeight="1">
      <c r="B632" s="74"/>
    </row>
    <row r="633" spans="2:2" ht="12.75" customHeight="1">
      <c r="B633" s="74"/>
    </row>
    <row r="634" spans="2:2" ht="12.75" customHeight="1">
      <c r="B634" s="74"/>
    </row>
    <row r="635" spans="2:2" ht="12.75" customHeight="1">
      <c r="B635" s="74"/>
    </row>
    <row r="636" spans="2:2" ht="12.75" customHeight="1">
      <c r="B636" s="74"/>
    </row>
    <row r="637" spans="2:2" ht="12.75" customHeight="1">
      <c r="B637" s="74"/>
    </row>
    <row r="638" spans="2:2" ht="12.75" customHeight="1">
      <c r="B638" s="74"/>
    </row>
    <row r="639" spans="2:2" ht="12.75" customHeight="1">
      <c r="B639" s="74"/>
    </row>
    <row r="640" spans="2:2" ht="12.75" customHeight="1">
      <c r="B640" s="74"/>
    </row>
    <row r="641" spans="2:2" ht="12.75" customHeight="1">
      <c r="B641" s="74"/>
    </row>
    <row r="642" spans="2:2" ht="12.75" customHeight="1">
      <c r="B642" s="74"/>
    </row>
    <row r="643" spans="2:2" ht="12.75" customHeight="1">
      <c r="B643" s="74"/>
    </row>
    <row r="644" spans="2:2" ht="12.75" customHeight="1">
      <c r="B644" s="74"/>
    </row>
    <row r="645" spans="2:2" ht="12.75" customHeight="1">
      <c r="B645" s="74"/>
    </row>
    <row r="646" spans="2:2" ht="12.75" customHeight="1">
      <c r="B646" s="74"/>
    </row>
    <row r="647" spans="2:2" ht="12.75" customHeight="1">
      <c r="B647" s="74"/>
    </row>
    <row r="648" spans="2:2" ht="12.75" customHeight="1">
      <c r="B648" s="74"/>
    </row>
    <row r="649" spans="2:2" ht="12.75" customHeight="1">
      <c r="B649" s="74"/>
    </row>
    <row r="650" spans="2:2" ht="12.75" customHeight="1">
      <c r="B650" s="74"/>
    </row>
    <row r="651" spans="2:2" ht="12.75" customHeight="1">
      <c r="B651" s="74"/>
    </row>
    <row r="652" spans="2:2" ht="12.75" customHeight="1">
      <c r="B652" s="74"/>
    </row>
    <row r="653" spans="2:2" ht="12.75" customHeight="1">
      <c r="B653" s="74"/>
    </row>
    <row r="654" spans="2:2" ht="12.75" customHeight="1">
      <c r="B654" s="74"/>
    </row>
    <row r="655" spans="2:2" ht="12.75" customHeight="1">
      <c r="B655" s="74"/>
    </row>
    <row r="656" spans="2:2" ht="12.75" customHeight="1">
      <c r="B656" s="74"/>
    </row>
    <row r="657" spans="2:2" ht="12.75" customHeight="1">
      <c r="B657" s="74"/>
    </row>
    <row r="658" spans="2:2" ht="12.75" customHeight="1">
      <c r="B658" s="74"/>
    </row>
    <row r="659" spans="2:2" ht="12.75" customHeight="1">
      <c r="B659" s="74"/>
    </row>
    <row r="660" spans="2:2" ht="12.75" customHeight="1">
      <c r="B660" s="74"/>
    </row>
    <row r="661" spans="2:2" ht="12.75" customHeight="1">
      <c r="B661" s="74"/>
    </row>
    <row r="662" spans="2:2" ht="12.75" customHeight="1">
      <c r="B662" s="74"/>
    </row>
    <row r="663" spans="2:2" ht="12.75" customHeight="1">
      <c r="B663" s="74"/>
    </row>
    <row r="664" spans="2:2" ht="12.75" customHeight="1">
      <c r="B664" s="74"/>
    </row>
    <row r="665" spans="2:2" ht="12.75" customHeight="1">
      <c r="B665" s="74"/>
    </row>
    <row r="666" spans="2:2" ht="12.75" customHeight="1">
      <c r="B666" s="74"/>
    </row>
    <row r="667" spans="2:2" ht="12.75" customHeight="1">
      <c r="B667" s="74"/>
    </row>
    <row r="668" spans="2:2" ht="12.75" customHeight="1">
      <c r="B668" s="74"/>
    </row>
    <row r="669" spans="2:2" ht="12.75" customHeight="1">
      <c r="B669" s="74"/>
    </row>
    <row r="670" spans="2:2" ht="12.75" customHeight="1">
      <c r="B670" s="74"/>
    </row>
    <row r="671" spans="2:2" ht="12.75" customHeight="1">
      <c r="B671" s="74"/>
    </row>
    <row r="672" spans="2:2" ht="12.75" customHeight="1">
      <c r="B672" s="74"/>
    </row>
    <row r="673" spans="2:2" ht="12.75" customHeight="1">
      <c r="B673" s="74"/>
    </row>
    <row r="674" spans="2:2" ht="12.75" customHeight="1">
      <c r="B674" s="74"/>
    </row>
    <row r="675" spans="2:2" ht="12.75" customHeight="1">
      <c r="B675" s="74"/>
    </row>
    <row r="676" spans="2:2" ht="12.75" customHeight="1">
      <c r="B676" s="74"/>
    </row>
    <row r="677" spans="2:2" ht="12.75" customHeight="1">
      <c r="B677" s="74"/>
    </row>
    <row r="678" spans="2:2" ht="12.75" customHeight="1">
      <c r="B678" s="74"/>
    </row>
    <row r="679" spans="2:2" ht="12.75" customHeight="1">
      <c r="B679" s="74"/>
    </row>
    <row r="680" spans="2:2" ht="12.75" customHeight="1">
      <c r="B680" s="74"/>
    </row>
    <row r="681" spans="2:2" ht="12.75" customHeight="1">
      <c r="B681" s="74"/>
    </row>
    <row r="682" spans="2:2" ht="12.75" customHeight="1">
      <c r="B682" s="74"/>
    </row>
    <row r="683" spans="2:2" ht="12.75" customHeight="1">
      <c r="B683" s="74"/>
    </row>
    <row r="684" spans="2:2" ht="12.75" customHeight="1">
      <c r="B684" s="74"/>
    </row>
    <row r="685" spans="2:2" ht="12.75" customHeight="1">
      <c r="B685" s="74"/>
    </row>
    <row r="686" spans="2:2" ht="12.75" customHeight="1">
      <c r="B686" s="74"/>
    </row>
    <row r="687" spans="2:2" ht="12.75" customHeight="1">
      <c r="B687" s="74"/>
    </row>
    <row r="688" spans="2:2" ht="12.75" customHeight="1">
      <c r="B688" s="74"/>
    </row>
    <row r="689" spans="2:2" ht="12.75" customHeight="1">
      <c r="B689" s="74"/>
    </row>
    <row r="690" spans="2:2" ht="12.75" customHeight="1">
      <c r="B690" s="74"/>
    </row>
    <row r="691" spans="2:2" ht="12.75" customHeight="1">
      <c r="B691" s="74"/>
    </row>
    <row r="692" spans="2:2" ht="12.75" customHeight="1">
      <c r="B692" s="74"/>
    </row>
    <row r="693" spans="2:2" ht="12.75" customHeight="1">
      <c r="B693" s="74"/>
    </row>
    <row r="694" spans="2:2" ht="12.75" customHeight="1">
      <c r="B694" s="74"/>
    </row>
    <row r="695" spans="2:2" ht="12.75" customHeight="1">
      <c r="B695" s="74"/>
    </row>
    <row r="696" spans="2:2" ht="12.75" customHeight="1">
      <c r="B696" s="74"/>
    </row>
    <row r="697" spans="2:2" ht="12.75" customHeight="1">
      <c r="B697" s="74"/>
    </row>
    <row r="698" spans="2:2" ht="12.75" customHeight="1">
      <c r="B698" s="74"/>
    </row>
    <row r="699" spans="2:2" ht="12.75" customHeight="1">
      <c r="B699" s="74"/>
    </row>
    <row r="700" spans="2:2" ht="12.75" customHeight="1">
      <c r="B700" s="74"/>
    </row>
    <row r="701" spans="2:2" ht="12.75" customHeight="1">
      <c r="B701" s="74"/>
    </row>
    <row r="702" spans="2:2" ht="12.75" customHeight="1">
      <c r="B702" s="74"/>
    </row>
    <row r="703" spans="2:2" ht="12.75" customHeight="1">
      <c r="B703" s="74"/>
    </row>
    <row r="704" spans="2:2" ht="12.75" customHeight="1">
      <c r="B704" s="74"/>
    </row>
    <row r="705" spans="2:2" ht="12.75" customHeight="1">
      <c r="B705" s="74"/>
    </row>
    <row r="706" spans="2:2" ht="12.75" customHeight="1">
      <c r="B706" s="74"/>
    </row>
    <row r="707" spans="2:2" ht="12.75" customHeight="1">
      <c r="B707" s="74"/>
    </row>
    <row r="708" spans="2:2" ht="12.75" customHeight="1">
      <c r="B708" s="74"/>
    </row>
    <row r="709" spans="2:2" ht="12.75" customHeight="1">
      <c r="B709" s="74"/>
    </row>
    <row r="710" spans="2:2" ht="12.75" customHeight="1">
      <c r="B710" s="74"/>
    </row>
    <row r="711" spans="2:2" ht="12.75" customHeight="1">
      <c r="B711" s="74"/>
    </row>
    <row r="712" spans="2:2" ht="12.75" customHeight="1">
      <c r="B712" s="74"/>
    </row>
    <row r="713" spans="2:2" ht="12.75" customHeight="1">
      <c r="B713" s="74"/>
    </row>
    <row r="714" spans="2:2" ht="12.75" customHeight="1">
      <c r="B714" s="74"/>
    </row>
    <row r="715" spans="2:2" ht="12.75" customHeight="1">
      <c r="B715" s="74"/>
    </row>
    <row r="716" spans="2:2" ht="12.75" customHeight="1">
      <c r="B716" s="74"/>
    </row>
    <row r="717" spans="2:2" ht="12.75" customHeight="1">
      <c r="B717" s="74"/>
    </row>
    <row r="718" spans="2:2" ht="12.75" customHeight="1">
      <c r="B718" s="74"/>
    </row>
    <row r="719" spans="2:2" ht="12.75" customHeight="1">
      <c r="B719" s="74"/>
    </row>
    <row r="720" spans="2:2" ht="12.75" customHeight="1">
      <c r="B720" s="74"/>
    </row>
    <row r="721" spans="2:2" ht="12.75" customHeight="1">
      <c r="B721" s="74"/>
    </row>
    <row r="722" spans="2:2" ht="12.75" customHeight="1">
      <c r="B722" s="74"/>
    </row>
    <row r="723" spans="2:2" ht="12.75" customHeight="1">
      <c r="B723" s="74"/>
    </row>
    <row r="724" spans="2:2" ht="12.75" customHeight="1">
      <c r="B724" s="74"/>
    </row>
    <row r="725" spans="2:2" ht="12.75" customHeight="1">
      <c r="B725" s="74"/>
    </row>
    <row r="726" spans="2:2" ht="12.75" customHeight="1">
      <c r="B726" s="74"/>
    </row>
    <row r="727" spans="2:2" ht="12.75" customHeight="1">
      <c r="B727" s="74"/>
    </row>
    <row r="728" spans="2:2" ht="12.75" customHeight="1">
      <c r="B728" s="74"/>
    </row>
    <row r="729" spans="2:2" ht="12.75" customHeight="1">
      <c r="B729" s="74"/>
    </row>
    <row r="730" spans="2:2" ht="12.75" customHeight="1">
      <c r="B730" s="74"/>
    </row>
    <row r="731" spans="2:2" ht="12.75" customHeight="1">
      <c r="B731" s="74"/>
    </row>
    <row r="732" spans="2:2" ht="12.75" customHeight="1">
      <c r="B732" s="74"/>
    </row>
    <row r="733" spans="2:2" ht="12.75" customHeight="1">
      <c r="B733" s="74"/>
    </row>
    <row r="734" spans="2:2" ht="12.75" customHeight="1">
      <c r="B734" s="74"/>
    </row>
    <row r="735" spans="2:2" ht="12.75" customHeight="1">
      <c r="B735" s="74"/>
    </row>
    <row r="736" spans="2:2" ht="12.75" customHeight="1">
      <c r="B736" s="74"/>
    </row>
    <row r="737" spans="2:2" ht="12.75" customHeight="1">
      <c r="B737" s="74"/>
    </row>
    <row r="738" spans="2:2" ht="12.75" customHeight="1">
      <c r="B738" s="74"/>
    </row>
    <row r="739" spans="2:2" ht="12.75" customHeight="1">
      <c r="B739" s="74"/>
    </row>
    <row r="740" spans="2:2" ht="12.75" customHeight="1">
      <c r="B740" s="74"/>
    </row>
    <row r="741" spans="2:2" ht="12.75" customHeight="1">
      <c r="B741" s="74"/>
    </row>
    <row r="742" spans="2:2" ht="12.75" customHeight="1">
      <c r="B742" s="74"/>
    </row>
    <row r="743" spans="2:2" ht="12.75" customHeight="1">
      <c r="B743" s="74"/>
    </row>
    <row r="744" spans="2:2" ht="12.75" customHeight="1">
      <c r="B744" s="74"/>
    </row>
    <row r="745" spans="2:2" ht="12.75" customHeight="1">
      <c r="B745" s="74"/>
    </row>
    <row r="746" spans="2:2" ht="12.75" customHeight="1">
      <c r="B746" s="74"/>
    </row>
    <row r="747" spans="2:2" ht="12.75" customHeight="1">
      <c r="B747" s="74"/>
    </row>
    <row r="748" spans="2:2" ht="12.75" customHeight="1">
      <c r="B748" s="74"/>
    </row>
    <row r="749" spans="2:2" ht="12.75" customHeight="1">
      <c r="B749" s="74"/>
    </row>
    <row r="750" spans="2:2" ht="12.75" customHeight="1">
      <c r="B750" s="74"/>
    </row>
    <row r="751" spans="2:2" ht="12.75" customHeight="1">
      <c r="B751" s="74"/>
    </row>
    <row r="752" spans="2:2" ht="12.75" customHeight="1">
      <c r="B752" s="74"/>
    </row>
    <row r="753" spans="2:2" ht="12.75" customHeight="1">
      <c r="B753" s="74"/>
    </row>
    <row r="754" spans="2:2" ht="12.75" customHeight="1">
      <c r="B754" s="74"/>
    </row>
    <row r="755" spans="2:2" ht="12.75" customHeight="1">
      <c r="B755" s="74"/>
    </row>
    <row r="756" spans="2:2" ht="12.75" customHeight="1">
      <c r="B756" s="74"/>
    </row>
    <row r="757" spans="2:2" ht="12.75" customHeight="1">
      <c r="B757" s="74"/>
    </row>
    <row r="758" spans="2:2" ht="12.75" customHeight="1">
      <c r="B758" s="74"/>
    </row>
    <row r="759" spans="2:2" ht="12.75" customHeight="1">
      <c r="B759" s="74"/>
    </row>
    <row r="760" spans="2:2" ht="12.75" customHeight="1">
      <c r="B760" s="74"/>
    </row>
    <row r="761" spans="2:2" ht="12.75" customHeight="1">
      <c r="B761" s="74"/>
    </row>
    <row r="762" spans="2:2" ht="12.75" customHeight="1">
      <c r="B762" s="74"/>
    </row>
    <row r="763" spans="2:2" ht="12.75" customHeight="1">
      <c r="B763" s="74"/>
    </row>
    <row r="764" spans="2:2" ht="12.75" customHeight="1">
      <c r="B764" s="74"/>
    </row>
    <row r="765" spans="2:2" ht="12.75" customHeight="1">
      <c r="B765" s="74"/>
    </row>
    <row r="766" spans="2:2" ht="12.75" customHeight="1">
      <c r="B766" s="74"/>
    </row>
    <row r="767" spans="2:2" ht="12.75" customHeight="1">
      <c r="B767" s="74"/>
    </row>
    <row r="768" spans="2:2" ht="12.75" customHeight="1">
      <c r="B768" s="74"/>
    </row>
    <row r="769" spans="2:2" ht="12.75" customHeight="1">
      <c r="B769" s="74"/>
    </row>
    <row r="770" spans="2:2" ht="12.75" customHeight="1">
      <c r="B770" s="74"/>
    </row>
    <row r="771" spans="2:2" ht="12.75" customHeight="1">
      <c r="B771" s="74"/>
    </row>
    <row r="772" spans="2:2" ht="12.75" customHeight="1">
      <c r="B772" s="74"/>
    </row>
    <row r="773" spans="2:2" ht="12.75" customHeight="1">
      <c r="B773" s="74"/>
    </row>
    <row r="774" spans="2:2" ht="12.75" customHeight="1">
      <c r="B774" s="74"/>
    </row>
    <row r="775" spans="2:2" ht="12.75" customHeight="1">
      <c r="B775" s="74"/>
    </row>
    <row r="776" spans="2:2" ht="12.75" customHeight="1">
      <c r="B776" s="74"/>
    </row>
    <row r="777" spans="2:2" ht="12.75" customHeight="1">
      <c r="B777" s="74"/>
    </row>
    <row r="778" spans="2:2" ht="12.75" customHeight="1">
      <c r="B778" s="74"/>
    </row>
    <row r="779" spans="2:2" ht="12.75" customHeight="1">
      <c r="B779" s="74"/>
    </row>
    <row r="780" spans="2:2" ht="12.75" customHeight="1">
      <c r="B780" s="74"/>
    </row>
    <row r="781" spans="2:2" ht="12.75" customHeight="1">
      <c r="B781" s="74"/>
    </row>
    <row r="782" spans="2:2" ht="12.75" customHeight="1">
      <c r="B782" s="74"/>
    </row>
    <row r="783" spans="2:2" ht="12.75" customHeight="1">
      <c r="B783" s="74"/>
    </row>
    <row r="784" spans="2:2" ht="12.75" customHeight="1">
      <c r="B784" s="74"/>
    </row>
    <row r="785" spans="2:2" ht="12.75" customHeight="1">
      <c r="B785" s="74"/>
    </row>
    <row r="786" spans="2:2" ht="12.75" customHeight="1">
      <c r="B786" s="74"/>
    </row>
    <row r="787" spans="2:2" ht="12.75" customHeight="1">
      <c r="B787" s="74"/>
    </row>
    <row r="788" spans="2:2" ht="12.75" customHeight="1">
      <c r="B788" s="74"/>
    </row>
    <row r="789" spans="2:2" ht="12.75" customHeight="1">
      <c r="B789" s="74"/>
    </row>
    <row r="790" spans="2:2" ht="12.75" customHeight="1">
      <c r="B790" s="74"/>
    </row>
    <row r="791" spans="2:2" ht="12.75" customHeight="1">
      <c r="B791" s="74"/>
    </row>
    <row r="792" spans="2:2" ht="12.75" customHeight="1">
      <c r="B792" s="74"/>
    </row>
    <row r="793" spans="2:2" ht="12.75" customHeight="1">
      <c r="B793" s="74"/>
    </row>
    <row r="794" spans="2:2" ht="12.75" customHeight="1">
      <c r="B794" s="74"/>
    </row>
    <row r="795" spans="2:2" ht="12.75" customHeight="1">
      <c r="B795" s="74"/>
    </row>
    <row r="796" spans="2:2" ht="12.75" customHeight="1">
      <c r="B796" s="74"/>
    </row>
    <row r="797" spans="2:2" ht="12.75" customHeight="1">
      <c r="B797" s="74"/>
    </row>
    <row r="798" spans="2:2" ht="12.75" customHeight="1">
      <c r="B798" s="74"/>
    </row>
    <row r="799" spans="2:2" ht="12.75" customHeight="1">
      <c r="B799" s="74"/>
    </row>
    <row r="800" spans="2:2" ht="12.75" customHeight="1">
      <c r="B800" s="74"/>
    </row>
    <row r="801" spans="2:2" ht="12.75" customHeight="1">
      <c r="B801" s="74"/>
    </row>
    <row r="802" spans="2:2" ht="12.75" customHeight="1">
      <c r="B802" s="74"/>
    </row>
    <row r="803" spans="2:2" ht="12.75" customHeight="1">
      <c r="B803" s="74"/>
    </row>
    <row r="804" spans="2:2" ht="12.75" customHeight="1">
      <c r="B804" s="74"/>
    </row>
    <row r="805" spans="2:2" ht="12.75" customHeight="1">
      <c r="B805" s="74"/>
    </row>
    <row r="806" spans="2:2" ht="12.75" customHeight="1">
      <c r="B806" s="74"/>
    </row>
    <row r="807" spans="2:2" ht="12.75" customHeight="1">
      <c r="B807" s="74"/>
    </row>
    <row r="808" spans="2:2" ht="12.75" customHeight="1">
      <c r="B808" s="74"/>
    </row>
    <row r="809" spans="2:2" ht="12.75" customHeight="1">
      <c r="B809" s="74"/>
    </row>
    <row r="810" spans="2:2" ht="12.75" customHeight="1">
      <c r="B810" s="74"/>
    </row>
    <row r="811" spans="2:2" ht="12.75" customHeight="1">
      <c r="B811" s="74"/>
    </row>
    <row r="812" spans="2:2" ht="12.75" customHeight="1">
      <c r="B812" s="74"/>
    </row>
    <row r="813" spans="2:2" ht="12.75" customHeight="1">
      <c r="B813" s="74"/>
    </row>
    <row r="814" spans="2:2" ht="12.75" customHeight="1">
      <c r="B814" s="74"/>
    </row>
    <row r="815" spans="2:2" ht="12.75" customHeight="1">
      <c r="B815" s="74"/>
    </row>
    <row r="816" spans="2:2" ht="12.75" customHeight="1">
      <c r="B816" s="74"/>
    </row>
    <row r="817" spans="2:2" ht="12.75" customHeight="1">
      <c r="B817" s="74"/>
    </row>
    <row r="818" spans="2:2" ht="12.75" customHeight="1">
      <c r="B818" s="74"/>
    </row>
    <row r="819" spans="2:2" ht="12.75" customHeight="1">
      <c r="B819" s="74"/>
    </row>
    <row r="820" spans="2:2" ht="12.75" customHeight="1">
      <c r="B820" s="74"/>
    </row>
    <row r="821" spans="2:2" ht="12.75" customHeight="1">
      <c r="B821" s="74"/>
    </row>
    <row r="822" spans="2:2" ht="12.75" customHeight="1">
      <c r="B822" s="74"/>
    </row>
    <row r="823" spans="2:2" ht="12.75" customHeight="1">
      <c r="B823" s="74"/>
    </row>
    <row r="824" spans="2:2" ht="12.75" customHeight="1">
      <c r="B824" s="74"/>
    </row>
    <row r="825" spans="2:2" ht="12.75" customHeight="1">
      <c r="B825" s="74"/>
    </row>
    <row r="826" spans="2:2" ht="12.75" customHeight="1">
      <c r="B826" s="74"/>
    </row>
    <row r="827" spans="2:2" ht="12.75" customHeight="1">
      <c r="B827" s="74"/>
    </row>
    <row r="828" spans="2:2" ht="12.75" customHeight="1">
      <c r="B828" s="74"/>
    </row>
    <row r="829" spans="2:2" ht="12.75" customHeight="1">
      <c r="B829" s="74"/>
    </row>
    <row r="830" spans="2:2" ht="12.75" customHeight="1">
      <c r="B830" s="74"/>
    </row>
    <row r="831" spans="2:2" ht="12.75" customHeight="1">
      <c r="B831" s="74"/>
    </row>
    <row r="832" spans="2:2" ht="12.75" customHeight="1">
      <c r="B832" s="74"/>
    </row>
    <row r="833" spans="2:2" ht="12.75" customHeight="1">
      <c r="B833" s="74"/>
    </row>
    <row r="834" spans="2:2" ht="12.75" customHeight="1">
      <c r="B834" s="74"/>
    </row>
    <row r="835" spans="2:2" ht="12.75" customHeight="1">
      <c r="B835" s="74"/>
    </row>
    <row r="836" spans="2:2" ht="12.75" customHeight="1">
      <c r="B836" s="74"/>
    </row>
    <row r="837" spans="2:2" ht="12.75" customHeight="1">
      <c r="B837" s="74"/>
    </row>
    <row r="838" spans="2:2" ht="12.75" customHeight="1">
      <c r="B838" s="74"/>
    </row>
    <row r="839" spans="2:2" ht="12.75" customHeight="1">
      <c r="B839" s="74"/>
    </row>
    <row r="840" spans="2:2" ht="12.75" customHeight="1">
      <c r="B840" s="74"/>
    </row>
    <row r="841" spans="2:2" ht="12.75" customHeight="1">
      <c r="B841" s="74"/>
    </row>
    <row r="842" spans="2:2" ht="12.75" customHeight="1">
      <c r="B842" s="74"/>
    </row>
    <row r="843" spans="2:2" ht="12.75" customHeight="1">
      <c r="B843" s="74"/>
    </row>
    <row r="844" spans="2:2" ht="12.75" customHeight="1">
      <c r="B844" s="74"/>
    </row>
    <row r="845" spans="2:2" ht="12.75" customHeight="1">
      <c r="B845" s="74"/>
    </row>
    <row r="846" spans="2:2" ht="12.75" customHeight="1">
      <c r="B846" s="74"/>
    </row>
    <row r="847" spans="2:2" ht="12.75" customHeight="1">
      <c r="B847" s="74"/>
    </row>
    <row r="848" spans="2:2" ht="12.75" customHeight="1">
      <c r="B848" s="74"/>
    </row>
    <row r="849" spans="2:2" ht="12.75" customHeight="1">
      <c r="B849" s="74"/>
    </row>
    <row r="850" spans="2:2" ht="12.75" customHeight="1">
      <c r="B850" s="74"/>
    </row>
    <row r="851" spans="2:2" ht="12.75" customHeight="1">
      <c r="B851" s="74"/>
    </row>
    <row r="852" spans="2:2" ht="12.75" customHeight="1">
      <c r="B852" s="74"/>
    </row>
    <row r="853" spans="2:2" ht="12.75" customHeight="1">
      <c r="B853" s="74"/>
    </row>
    <row r="854" spans="2:2" ht="12.75" customHeight="1">
      <c r="B854" s="74"/>
    </row>
    <row r="855" spans="2:2" ht="12.75" customHeight="1">
      <c r="B855" s="74"/>
    </row>
    <row r="856" spans="2:2" ht="12.75" customHeight="1">
      <c r="B856" s="74"/>
    </row>
    <row r="857" spans="2:2" ht="12.75" customHeight="1">
      <c r="B857" s="74"/>
    </row>
    <row r="858" spans="2:2" ht="12.75" customHeight="1">
      <c r="B858" s="74"/>
    </row>
    <row r="859" spans="2:2" ht="12.75" customHeight="1">
      <c r="B859" s="74"/>
    </row>
    <row r="860" spans="2:2" ht="12.75" customHeight="1">
      <c r="B860" s="74"/>
    </row>
    <row r="861" spans="2:2" ht="12.75" customHeight="1">
      <c r="B861" s="74"/>
    </row>
    <row r="862" spans="2:2" ht="12.75" customHeight="1">
      <c r="B862" s="74"/>
    </row>
    <row r="863" spans="2:2" ht="12.75" customHeight="1">
      <c r="B863" s="74"/>
    </row>
    <row r="864" spans="2:2" ht="12.75" customHeight="1">
      <c r="B864" s="74"/>
    </row>
    <row r="865" spans="2:2" ht="12.75" customHeight="1">
      <c r="B865" s="74"/>
    </row>
    <row r="866" spans="2:2" ht="12.75" customHeight="1">
      <c r="B866" s="74"/>
    </row>
    <row r="867" spans="2:2" ht="12.75" customHeight="1">
      <c r="B867" s="74"/>
    </row>
    <row r="868" spans="2:2" ht="12.75" customHeight="1">
      <c r="B868" s="74"/>
    </row>
    <row r="869" spans="2:2" ht="12.75" customHeight="1">
      <c r="B869" s="74"/>
    </row>
    <row r="870" spans="2:2" ht="12.75" customHeight="1">
      <c r="B870" s="74"/>
    </row>
    <row r="871" spans="2:2" ht="12.75" customHeight="1">
      <c r="B871" s="74"/>
    </row>
    <row r="872" spans="2:2" ht="12.75" customHeight="1">
      <c r="B872" s="74"/>
    </row>
    <row r="873" spans="2:2" ht="12.75" customHeight="1">
      <c r="B873" s="74"/>
    </row>
    <row r="874" spans="2:2" ht="12.75" customHeight="1">
      <c r="B874" s="74"/>
    </row>
    <row r="875" spans="2:2" ht="12.75" customHeight="1">
      <c r="B875" s="74"/>
    </row>
    <row r="876" spans="2:2" ht="12.75" customHeight="1">
      <c r="B876" s="74"/>
    </row>
    <row r="877" spans="2:2" ht="12.75" customHeight="1">
      <c r="B877" s="74"/>
    </row>
    <row r="878" spans="2:2" ht="12.75" customHeight="1">
      <c r="B878" s="74"/>
    </row>
    <row r="879" spans="2:2" ht="12.75" customHeight="1">
      <c r="B879" s="74"/>
    </row>
    <row r="880" spans="2:2" ht="12.75" customHeight="1">
      <c r="B880" s="74"/>
    </row>
    <row r="881" spans="2:2" ht="12.75" customHeight="1">
      <c r="B881" s="74"/>
    </row>
    <row r="882" spans="2:2" ht="12.75" customHeight="1">
      <c r="B882" s="74"/>
    </row>
    <row r="883" spans="2:2" ht="12.75" customHeight="1">
      <c r="B883" s="74"/>
    </row>
    <row r="884" spans="2:2" ht="12.75" customHeight="1">
      <c r="B884" s="74"/>
    </row>
    <row r="885" spans="2:2" ht="12.75" customHeight="1">
      <c r="B885" s="74"/>
    </row>
    <row r="886" spans="2:2" ht="12.75" customHeight="1">
      <c r="B886" s="74"/>
    </row>
    <row r="887" spans="2:2" ht="12.75" customHeight="1">
      <c r="B887" s="74"/>
    </row>
    <row r="888" spans="2:2" ht="12.75" customHeight="1">
      <c r="B888" s="74"/>
    </row>
    <row r="889" spans="2:2" ht="12.75" customHeight="1">
      <c r="B889" s="74"/>
    </row>
    <row r="890" spans="2:2" ht="12.75" customHeight="1">
      <c r="B890" s="74"/>
    </row>
    <row r="891" spans="2:2" ht="12.75" customHeight="1">
      <c r="B891" s="74"/>
    </row>
    <row r="892" spans="2:2" ht="12.75" customHeight="1">
      <c r="B892" s="74"/>
    </row>
    <row r="893" spans="2:2" ht="12.75" customHeight="1">
      <c r="B893" s="74"/>
    </row>
    <row r="894" spans="2:2" ht="12.75" customHeight="1">
      <c r="B894" s="74"/>
    </row>
    <row r="895" spans="2:2" ht="12.75" customHeight="1">
      <c r="B895" s="74"/>
    </row>
    <row r="896" spans="2:2" ht="12.75" customHeight="1">
      <c r="B896" s="74"/>
    </row>
    <row r="897" spans="2:2" ht="12.75" customHeight="1">
      <c r="B897" s="74"/>
    </row>
    <row r="898" spans="2:2" ht="12.75" customHeight="1">
      <c r="B898" s="74"/>
    </row>
    <row r="899" spans="2:2" ht="12.75" customHeight="1">
      <c r="B899" s="74"/>
    </row>
    <row r="900" spans="2:2" ht="12.75" customHeight="1">
      <c r="B900" s="74"/>
    </row>
    <row r="901" spans="2:2" ht="12.75" customHeight="1">
      <c r="B901" s="74"/>
    </row>
    <row r="902" spans="2:2" ht="12.75" customHeight="1">
      <c r="B902" s="74"/>
    </row>
    <row r="903" spans="2:2" ht="12.75" customHeight="1">
      <c r="B903" s="74"/>
    </row>
    <row r="904" spans="2:2" ht="12.75" customHeight="1">
      <c r="B904" s="74"/>
    </row>
    <row r="905" spans="2:2" ht="12.75" customHeight="1">
      <c r="B905" s="74"/>
    </row>
    <row r="906" spans="2:2" ht="12.75" customHeight="1">
      <c r="B906" s="74"/>
    </row>
    <row r="907" spans="2:2" ht="12.75" customHeight="1">
      <c r="B907" s="74"/>
    </row>
    <row r="908" spans="2:2" ht="12.75" customHeight="1">
      <c r="B908" s="74"/>
    </row>
    <row r="909" spans="2:2" ht="12.75" customHeight="1">
      <c r="B909" s="74"/>
    </row>
    <row r="910" spans="2:2" ht="12.75" customHeight="1">
      <c r="B910" s="74"/>
    </row>
    <row r="911" spans="2:2" ht="12.75" customHeight="1">
      <c r="B911" s="74"/>
    </row>
    <row r="912" spans="2:2" ht="12.75" customHeight="1">
      <c r="B912" s="74"/>
    </row>
    <row r="913" spans="2:2" ht="12.75" customHeight="1">
      <c r="B913" s="74"/>
    </row>
    <row r="914" spans="2:2" ht="12.75" customHeight="1">
      <c r="B914" s="74"/>
    </row>
    <row r="915" spans="2:2" ht="12.75" customHeight="1">
      <c r="B915" s="74"/>
    </row>
    <row r="916" spans="2:2" ht="12.75" customHeight="1">
      <c r="B916" s="74"/>
    </row>
    <row r="917" spans="2:2" ht="12.75" customHeight="1">
      <c r="B917" s="74"/>
    </row>
    <row r="918" spans="2:2" ht="12.75" customHeight="1">
      <c r="B918" s="74"/>
    </row>
    <row r="919" spans="2:2" ht="12.75" customHeight="1">
      <c r="B919" s="74"/>
    </row>
    <row r="920" spans="2:2" ht="12.75" customHeight="1">
      <c r="B920" s="74"/>
    </row>
    <row r="921" spans="2:2" ht="12.75" customHeight="1">
      <c r="B921" s="74"/>
    </row>
    <row r="922" spans="2:2" ht="12.75" customHeight="1">
      <c r="B922" s="74"/>
    </row>
    <row r="923" spans="2:2" ht="12.75" customHeight="1">
      <c r="B923" s="74"/>
    </row>
    <row r="924" spans="2:2" ht="12.75" customHeight="1">
      <c r="B924" s="74"/>
    </row>
    <row r="925" spans="2:2" ht="12.75" customHeight="1">
      <c r="B925" s="74"/>
    </row>
    <row r="926" spans="2:2" ht="12.75" customHeight="1">
      <c r="B926" s="74"/>
    </row>
    <row r="927" spans="2:2" ht="12.75" customHeight="1">
      <c r="B927" s="74"/>
    </row>
    <row r="928" spans="2:2" ht="12.75" customHeight="1">
      <c r="B928" s="74"/>
    </row>
    <row r="929" spans="2:2" ht="12.75" customHeight="1">
      <c r="B929" s="74"/>
    </row>
    <row r="930" spans="2:2" ht="12.75" customHeight="1">
      <c r="B930" s="74"/>
    </row>
    <row r="931" spans="2:2" ht="12.75" customHeight="1">
      <c r="B931" s="74"/>
    </row>
    <row r="932" spans="2:2" ht="12.75" customHeight="1">
      <c r="B932" s="74"/>
    </row>
    <row r="933" spans="2:2" ht="12.75" customHeight="1">
      <c r="B933" s="74"/>
    </row>
    <row r="934" spans="2:2" ht="12.75" customHeight="1">
      <c r="B934" s="74"/>
    </row>
    <row r="935" spans="2:2" ht="12.75" customHeight="1">
      <c r="B935" s="74"/>
    </row>
    <row r="936" spans="2:2" ht="12.75" customHeight="1">
      <c r="B936" s="74"/>
    </row>
    <row r="937" spans="2:2" ht="12.75" customHeight="1">
      <c r="B937" s="74"/>
    </row>
    <row r="938" spans="2:2" ht="12.75" customHeight="1">
      <c r="B938" s="74"/>
    </row>
    <row r="939" spans="2:2" ht="12.75" customHeight="1">
      <c r="B939" s="74"/>
    </row>
    <row r="940" spans="2:2" ht="12.75" customHeight="1">
      <c r="B940" s="74"/>
    </row>
    <row r="941" spans="2:2" ht="12.75" customHeight="1">
      <c r="B941" s="74"/>
    </row>
    <row r="942" spans="2:2" ht="12.75" customHeight="1">
      <c r="B942" s="74"/>
    </row>
    <row r="943" spans="2:2" ht="12.75" customHeight="1">
      <c r="B943" s="74"/>
    </row>
    <row r="944" spans="2:2" ht="12.75" customHeight="1">
      <c r="B944" s="74"/>
    </row>
    <row r="945" spans="2:2" ht="12.75" customHeight="1">
      <c r="B945" s="74"/>
    </row>
    <row r="946" spans="2:2" ht="12.75" customHeight="1">
      <c r="B946" s="74"/>
    </row>
    <row r="947" spans="2:2" ht="12.75" customHeight="1">
      <c r="B947" s="74"/>
    </row>
    <row r="948" spans="2:2" ht="12.75" customHeight="1">
      <c r="B948" s="74"/>
    </row>
    <row r="949" spans="2:2" ht="12.75" customHeight="1">
      <c r="B949" s="74"/>
    </row>
    <row r="950" spans="2:2" ht="12.75" customHeight="1">
      <c r="B950" s="74"/>
    </row>
    <row r="951" spans="2:2" ht="12.75" customHeight="1">
      <c r="B951" s="74"/>
    </row>
    <row r="952" spans="2:2" ht="12.75" customHeight="1">
      <c r="B952" s="74"/>
    </row>
    <row r="953" spans="2:2" ht="12.75" customHeight="1">
      <c r="B953" s="74"/>
    </row>
    <row r="954" spans="2:2" ht="12.75" customHeight="1">
      <c r="B954" s="74"/>
    </row>
    <row r="955" spans="2:2" ht="12.75" customHeight="1">
      <c r="B955" s="74"/>
    </row>
    <row r="956" spans="2:2" ht="12.75" customHeight="1">
      <c r="B956" s="74"/>
    </row>
    <row r="957" spans="2:2" ht="12.75" customHeight="1">
      <c r="B957" s="74"/>
    </row>
    <row r="958" spans="2:2" ht="12.75" customHeight="1">
      <c r="B958" s="74"/>
    </row>
    <row r="959" spans="2:2" ht="12.75" customHeight="1">
      <c r="B959" s="74"/>
    </row>
    <row r="960" spans="2:2" ht="12.75" customHeight="1">
      <c r="B960" s="74"/>
    </row>
    <row r="961" spans="2:2" ht="12.75" customHeight="1">
      <c r="B961" s="74"/>
    </row>
    <row r="962" spans="2:2" ht="12.75" customHeight="1">
      <c r="B962" s="74"/>
    </row>
    <row r="963" spans="2:2" ht="12.75" customHeight="1">
      <c r="B963" s="74"/>
    </row>
    <row r="964" spans="2:2" ht="12.75" customHeight="1">
      <c r="B964" s="74"/>
    </row>
    <row r="965" spans="2:2" ht="12.75" customHeight="1">
      <c r="B965" s="74"/>
    </row>
    <row r="966" spans="2:2" ht="12.75" customHeight="1">
      <c r="B966" s="74"/>
    </row>
    <row r="967" spans="2:2" ht="12.75" customHeight="1">
      <c r="B967" s="74"/>
    </row>
    <row r="968" spans="2:2" ht="12.75" customHeight="1">
      <c r="B968" s="74"/>
    </row>
    <row r="969" spans="2:2" ht="12.75" customHeight="1">
      <c r="B969" s="74"/>
    </row>
    <row r="970" spans="2:2" ht="12.75" customHeight="1">
      <c r="B970" s="74"/>
    </row>
    <row r="971" spans="2:2" ht="12.75" customHeight="1">
      <c r="B971" s="74"/>
    </row>
    <row r="972" spans="2:2" ht="12.75" customHeight="1">
      <c r="B972" s="74"/>
    </row>
    <row r="973" spans="2:2" ht="12.75" customHeight="1">
      <c r="B973" s="74"/>
    </row>
    <row r="974" spans="2:2" ht="12.75" customHeight="1">
      <c r="B974" s="74"/>
    </row>
    <row r="975" spans="2:2" ht="12.75" customHeight="1">
      <c r="B975" s="74"/>
    </row>
    <row r="976" spans="2:2" ht="12.75" customHeight="1">
      <c r="B976" s="74"/>
    </row>
    <row r="977" spans="2:2" ht="12.75" customHeight="1">
      <c r="B977" s="74"/>
    </row>
    <row r="978" spans="2:2" ht="12.75" customHeight="1">
      <c r="B978" s="74"/>
    </row>
    <row r="979" spans="2:2" ht="12.75" customHeight="1">
      <c r="B979" s="74"/>
    </row>
    <row r="980" spans="2:2" ht="12.75" customHeight="1">
      <c r="B980" s="74"/>
    </row>
    <row r="981" spans="2:2" ht="12.75" customHeight="1">
      <c r="B981" s="74"/>
    </row>
    <row r="982" spans="2:2" ht="12.75" customHeight="1">
      <c r="B982" s="74"/>
    </row>
    <row r="983" spans="2:2" ht="12.75" customHeight="1">
      <c r="B983" s="74"/>
    </row>
    <row r="984" spans="2:2" ht="12.75" customHeight="1">
      <c r="B984" s="74"/>
    </row>
    <row r="985" spans="2:2" ht="12.75" customHeight="1">
      <c r="B985" s="74"/>
    </row>
    <row r="986" spans="2:2" ht="12.75" customHeight="1">
      <c r="B986" s="74"/>
    </row>
    <row r="987" spans="2:2" ht="12.75" customHeight="1">
      <c r="B987" s="74"/>
    </row>
    <row r="988" spans="2:2" ht="12.75" customHeight="1">
      <c r="B988" s="74"/>
    </row>
    <row r="989" spans="2:2" ht="12.75" customHeight="1">
      <c r="B989" s="74"/>
    </row>
    <row r="990" spans="2:2" ht="12.75" customHeight="1">
      <c r="B990" s="74"/>
    </row>
    <row r="991" spans="2:2" ht="12.75" customHeight="1">
      <c r="B991" s="74"/>
    </row>
    <row r="992" spans="2:2" ht="12.75" customHeight="1">
      <c r="B992" s="74"/>
    </row>
    <row r="993" spans="2:2" ht="12.75" customHeight="1">
      <c r="B993" s="74"/>
    </row>
    <row r="994" spans="2:2" ht="12.75" customHeight="1">
      <c r="B994" s="74"/>
    </row>
    <row r="995" spans="2:2" ht="12.75" customHeight="1">
      <c r="B995" s="74"/>
    </row>
    <row r="996" spans="2:2" ht="12.75" customHeight="1">
      <c r="B996" s="74"/>
    </row>
    <row r="997" spans="2:2" ht="12.75" customHeight="1">
      <c r="B997" s="74"/>
    </row>
    <row r="998" spans="2:2" ht="12.75" customHeight="1">
      <c r="B998" s="74"/>
    </row>
    <row r="999" spans="2:2" ht="12.75" customHeight="1">
      <c r="B999" s="74"/>
    </row>
    <row r="1000" spans="2:2" ht="12.75" customHeight="1">
      <c r="B1000" s="74"/>
    </row>
  </sheetData>
  <pageMargins left="0.7" right="0.7" top="0.78740157499999996" bottom="0.78740157499999996" header="0" footer="0"/>
  <pageSetup orientation="landscape"/>
  <legacyDrawing r:id="rId1"/>
</worksheet>
</file>

<file path=docMetadata/LabelInfo.xml><?xml version="1.0" encoding="utf-8"?>
<clbl:labelList xmlns:clbl="http://schemas.microsoft.com/office/2020/mipLabelMetadata">
  <clbl:label id="{7e073080-9abf-4fb3-a803-bb788e08f79b}" enabled="1" method="Standard" siteId="{44952894-42a6-49ac-abc8-afde1953f13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Hofmann</dc:creator>
  <cp:keywords/>
  <dc:description/>
  <cp:lastModifiedBy/>
  <cp:revision/>
  <dcterms:created xsi:type="dcterms:W3CDTF">1998-12-28T21:00:27Z</dcterms:created>
  <dcterms:modified xsi:type="dcterms:W3CDTF">2026-09-03T20:45:53Z</dcterms:modified>
  <cp:category/>
  <cp:contentStatus/>
</cp:coreProperties>
</file>